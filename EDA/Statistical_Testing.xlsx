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Insurance Claim Fraud Analysis\Exploratory Data Analysis\"/>
    </mc:Choice>
  </mc:AlternateContent>
  <xr:revisionPtr revIDLastSave="0" documentId="8_{D53A59B7-7A1D-4F58-975B-0E5748F1F8B6}" xr6:coauthVersionLast="47" xr6:coauthVersionMax="47" xr10:uidLastSave="{00000000-0000-0000-0000-000000000000}"/>
  <bookViews>
    <workbookView xWindow="-120" yWindow="-120" windowWidth="20730" windowHeight="11160" xr2:uid="{D95C09C6-45F6-45B2-B118-FE80F6AF7B41}"/>
  </bookViews>
  <sheets>
    <sheet name="Statistical Tes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1" l="1"/>
  <c r="M8" i="1"/>
  <c r="G8" i="1"/>
  <c r="F8" i="1"/>
  <c r="N7" i="1"/>
  <c r="M7" i="1"/>
  <c r="G7" i="1"/>
  <c r="F7" i="1"/>
  <c r="N6" i="1"/>
  <c r="M6" i="1"/>
  <c r="G6" i="1"/>
  <c r="F6" i="1"/>
  <c r="N5" i="1"/>
  <c r="M5" i="1"/>
  <c r="J11" i="1" s="1"/>
  <c r="G5" i="1"/>
  <c r="F5" i="1"/>
  <c r="B11" i="1" s="1"/>
</calcChain>
</file>

<file path=xl/sharedStrings.xml><?xml version="1.0" encoding="utf-8"?>
<sst xmlns="http://schemas.openxmlformats.org/spreadsheetml/2006/main" count="32" uniqueCount="23">
  <si>
    <t>Chi-Square: Incident Severity vs. Fraud</t>
  </si>
  <si>
    <t>Chi-Square: Incident Type vs. Fraud</t>
  </si>
  <si>
    <t>incident severity</t>
  </si>
  <si>
    <t>N</t>
  </si>
  <si>
    <t>Y</t>
  </si>
  <si>
    <t>TOTAL</t>
  </si>
  <si>
    <t>Expected N</t>
  </si>
  <si>
    <t>Expected Y</t>
  </si>
  <si>
    <t>incident type</t>
  </si>
  <si>
    <t>Major Damage</t>
  </si>
  <si>
    <t>Multi-vehicle Collision</t>
  </si>
  <si>
    <t>Minor Damage</t>
  </si>
  <si>
    <t>Parked Car</t>
  </si>
  <si>
    <t>Total Loss</t>
  </si>
  <si>
    <t>Single Vehicle Collision</t>
  </si>
  <si>
    <t>Trivial Damage</t>
  </si>
  <si>
    <t>Vehicle Theft</t>
  </si>
  <si>
    <t>Grand Total</t>
  </si>
  <si>
    <t>p=</t>
  </si>
  <si>
    <t>H0: No association</t>
  </si>
  <si>
    <t>H1: Significant association</t>
  </si>
  <si>
    <t>Interpretation: p&lt;0.05 : Reject H0. There is significant association between incident severity and fraud reported</t>
  </si>
  <si>
    <t>Interpretation: p&lt;0.05 : Reject H0. There is significant association between incident type and fraud reported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</si>
</sst>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2" fontId="0" fillId="0" borderId="0" xfId="0" applyNumberFormat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63DCF-B483-4497-AC68-AB579C349841}">
  <dimension ref="A2:N14"/>
  <sheetViews>
    <sheetView showGridLines="0" tabSelected="1" workbookViewId="0">
      <selection activeCell="B14" sqref="B14"/>
    </sheetView>
  </sheetViews>
  <sheetFormatPr defaultRowHeight="15" x14ac:dyDescent="0.25"/>
  <cols>
    <col min="2" max="2" width="24" customWidth="1"/>
    <col min="5" max="5" width="12.28515625" customWidth="1"/>
    <col min="6" max="6" width="16.5703125" customWidth="1"/>
    <col min="7" max="7" width="14.42578125" customWidth="1"/>
    <col min="8" max="8" width="18.5703125" customWidth="1"/>
    <col min="9" max="9" width="22.140625" bestFit="1" customWidth="1"/>
    <col min="10" max="10" width="12" bestFit="1" customWidth="1"/>
    <col min="13" max="13" width="16.140625" customWidth="1"/>
    <col min="14" max="14" width="15" customWidth="1"/>
  </cols>
  <sheetData>
    <row r="2" spans="1:14" ht="26.25" x14ac:dyDescent="0.4">
      <c r="A2" s="1" t="s">
        <v>0</v>
      </c>
      <c r="B2" s="1"/>
      <c r="C2" s="1"/>
      <c r="D2" s="1"/>
      <c r="I2" s="1" t="s">
        <v>1</v>
      </c>
      <c r="J2" s="1"/>
    </row>
    <row r="4" spans="1:14" ht="21" x14ac:dyDescent="0.35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I4" s="2" t="s">
        <v>8</v>
      </c>
      <c r="J4" s="2" t="s">
        <v>3</v>
      </c>
      <c r="K4" s="2" t="s">
        <v>4</v>
      </c>
      <c r="L4" s="2" t="s">
        <v>5</v>
      </c>
      <c r="M4" s="2" t="s">
        <v>6</v>
      </c>
      <c r="N4" s="2" t="s">
        <v>7</v>
      </c>
    </row>
    <row r="5" spans="1:14" x14ac:dyDescent="0.25">
      <c r="B5" s="3" t="s">
        <v>9</v>
      </c>
      <c r="C5">
        <v>109</v>
      </c>
      <c r="D5">
        <v>167</v>
      </c>
      <c r="E5">
        <v>276</v>
      </c>
      <c r="F5" s="4">
        <f>(E5*C9)/E9</f>
        <v>207.828</v>
      </c>
      <c r="G5" s="4">
        <f>(E5*D9)/E9</f>
        <v>68.171999999999997</v>
      </c>
      <c r="I5" s="3" t="s">
        <v>10</v>
      </c>
      <c r="J5">
        <v>305</v>
      </c>
      <c r="K5">
        <v>114</v>
      </c>
      <c r="L5">
        <v>419</v>
      </c>
      <c r="M5" s="5">
        <f>(L5*J9)/L9</f>
        <v>315.50700000000001</v>
      </c>
      <c r="N5" s="5">
        <f>(L5*K9)/L9</f>
        <v>103.49299999999999</v>
      </c>
    </row>
    <row r="6" spans="1:14" x14ac:dyDescent="0.25">
      <c r="B6" s="3" t="s">
        <v>11</v>
      </c>
      <c r="C6">
        <v>316</v>
      </c>
      <c r="D6">
        <v>38</v>
      </c>
      <c r="E6">
        <v>354</v>
      </c>
      <c r="F6" s="4">
        <f>(E6*C9)/E9</f>
        <v>266.56200000000001</v>
      </c>
      <c r="G6" s="4">
        <f>(E6*D9)/E9</f>
        <v>87.438000000000002</v>
      </c>
      <c r="I6" s="3" t="s">
        <v>12</v>
      </c>
      <c r="J6">
        <v>76</v>
      </c>
      <c r="K6">
        <v>8</v>
      </c>
      <c r="L6">
        <v>84</v>
      </c>
      <c r="M6" s="5">
        <f>(L6*J9)/L9</f>
        <v>63.252000000000002</v>
      </c>
      <c r="N6" s="5">
        <f>(L6*K9)/L9</f>
        <v>20.748000000000001</v>
      </c>
    </row>
    <row r="7" spans="1:14" x14ac:dyDescent="0.25">
      <c r="B7" s="3" t="s">
        <v>13</v>
      </c>
      <c r="C7">
        <v>244</v>
      </c>
      <c r="D7">
        <v>36</v>
      </c>
      <c r="E7">
        <v>280</v>
      </c>
      <c r="F7" s="4">
        <f>(E7*C9)/E9</f>
        <v>210.84</v>
      </c>
      <c r="G7" s="4">
        <f>(E7*D9)/E9</f>
        <v>69.16</v>
      </c>
      <c r="I7" s="3" t="s">
        <v>14</v>
      </c>
      <c r="J7">
        <v>286</v>
      </c>
      <c r="K7">
        <v>117</v>
      </c>
      <c r="L7">
        <v>403</v>
      </c>
      <c r="M7" s="5">
        <f>(L7*J9)/L9</f>
        <v>303.459</v>
      </c>
      <c r="N7" s="5">
        <f>(L7*K9)/L9</f>
        <v>99.540999999999997</v>
      </c>
    </row>
    <row r="8" spans="1:14" x14ac:dyDescent="0.25">
      <c r="B8" s="3" t="s">
        <v>15</v>
      </c>
      <c r="C8">
        <v>84</v>
      </c>
      <c r="D8">
        <v>6</v>
      </c>
      <c r="E8">
        <v>90</v>
      </c>
      <c r="F8" s="4">
        <f>(E8*C9)/E9</f>
        <v>67.77</v>
      </c>
      <c r="G8" s="4">
        <f>(E8*D9)/E9</f>
        <v>22.23</v>
      </c>
      <c r="I8" s="3" t="s">
        <v>16</v>
      </c>
      <c r="J8">
        <v>86</v>
      </c>
      <c r="K8">
        <v>8</v>
      </c>
      <c r="L8">
        <v>94</v>
      </c>
      <c r="M8" s="5">
        <f>(L8*J9)/L9</f>
        <v>70.781999999999996</v>
      </c>
      <c r="N8" s="5">
        <f>(L8*K9)/L9</f>
        <v>23.218</v>
      </c>
    </row>
    <row r="9" spans="1:14" x14ac:dyDescent="0.25">
      <c r="B9" s="6" t="s">
        <v>17</v>
      </c>
      <c r="C9" s="7">
        <v>753</v>
      </c>
      <c r="D9" s="7">
        <v>247</v>
      </c>
      <c r="E9" s="7">
        <v>1000</v>
      </c>
      <c r="F9" s="4"/>
      <c r="I9" s="6" t="s">
        <v>17</v>
      </c>
      <c r="J9" s="7">
        <v>753</v>
      </c>
      <c r="K9" s="7">
        <v>247</v>
      </c>
      <c r="L9" s="7">
        <v>1000</v>
      </c>
    </row>
    <row r="11" spans="1:14" x14ac:dyDescent="0.25">
      <c r="A11" t="s">
        <v>18</v>
      </c>
      <c r="B11">
        <f>_xlfn.CHISQ.TEST(C5:D8,F5:G8)</f>
        <v>5.447033547673762E-57</v>
      </c>
      <c r="I11" s="3" t="s">
        <v>18</v>
      </c>
      <c r="J11">
        <f>_xlfn.CHISQ.TEST(J5:K8,M5:N8)</f>
        <v>2.1013336774786623E-6</v>
      </c>
    </row>
    <row r="12" spans="1:14" x14ac:dyDescent="0.25">
      <c r="A12" t="s">
        <v>19</v>
      </c>
      <c r="I12" t="s">
        <v>19</v>
      </c>
    </row>
    <row r="13" spans="1:14" x14ac:dyDescent="0.25">
      <c r="A13" t="s">
        <v>20</v>
      </c>
      <c r="I13" t="s">
        <v>20</v>
      </c>
    </row>
    <row r="14" spans="1:14" x14ac:dyDescent="0.25">
      <c r="A14" t="s">
        <v>21</v>
      </c>
      <c r="I1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2026-09-24T06:07:30Z</dcterms:created>
  <dcterms:modified xsi:type="dcterms:W3CDTF">2026-09-24T06:08:14Z</dcterms:modified>
</cp:coreProperties>
</file>