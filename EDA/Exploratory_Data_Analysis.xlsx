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surance Claim Fraud Analysis\EDA\"/>
    </mc:Choice>
  </mc:AlternateContent>
  <xr:revisionPtr revIDLastSave="0" documentId="13_ncr:1_{0DE34F6E-3D89-4663-98DC-D1545F33ADD2}" xr6:coauthVersionLast="47" xr6:coauthVersionMax="47" xr10:uidLastSave="{00000000-0000-0000-0000-000000000000}"/>
  <bookViews>
    <workbookView xWindow="-120" yWindow="-120" windowWidth="20730" windowHeight="11160" xr2:uid="{E52EEA6E-19C8-46C1-907B-52599B45B90F}"/>
  </bookViews>
  <sheets>
    <sheet name="EDA" sheetId="1" r:id="rId1"/>
  </sheets>
  <externalReferences>
    <externalReference r:id="rId2"/>
    <externalReference r:id="rId3"/>
  </externalReferences>
  <definedNames>
    <definedName name="_xlcn.WorksheetConnection_insurance_claims2A1AM10011" hidden="1">'[2]Cleaned Insurance Claim Dataset'!$A$1:$AR$1001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5" r:id="rId19"/>
    <pivotCache cacheId="16" r:id="rId20"/>
    <pivotCache cacheId="17" r:id="rId21"/>
    <pivotCache cacheId="18" r:id="rId22"/>
    <pivotCache cacheId="19" r:id="rId23"/>
    <pivotCache cacheId="20" r:id="rId24"/>
    <pivotCache cacheId="21" r:id="rId25"/>
    <pivotCache cacheId="22" r:id="rId26"/>
    <pivotCache cacheId="23" r:id="rId27"/>
    <pivotCache cacheId="24" r:id="rId28"/>
    <pivotCache cacheId="25" r:id="rId29"/>
    <pivotCache cacheId="26" r:id="rId30"/>
    <pivotCache cacheId="27" r:id="rId31"/>
    <pivotCache cacheId="28" r:id="rId32"/>
    <pivotCache cacheId="29" r:id="rId33"/>
    <pivotCache cacheId="30" r:id="rId34"/>
    <pivotCache cacheId="31" r:id="rId35"/>
    <pivotCache cacheId="32" r:id="rId36"/>
    <pivotCache cacheId="33" r:id="rId37"/>
    <pivotCache cacheId="34" r:id="rId38"/>
    <pivotCache cacheId="35" r:id="rId39"/>
    <pivotCache cacheId="36" r:id="rId4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0f0c28eb-63e1-4baf-9d1b-b75b673a1003" name="Range" connection="WorksheetConnection_insurance_claims (2)!$A$1:$AM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4" i="1" l="1"/>
  <c r="K83" i="1"/>
  <c r="K82" i="1"/>
  <c r="K81" i="1"/>
  <c r="K80" i="1"/>
  <c r="K76" i="1"/>
  <c r="K75" i="1"/>
  <c r="K74" i="1"/>
  <c r="K73" i="1"/>
  <c r="K69" i="1"/>
  <c r="K68" i="1"/>
  <c r="K67" i="1"/>
  <c r="K66" i="1"/>
  <c r="K65" i="1"/>
  <c r="K64" i="1"/>
  <c r="X60" i="1"/>
  <c r="K60" i="1"/>
  <c r="X59" i="1"/>
  <c r="K59" i="1"/>
  <c r="X58" i="1"/>
  <c r="K58" i="1"/>
  <c r="X57" i="1"/>
  <c r="K57" i="1"/>
  <c r="X56" i="1"/>
  <c r="K56" i="1"/>
  <c r="X55" i="1"/>
  <c r="X54" i="1"/>
  <c r="X53" i="1"/>
  <c r="K52" i="1"/>
  <c r="AK51" i="1"/>
  <c r="K51" i="1"/>
  <c r="AK50" i="1"/>
  <c r="K50" i="1"/>
  <c r="AK49" i="1"/>
  <c r="K49" i="1"/>
  <c r="AK48" i="1"/>
  <c r="X48" i="1"/>
  <c r="AK47" i="1"/>
  <c r="X47" i="1"/>
  <c r="AK46" i="1"/>
  <c r="X46" i="1"/>
  <c r="AK45" i="1"/>
  <c r="X45" i="1"/>
  <c r="AK44" i="1"/>
  <c r="X44" i="1"/>
  <c r="K44" i="1"/>
  <c r="AK43" i="1"/>
  <c r="X43" i="1"/>
  <c r="K43" i="1"/>
  <c r="AK42" i="1"/>
  <c r="X42" i="1"/>
  <c r="K42" i="1"/>
  <c r="AK41" i="1"/>
  <c r="K41" i="1"/>
  <c r="AK40" i="1"/>
  <c r="AK39" i="1"/>
  <c r="AK38" i="1"/>
  <c r="AK37" i="1"/>
  <c r="X37" i="1"/>
  <c r="K37" i="1"/>
  <c r="AK36" i="1"/>
  <c r="X36" i="1"/>
  <c r="K36" i="1"/>
  <c r="AK35" i="1"/>
  <c r="X35" i="1"/>
  <c r="K35" i="1"/>
  <c r="AK34" i="1"/>
  <c r="AE34" i="1"/>
  <c r="X34" i="1"/>
  <c r="K34" i="1"/>
  <c r="AK33" i="1"/>
  <c r="AE33" i="1"/>
  <c r="X33" i="1"/>
  <c r="K33" i="1"/>
  <c r="AK32" i="1"/>
  <c r="AE32" i="1"/>
  <c r="X32" i="1"/>
  <c r="AK31" i="1"/>
  <c r="AE31" i="1"/>
  <c r="X31" i="1"/>
  <c r="AK30" i="1"/>
  <c r="AE30" i="1"/>
  <c r="X30" i="1"/>
  <c r="AE29" i="1"/>
  <c r="X29" i="1"/>
  <c r="K29" i="1"/>
  <c r="AE28" i="1"/>
  <c r="X28" i="1"/>
  <c r="K28" i="1"/>
  <c r="AE27" i="1"/>
  <c r="X27" i="1"/>
  <c r="K27" i="1"/>
  <c r="AK26" i="1"/>
  <c r="X26" i="1"/>
  <c r="K26" i="1"/>
  <c r="AK25" i="1"/>
  <c r="X25" i="1"/>
  <c r="K25" i="1"/>
  <c r="AK24" i="1"/>
  <c r="X24" i="1"/>
  <c r="AK23" i="1"/>
  <c r="X23" i="1"/>
  <c r="AK22" i="1"/>
  <c r="AE22" i="1"/>
  <c r="AE21" i="1"/>
  <c r="AE20" i="1"/>
  <c r="K20" i="1"/>
  <c r="AE19" i="1"/>
  <c r="X19" i="1"/>
  <c r="K19" i="1"/>
  <c r="X18" i="1"/>
  <c r="K18" i="1"/>
  <c r="AK17" i="1"/>
  <c r="X17" i="1"/>
  <c r="K17" i="1"/>
  <c r="AK16" i="1"/>
  <c r="X16" i="1"/>
  <c r="K16" i="1"/>
  <c r="AK15" i="1"/>
  <c r="X15" i="1"/>
  <c r="AK14" i="1"/>
  <c r="AE14" i="1"/>
  <c r="X14" i="1"/>
  <c r="AE13" i="1"/>
  <c r="X13" i="1"/>
  <c r="AE12" i="1"/>
  <c r="AE11" i="1"/>
  <c r="K11" i="1"/>
  <c r="AK10" i="1"/>
  <c r="AE10" i="1"/>
  <c r="K10" i="1"/>
  <c r="AK9" i="1"/>
  <c r="AE9" i="1"/>
  <c r="X9" i="1"/>
  <c r="K9" i="1"/>
  <c r="AK8" i="1"/>
  <c r="AE8" i="1"/>
  <c r="X8" i="1"/>
  <c r="K8" i="1"/>
  <c r="AK7" i="1"/>
  <c r="AE7" i="1"/>
  <c r="X7" i="1"/>
  <c r="K7" i="1"/>
  <c r="B7" i="1"/>
  <c r="C7" i="1" s="1"/>
  <c r="B6" i="1"/>
  <c r="B8" i="1" s="1"/>
  <c r="C6" i="1" l="1"/>
  <c r="C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A2742-E603-408B-85F9-573D4EC620D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CCECE9-D448-4CA9-8702-8D20B1A0F23F}" name="WorksheetConnection_insurance_claims (2)!$A$1:$AM$1001" type="102" refreshedVersion="7" minRefreshableVersion="5">
    <extLst>
      <ext xmlns:x15="http://schemas.microsoft.com/office/spreadsheetml/2010/11/main" uri="{DE250136-89BD-433C-8126-D09CA5730AF9}">
        <x15:connection id="Range-0f0c28eb-63e1-4baf-9d1b-b75b673a1003" autoDelete="1">
          <x15:rangePr sourceName="_xlcn.WorksheetConnection_insurance_claims2A1AM10011"/>
        </x15:connection>
      </ext>
    </extLst>
  </connection>
</connections>
</file>

<file path=xl/sharedStrings.xml><?xml version="1.0" encoding="utf-8"?>
<sst xmlns="http://schemas.openxmlformats.org/spreadsheetml/2006/main" count="350" uniqueCount="156">
  <si>
    <t>Overall Fraud Distribution</t>
  </si>
  <si>
    <t>Fraud Rate by Incident Characteristics</t>
  </si>
  <si>
    <t>Claim Amount by Fraud Status</t>
  </si>
  <si>
    <t>Claim Amount Ranges(min/max)</t>
  </si>
  <si>
    <t>Fraud Reported by Customer Characteristics</t>
  </si>
  <si>
    <t>Fraud Rate by Location</t>
  </si>
  <si>
    <t>Fraud Rate by Policy &amp; Vehicle</t>
  </si>
  <si>
    <t>Fraud status</t>
  </si>
  <si>
    <t>No of claims</t>
  </si>
  <si>
    <t>Fraud Rate</t>
  </si>
  <si>
    <t>Fraud Rate by Incident type</t>
  </si>
  <si>
    <t>Fraud Reported</t>
  </si>
  <si>
    <t>Average of total_claim_amount</t>
  </si>
  <si>
    <t>Min of injury_claim</t>
  </si>
  <si>
    <t>Fraud Rate by Insured Sex</t>
  </si>
  <si>
    <t>Fraud Rate by Incident City</t>
  </si>
  <si>
    <t>Fraud Rate by Policy CSL</t>
  </si>
  <si>
    <t>NO</t>
  </si>
  <si>
    <t>incident type</t>
  </si>
  <si>
    <t>N</t>
  </si>
  <si>
    <t>Y</t>
  </si>
  <si>
    <t>Grand Total</t>
  </si>
  <si>
    <t>insured sex</t>
  </si>
  <si>
    <t>incident city</t>
  </si>
  <si>
    <t>policy csl</t>
  </si>
  <si>
    <t>YES</t>
  </si>
  <si>
    <t>Multi-vehicle Collision</t>
  </si>
  <si>
    <t>FEMALE</t>
  </si>
  <si>
    <t>Arlington</t>
  </si>
  <si>
    <t>100/300</t>
  </si>
  <si>
    <t>TOTAL</t>
  </si>
  <si>
    <t>Parked Car</t>
  </si>
  <si>
    <t>MALE</t>
  </si>
  <si>
    <t>Columbus</t>
  </si>
  <si>
    <t>250/500</t>
  </si>
  <si>
    <t>Single Vehicle Collision</t>
  </si>
  <si>
    <t>Hillsdale</t>
  </si>
  <si>
    <t>500/1000</t>
  </si>
  <si>
    <t>Vehicle Theft</t>
  </si>
  <si>
    <t>Northbend</t>
  </si>
  <si>
    <t>Average of injury_claim</t>
  </si>
  <si>
    <t>Max of injury_claim</t>
  </si>
  <si>
    <t>Fraud Rate by Insured Age Group</t>
  </si>
  <si>
    <t>Northbrook</t>
  </si>
  <si>
    <t>Age Group</t>
  </si>
  <si>
    <t>Riverwood</t>
  </si>
  <si>
    <t>Fraud Rate by Policy Deductible</t>
  </si>
  <si>
    <t>19-25</t>
  </si>
  <si>
    <t>Springfield</t>
  </si>
  <si>
    <t>policy deductable</t>
  </si>
  <si>
    <t>Fraud Rate by Incident Severity</t>
  </si>
  <si>
    <t>26-32</t>
  </si>
  <si>
    <t>incident severity</t>
  </si>
  <si>
    <t>33-39</t>
  </si>
  <si>
    <t>Major Damage</t>
  </si>
  <si>
    <t>40-46</t>
  </si>
  <si>
    <t>Minor Damage</t>
  </si>
  <si>
    <t>Average of vehicle_claim</t>
  </si>
  <si>
    <t>Min of total_claim_amount</t>
  </si>
  <si>
    <t>47-53</t>
  </si>
  <si>
    <t>Fraud Rate by Policy State</t>
  </si>
  <si>
    <t>Total Loss</t>
  </si>
  <si>
    <t>54+</t>
  </si>
  <si>
    <t>policy state</t>
  </si>
  <si>
    <t>Trivial Damage</t>
  </si>
  <si>
    <t>IL</t>
  </si>
  <si>
    <t>IN</t>
  </si>
  <si>
    <t>Fraud Rate by Customer Tenure</t>
  </si>
  <si>
    <t>Fraud Rate by Occupation</t>
  </si>
  <si>
    <t>Faud Rate</t>
  </si>
  <si>
    <t>OH</t>
  </si>
  <si>
    <t>months</t>
  </si>
  <si>
    <t>insured occupation</t>
  </si>
  <si>
    <t>0-2 years</t>
  </si>
  <si>
    <t>Fraud Rate by Collision Type</t>
  </si>
  <si>
    <t>Average of property_claim</t>
  </si>
  <si>
    <t>Max of total_claim_amount</t>
  </si>
  <si>
    <t>adm-clerical</t>
  </si>
  <si>
    <t>10+ years</t>
  </si>
  <si>
    <t>collision type</t>
  </si>
  <si>
    <t>armed-forces</t>
  </si>
  <si>
    <t>2-5 years</t>
  </si>
  <si>
    <t>Front Collision</t>
  </si>
  <si>
    <t>craft-repair</t>
  </si>
  <si>
    <t>Fraud Rate by Incident State</t>
  </si>
  <si>
    <t>5-10 years</t>
  </si>
  <si>
    <t>Rear Collision</t>
  </si>
  <si>
    <t>exec-managerial</t>
  </si>
  <si>
    <t>incident state</t>
  </si>
  <si>
    <t>Side Collision</t>
  </si>
  <si>
    <t>farming-fishing</t>
  </si>
  <si>
    <t>NC</t>
  </si>
  <si>
    <t>Unknown</t>
  </si>
  <si>
    <t>handlers-cleaners</t>
  </si>
  <si>
    <t>NY</t>
  </si>
  <si>
    <t>Fraud Rate by Vehicle Age</t>
  </si>
  <si>
    <t>Average of capital-gains</t>
  </si>
  <si>
    <t>Min of property_claim</t>
  </si>
  <si>
    <t>machine-op-inspct</t>
  </si>
  <si>
    <t>vehicle age</t>
  </si>
  <si>
    <t>other-service</t>
  </si>
  <si>
    <t>PA</t>
  </si>
  <si>
    <t>Fraud Rate by Number of Vehicles Involved</t>
  </si>
  <si>
    <t>priv-house-serv</t>
  </si>
  <si>
    <t>SC</t>
  </si>
  <si>
    <t>no of vehicles involved</t>
  </si>
  <si>
    <t>prof-specialty</t>
  </si>
  <si>
    <t>VA</t>
  </si>
  <si>
    <t>protective-serv</t>
  </si>
  <si>
    <t>WV</t>
  </si>
  <si>
    <t>Max of property_claim</t>
  </si>
  <si>
    <t>sales</t>
  </si>
  <si>
    <t>Average of capital-loss</t>
  </si>
  <si>
    <t>tech-support</t>
  </si>
  <si>
    <t>transport-moving</t>
  </si>
  <si>
    <t>Fraud Rate by Police Report Available</t>
  </si>
  <si>
    <t>police report available</t>
  </si>
  <si>
    <t>Max of vehicle_claim</t>
  </si>
  <si>
    <t>Fraud Rate by Relationship</t>
  </si>
  <si>
    <t>Average of policy_annual_premium</t>
  </si>
  <si>
    <t>insured relationship</t>
  </si>
  <si>
    <t>husband</t>
  </si>
  <si>
    <t>not-in-family</t>
  </si>
  <si>
    <t>other-relative</t>
  </si>
  <si>
    <t>own-child</t>
  </si>
  <si>
    <t>Min of vehicle_claim</t>
  </si>
  <si>
    <t>unmarried</t>
  </si>
  <si>
    <t>Fraud Rate by Bodily Injuries</t>
  </si>
  <si>
    <t>wife</t>
  </si>
  <si>
    <t>bodily injuries</t>
  </si>
  <si>
    <t>Fraud Rate by Educational Level</t>
  </si>
  <si>
    <t>insured educational level</t>
  </si>
  <si>
    <t>Associate</t>
  </si>
  <si>
    <t>Fraud Rate by Witnesses</t>
  </si>
  <si>
    <t>College</t>
  </si>
  <si>
    <t>witnesses</t>
  </si>
  <si>
    <t>High School</t>
  </si>
  <si>
    <t>JD</t>
  </si>
  <si>
    <t>Masters</t>
  </si>
  <si>
    <t>MD</t>
  </si>
  <si>
    <t>PhD</t>
  </si>
  <si>
    <t>Fraud Rate by Authorities Contacted</t>
  </si>
  <si>
    <t>authorities contacted</t>
  </si>
  <si>
    <t>Ambulance</t>
  </si>
  <si>
    <t>Fire</t>
  </si>
  <si>
    <t>None</t>
  </si>
  <si>
    <t>Other</t>
  </si>
  <si>
    <t>Police</t>
  </si>
  <si>
    <t>Fraud Rate by Property Damage</t>
  </si>
  <si>
    <t>property damage</t>
  </si>
  <si>
    <t>Fraud Rate by Times</t>
  </si>
  <si>
    <t>Afternoon</t>
  </si>
  <si>
    <t>Evening</t>
  </si>
  <si>
    <t>Morning</t>
  </si>
  <si>
    <t>Night</t>
  </si>
  <si>
    <t>Time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</si>
</sst>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&quot;%&quot;"/>
    <numFmt numFmtId="165" formatCode="[$$-409]#,##0.00"/>
    <numFmt numFmtId="166" formatCode="[$$-409]#,##0"/>
    <numFmt numFmtId="167" formatCode="0.00&quot;%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2" fontId="4" fillId="0" borderId="0" xfId="0" applyNumberFormat="1" applyFont="1"/>
    <xf numFmtId="164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167" fontId="4" fillId="0" borderId="0" xfId="0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3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6" formatCode="[$$-409]#,##0"/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numFmt numFmtId="168" formatCode="&quot;£&quot;#,##0.0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  <dxf>
      <numFmt numFmtId="166" formatCode="[$$-409]#,##0"/>
    </dxf>
    <dxf>
      <numFmt numFmtId="166" formatCode="[$$-409]#,##0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[$$-409]#,##0.00"/>
    </dxf>
    <dxf>
      <numFmt numFmtId="165" formatCode="[$$-409]#,##0.00"/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pivotCacheDefinition" Target="pivotCache/pivotCacheDefinition23.xml"/><Relationship Id="rId39" Type="http://schemas.openxmlformats.org/officeDocument/2006/relationships/pivotCacheDefinition" Target="pivotCache/pivotCacheDefinition36.xml"/><Relationship Id="rId21" Type="http://schemas.openxmlformats.org/officeDocument/2006/relationships/pivotCacheDefinition" Target="pivotCache/pivotCacheDefinition18.xml"/><Relationship Id="rId34" Type="http://schemas.openxmlformats.org/officeDocument/2006/relationships/pivotCacheDefinition" Target="pivotCache/pivotCacheDefinition31.xml"/><Relationship Id="rId42" Type="http://schemas.openxmlformats.org/officeDocument/2006/relationships/connections" Target="connections.xml"/><Relationship Id="rId7" Type="http://schemas.openxmlformats.org/officeDocument/2006/relationships/pivotCacheDefinition" Target="pivotCache/pivotCacheDefinition4.xml"/><Relationship Id="rId2" Type="http://schemas.openxmlformats.org/officeDocument/2006/relationships/externalLink" Target="externalLinks/externalLink1.xml"/><Relationship Id="rId16" Type="http://schemas.openxmlformats.org/officeDocument/2006/relationships/pivotCacheDefinition" Target="pivotCache/pivotCacheDefinition13.xml"/><Relationship Id="rId29" Type="http://schemas.openxmlformats.org/officeDocument/2006/relationships/pivotCacheDefinition" Target="pivotCache/pivotCacheDefinition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21.xml"/><Relationship Id="rId32" Type="http://schemas.openxmlformats.org/officeDocument/2006/relationships/pivotCacheDefinition" Target="pivotCache/pivotCacheDefinition29.xml"/><Relationship Id="rId37" Type="http://schemas.openxmlformats.org/officeDocument/2006/relationships/pivotCacheDefinition" Target="pivotCache/pivotCacheDefinition34.xml"/><Relationship Id="rId40" Type="http://schemas.openxmlformats.org/officeDocument/2006/relationships/pivotCacheDefinition" Target="pivotCache/pivotCacheDefinition37.xml"/><Relationship Id="rId45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pivotCacheDefinition" Target="pivotCache/pivotCacheDefinition20.xml"/><Relationship Id="rId28" Type="http://schemas.openxmlformats.org/officeDocument/2006/relationships/pivotCacheDefinition" Target="pivotCache/pivotCacheDefinition25.xml"/><Relationship Id="rId36" Type="http://schemas.openxmlformats.org/officeDocument/2006/relationships/pivotCacheDefinition" Target="pivotCache/pivotCacheDefinition33.xml"/><Relationship Id="rId10" Type="http://schemas.openxmlformats.org/officeDocument/2006/relationships/pivotCacheDefinition" Target="pivotCache/pivotCacheDefinition7.xml"/><Relationship Id="rId19" Type="http://schemas.openxmlformats.org/officeDocument/2006/relationships/pivotCacheDefinition" Target="pivotCache/pivotCacheDefinition16.xml"/><Relationship Id="rId31" Type="http://schemas.openxmlformats.org/officeDocument/2006/relationships/pivotCacheDefinition" Target="pivotCache/pivotCacheDefinition28.xml"/><Relationship Id="rId44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ivotCacheDefinition" Target="pivotCache/pivotCacheDefinition19.xml"/><Relationship Id="rId27" Type="http://schemas.openxmlformats.org/officeDocument/2006/relationships/pivotCacheDefinition" Target="pivotCache/pivotCacheDefinition24.xml"/><Relationship Id="rId30" Type="http://schemas.openxmlformats.org/officeDocument/2006/relationships/pivotCacheDefinition" Target="pivotCache/pivotCacheDefinition27.xml"/><Relationship Id="rId35" Type="http://schemas.openxmlformats.org/officeDocument/2006/relationships/pivotCacheDefinition" Target="pivotCache/pivotCacheDefinition32.xml"/><Relationship Id="rId43" Type="http://schemas.openxmlformats.org/officeDocument/2006/relationships/styles" Target="styles.xml"/><Relationship Id="rId8" Type="http://schemas.openxmlformats.org/officeDocument/2006/relationships/pivotCacheDefinition" Target="pivotCache/pivotCacheDefinition5.xml"/><Relationship Id="rId3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ivotCacheDefinition" Target="pivotCache/pivotCacheDefinition22.xml"/><Relationship Id="rId33" Type="http://schemas.openxmlformats.org/officeDocument/2006/relationships/pivotCacheDefinition" Target="pivotCache/pivotCacheDefinition30.xml"/><Relationship Id="rId38" Type="http://schemas.openxmlformats.org/officeDocument/2006/relationships/pivotCacheDefinition" Target="pivotCache/pivotCacheDefinition35.xml"/><Relationship Id="rId46" Type="http://schemas.openxmlformats.org/officeDocument/2006/relationships/calcChain" Target="calcChain.xml"/><Relationship Id="rId20" Type="http://schemas.openxmlformats.org/officeDocument/2006/relationships/pivotCacheDefinition" Target="pivotCache/pivotCacheDefinition17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92-4561-A8C9-5C0628F98C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92-4561-A8C9-5C0628F98C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EDA!$A$6:$A$7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EDA!$B$6:$B$7</c:f>
              <c:numCache>
                <c:formatCode>General</c:formatCode>
                <c:ptCount val="2"/>
                <c:pt idx="0">
                  <c:v>753</c:v>
                </c:pt>
                <c:pt idx="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92-4561-A8C9-5C0628F98C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171450</xdr:rowOff>
    </xdr:from>
    <xdr:to>
      <xdr:col>2</xdr:col>
      <xdr:colOff>1990725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ED0DD-45FC-47E9-95DD-8D7AA647C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insurance_clai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Insurance%20Claim%20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 Insurance Claim Dataset"/>
      <sheetName val="EDA"/>
      <sheetName val="sta test"/>
      <sheetName val="Insurance Claims Dataset"/>
    </sheetNames>
    <sheetDataSet>
      <sheetData sheetId="0">
        <row r="1">
          <cell r="A1" t="str">
            <v>months_as_customer</v>
          </cell>
        </row>
        <row r="2">
          <cell r="AR2" t="str">
            <v>Y</v>
          </cell>
        </row>
        <row r="3">
          <cell r="AR3" t="str">
            <v>Y</v>
          </cell>
        </row>
        <row r="4">
          <cell r="AR4" t="str">
            <v>N</v>
          </cell>
        </row>
        <row r="5">
          <cell r="AR5" t="str">
            <v>Y</v>
          </cell>
        </row>
        <row r="6">
          <cell r="AR6" t="str">
            <v>N</v>
          </cell>
        </row>
        <row r="7">
          <cell r="AR7" t="str">
            <v>Y</v>
          </cell>
        </row>
        <row r="8">
          <cell r="AR8" t="str">
            <v>N</v>
          </cell>
        </row>
        <row r="9">
          <cell r="AR9" t="str">
            <v>N</v>
          </cell>
        </row>
        <row r="10">
          <cell r="AR10" t="str">
            <v>N</v>
          </cell>
        </row>
        <row r="11">
          <cell r="AR11" t="str">
            <v>N</v>
          </cell>
        </row>
        <row r="12">
          <cell r="AR12" t="str">
            <v>N</v>
          </cell>
        </row>
        <row r="13">
          <cell r="AR13" t="str">
            <v>N</v>
          </cell>
        </row>
        <row r="14">
          <cell r="AR14" t="str">
            <v>N</v>
          </cell>
        </row>
        <row r="15">
          <cell r="AR15" t="str">
            <v>N</v>
          </cell>
        </row>
        <row r="16">
          <cell r="AR16" t="str">
            <v>Y</v>
          </cell>
        </row>
        <row r="17">
          <cell r="AR17" t="str">
            <v>Y</v>
          </cell>
        </row>
        <row r="18">
          <cell r="AR18" t="str">
            <v>N</v>
          </cell>
        </row>
        <row r="19">
          <cell r="AR19" t="str">
            <v>N</v>
          </cell>
        </row>
        <row r="20">
          <cell r="AR20" t="str">
            <v>N</v>
          </cell>
        </row>
        <row r="21">
          <cell r="AR21" t="str">
            <v>N</v>
          </cell>
        </row>
        <row r="22">
          <cell r="AR22" t="str">
            <v>N</v>
          </cell>
        </row>
        <row r="23">
          <cell r="AR23" t="str">
            <v>N</v>
          </cell>
        </row>
        <row r="24">
          <cell r="AR24" t="str">
            <v>Y</v>
          </cell>
        </row>
        <row r="25">
          <cell r="AR25" t="str">
            <v>Y</v>
          </cell>
        </row>
        <row r="26">
          <cell r="AR26" t="str">
            <v>N</v>
          </cell>
        </row>
        <row r="27">
          <cell r="AR27" t="str">
            <v>Y</v>
          </cell>
        </row>
        <row r="28">
          <cell r="AR28" t="str">
            <v>N</v>
          </cell>
        </row>
        <row r="29">
          <cell r="AR29" t="str">
            <v>Y</v>
          </cell>
        </row>
        <row r="30">
          <cell r="AR30" t="str">
            <v>N</v>
          </cell>
        </row>
        <row r="31">
          <cell r="AR31" t="str">
            <v>N</v>
          </cell>
        </row>
        <row r="32">
          <cell r="AR32" t="str">
            <v>N</v>
          </cell>
        </row>
        <row r="33">
          <cell r="AR33" t="str">
            <v>Y</v>
          </cell>
        </row>
        <row r="34">
          <cell r="AR34" t="str">
            <v>N</v>
          </cell>
        </row>
        <row r="35">
          <cell r="AR35" t="str">
            <v>N</v>
          </cell>
        </row>
        <row r="36">
          <cell r="AR36" t="str">
            <v>N</v>
          </cell>
        </row>
        <row r="37">
          <cell r="AR37" t="str">
            <v>Y</v>
          </cell>
        </row>
        <row r="38">
          <cell r="AR38" t="str">
            <v>Y</v>
          </cell>
        </row>
        <row r="39">
          <cell r="AR39" t="str">
            <v>N</v>
          </cell>
        </row>
        <row r="40">
          <cell r="AR40" t="str">
            <v>N</v>
          </cell>
        </row>
        <row r="41">
          <cell r="AR41" t="str">
            <v>Y</v>
          </cell>
        </row>
        <row r="42">
          <cell r="AR42" t="str">
            <v>N</v>
          </cell>
        </row>
        <row r="43">
          <cell r="AR43" t="str">
            <v>Y</v>
          </cell>
        </row>
        <row r="44">
          <cell r="AR44" t="str">
            <v>N</v>
          </cell>
        </row>
        <row r="45">
          <cell r="AR45" t="str">
            <v>N</v>
          </cell>
        </row>
        <row r="46">
          <cell r="AR46" t="str">
            <v>N</v>
          </cell>
        </row>
        <row r="47">
          <cell r="AR47" t="str">
            <v>N</v>
          </cell>
        </row>
        <row r="48">
          <cell r="AR48" t="str">
            <v>N</v>
          </cell>
        </row>
        <row r="49">
          <cell r="AR49" t="str">
            <v>Y</v>
          </cell>
        </row>
        <row r="50">
          <cell r="AR50" t="str">
            <v>N</v>
          </cell>
        </row>
        <row r="51">
          <cell r="AR51" t="str">
            <v>N</v>
          </cell>
        </row>
        <row r="52">
          <cell r="AR52" t="str">
            <v>N</v>
          </cell>
        </row>
        <row r="53">
          <cell r="AR53" t="str">
            <v>N</v>
          </cell>
        </row>
        <row r="54">
          <cell r="AR54" t="str">
            <v>N</v>
          </cell>
        </row>
        <row r="55">
          <cell r="AR55" t="str">
            <v>N</v>
          </cell>
        </row>
        <row r="56">
          <cell r="AR56" t="str">
            <v>N</v>
          </cell>
        </row>
        <row r="57">
          <cell r="AR57" t="str">
            <v>N</v>
          </cell>
        </row>
        <row r="58">
          <cell r="AR58" t="str">
            <v>N</v>
          </cell>
        </row>
        <row r="59">
          <cell r="AR59" t="str">
            <v>N</v>
          </cell>
        </row>
        <row r="60">
          <cell r="AR60" t="str">
            <v>N</v>
          </cell>
        </row>
        <row r="61">
          <cell r="AR61" t="str">
            <v>N</v>
          </cell>
        </row>
        <row r="62">
          <cell r="AR62" t="str">
            <v>Y</v>
          </cell>
        </row>
        <row r="63">
          <cell r="AR63" t="str">
            <v>N</v>
          </cell>
        </row>
        <row r="64">
          <cell r="AR64" t="str">
            <v>N</v>
          </cell>
        </row>
        <row r="65">
          <cell r="AR65" t="str">
            <v>Y</v>
          </cell>
        </row>
        <row r="66">
          <cell r="AR66" t="str">
            <v>Y</v>
          </cell>
        </row>
        <row r="67">
          <cell r="AR67" t="str">
            <v>Y</v>
          </cell>
        </row>
        <row r="68">
          <cell r="AR68" t="str">
            <v>Y</v>
          </cell>
        </row>
        <row r="69">
          <cell r="AR69" t="str">
            <v>N</v>
          </cell>
        </row>
        <row r="70">
          <cell r="AR70" t="str">
            <v>N</v>
          </cell>
        </row>
        <row r="71">
          <cell r="AR71" t="str">
            <v>N</v>
          </cell>
        </row>
        <row r="72">
          <cell r="AR72" t="str">
            <v>Y</v>
          </cell>
        </row>
        <row r="73">
          <cell r="AR73" t="str">
            <v>Y</v>
          </cell>
        </row>
        <row r="74">
          <cell r="AR74" t="str">
            <v>N</v>
          </cell>
        </row>
        <row r="75">
          <cell r="AR75" t="str">
            <v>N</v>
          </cell>
        </row>
        <row r="76">
          <cell r="AR76" t="str">
            <v>N</v>
          </cell>
        </row>
        <row r="77">
          <cell r="AR77" t="str">
            <v>N</v>
          </cell>
        </row>
        <row r="78">
          <cell r="AR78" t="str">
            <v>N</v>
          </cell>
        </row>
        <row r="79">
          <cell r="AR79" t="str">
            <v>N</v>
          </cell>
        </row>
        <row r="80">
          <cell r="AR80" t="str">
            <v>N</v>
          </cell>
        </row>
        <row r="81">
          <cell r="AR81" t="str">
            <v>Y</v>
          </cell>
        </row>
        <row r="82">
          <cell r="AR82" t="str">
            <v>N</v>
          </cell>
        </row>
        <row r="83">
          <cell r="AR83" t="str">
            <v>N</v>
          </cell>
        </row>
        <row r="84">
          <cell r="AR84" t="str">
            <v>N</v>
          </cell>
        </row>
        <row r="85">
          <cell r="AR85" t="str">
            <v>N</v>
          </cell>
        </row>
        <row r="86">
          <cell r="AR86" t="str">
            <v>Y</v>
          </cell>
        </row>
        <row r="87">
          <cell r="AR87" t="str">
            <v>N</v>
          </cell>
        </row>
        <row r="88">
          <cell r="AR88" t="str">
            <v>N</v>
          </cell>
        </row>
        <row r="89">
          <cell r="AR89" t="str">
            <v>N</v>
          </cell>
        </row>
        <row r="90">
          <cell r="AR90" t="str">
            <v>N</v>
          </cell>
        </row>
        <row r="91">
          <cell r="AR91" t="str">
            <v>Y</v>
          </cell>
        </row>
        <row r="92">
          <cell r="AR92" t="str">
            <v>N</v>
          </cell>
        </row>
        <row r="93">
          <cell r="AR93" t="str">
            <v>Y</v>
          </cell>
        </row>
        <row r="94">
          <cell r="AR94" t="str">
            <v>N</v>
          </cell>
        </row>
        <row r="95">
          <cell r="AR95" t="str">
            <v>N</v>
          </cell>
        </row>
        <row r="96">
          <cell r="AR96" t="str">
            <v>N</v>
          </cell>
        </row>
        <row r="97">
          <cell r="AR97" t="str">
            <v>N</v>
          </cell>
        </row>
        <row r="98">
          <cell r="AR98" t="str">
            <v>Y</v>
          </cell>
        </row>
        <row r="99">
          <cell r="AR99" t="str">
            <v>Y</v>
          </cell>
        </row>
        <row r="100">
          <cell r="AR100" t="str">
            <v>N</v>
          </cell>
        </row>
        <row r="101">
          <cell r="AR101" t="str">
            <v>N</v>
          </cell>
        </row>
        <row r="102">
          <cell r="AR102" t="str">
            <v>N</v>
          </cell>
        </row>
        <row r="103">
          <cell r="AR103" t="str">
            <v>N</v>
          </cell>
        </row>
        <row r="104">
          <cell r="AR104" t="str">
            <v>N</v>
          </cell>
        </row>
        <row r="105">
          <cell r="AR105" t="str">
            <v>N</v>
          </cell>
        </row>
        <row r="106">
          <cell r="AR106" t="str">
            <v>N</v>
          </cell>
        </row>
        <row r="107">
          <cell r="AR107" t="str">
            <v>N</v>
          </cell>
        </row>
        <row r="108">
          <cell r="AR108" t="str">
            <v>Y</v>
          </cell>
        </row>
        <row r="109">
          <cell r="AR109" t="str">
            <v>N</v>
          </cell>
        </row>
        <row r="110">
          <cell r="AR110" t="str">
            <v>Y</v>
          </cell>
        </row>
        <row r="111">
          <cell r="AR111" t="str">
            <v>Y</v>
          </cell>
        </row>
        <row r="112">
          <cell r="AR112" t="str">
            <v>N</v>
          </cell>
        </row>
        <row r="113">
          <cell r="AR113" t="str">
            <v>Y</v>
          </cell>
        </row>
        <row r="114">
          <cell r="AR114" t="str">
            <v>N</v>
          </cell>
        </row>
        <row r="115">
          <cell r="AR115" t="str">
            <v>N</v>
          </cell>
        </row>
        <row r="116">
          <cell r="AR116" t="str">
            <v>N</v>
          </cell>
        </row>
        <row r="117">
          <cell r="AR117" t="str">
            <v>Y</v>
          </cell>
        </row>
        <row r="118">
          <cell r="AR118" t="str">
            <v>N</v>
          </cell>
        </row>
        <row r="119">
          <cell r="AR119" t="str">
            <v>Y</v>
          </cell>
        </row>
        <row r="120">
          <cell r="AR120" t="str">
            <v>N</v>
          </cell>
        </row>
        <row r="121">
          <cell r="AR121" t="str">
            <v>N</v>
          </cell>
        </row>
        <row r="122">
          <cell r="AR122" t="str">
            <v>N</v>
          </cell>
        </row>
        <row r="123">
          <cell r="AR123" t="str">
            <v>Y</v>
          </cell>
        </row>
        <row r="124">
          <cell r="AR124" t="str">
            <v>Y</v>
          </cell>
        </row>
        <row r="125">
          <cell r="AR125" t="str">
            <v>N</v>
          </cell>
        </row>
        <row r="126">
          <cell r="AR126" t="str">
            <v>N</v>
          </cell>
        </row>
        <row r="127">
          <cell r="AR127" t="str">
            <v>N</v>
          </cell>
        </row>
        <row r="128">
          <cell r="AR128" t="str">
            <v>N</v>
          </cell>
        </row>
        <row r="129">
          <cell r="AR129" t="str">
            <v>N</v>
          </cell>
        </row>
        <row r="130">
          <cell r="AR130" t="str">
            <v>Y</v>
          </cell>
        </row>
        <row r="131">
          <cell r="AR131" t="str">
            <v>Y</v>
          </cell>
        </row>
        <row r="132">
          <cell r="AR132" t="str">
            <v>N</v>
          </cell>
        </row>
        <row r="133">
          <cell r="AR133" t="str">
            <v>N</v>
          </cell>
        </row>
        <row r="134">
          <cell r="AR134" t="str">
            <v>N</v>
          </cell>
        </row>
        <row r="135">
          <cell r="AR135" t="str">
            <v>N</v>
          </cell>
        </row>
        <row r="136">
          <cell r="AR136" t="str">
            <v>N</v>
          </cell>
        </row>
        <row r="137">
          <cell r="AR137" t="str">
            <v>Y</v>
          </cell>
        </row>
        <row r="138">
          <cell r="AR138" t="str">
            <v>N</v>
          </cell>
        </row>
        <row r="139">
          <cell r="AR139" t="str">
            <v>N</v>
          </cell>
        </row>
        <row r="140">
          <cell r="AR140" t="str">
            <v>N</v>
          </cell>
        </row>
        <row r="141">
          <cell r="AR141" t="str">
            <v>N</v>
          </cell>
        </row>
        <row r="142">
          <cell r="AR142" t="str">
            <v>N</v>
          </cell>
        </row>
        <row r="143">
          <cell r="AR143" t="str">
            <v>N</v>
          </cell>
        </row>
        <row r="144">
          <cell r="AR144" t="str">
            <v>N</v>
          </cell>
        </row>
        <row r="145">
          <cell r="AR145" t="str">
            <v>Y</v>
          </cell>
        </row>
        <row r="146">
          <cell r="AR146" t="str">
            <v>N</v>
          </cell>
        </row>
        <row r="147">
          <cell r="AR147" t="str">
            <v>Y</v>
          </cell>
        </row>
        <row r="148">
          <cell r="AR148" t="str">
            <v>Y</v>
          </cell>
        </row>
        <row r="149">
          <cell r="AR149" t="str">
            <v>N</v>
          </cell>
        </row>
        <row r="150">
          <cell r="AR150" t="str">
            <v>Y</v>
          </cell>
        </row>
        <row r="151">
          <cell r="AR151" t="str">
            <v>Y</v>
          </cell>
        </row>
        <row r="152">
          <cell r="AR152" t="str">
            <v>N</v>
          </cell>
        </row>
        <row r="153">
          <cell r="AR153" t="str">
            <v>N</v>
          </cell>
        </row>
        <row r="154">
          <cell r="AR154" t="str">
            <v>Y</v>
          </cell>
        </row>
        <row r="155">
          <cell r="AR155" t="str">
            <v>N</v>
          </cell>
        </row>
        <row r="156">
          <cell r="AR156" t="str">
            <v>Y</v>
          </cell>
        </row>
        <row r="157">
          <cell r="AR157" t="str">
            <v>Y</v>
          </cell>
        </row>
        <row r="158">
          <cell r="AR158" t="str">
            <v>N</v>
          </cell>
        </row>
        <row r="159">
          <cell r="AR159" t="str">
            <v>N</v>
          </cell>
        </row>
        <row r="160">
          <cell r="AR160" t="str">
            <v>N</v>
          </cell>
        </row>
        <row r="161">
          <cell r="AR161" t="str">
            <v>N</v>
          </cell>
        </row>
        <row r="162">
          <cell r="AR162" t="str">
            <v>N</v>
          </cell>
        </row>
        <row r="163">
          <cell r="AR163" t="str">
            <v>N</v>
          </cell>
        </row>
        <row r="164">
          <cell r="AR164" t="str">
            <v>N</v>
          </cell>
        </row>
        <row r="165">
          <cell r="AR165" t="str">
            <v>Y</v>
          </cell>
        </row>
        <row r="166">
          <cell r="AR166" t="str">
            <v>N</v>
          </cell>
        </row>
        <row r="167">
          <cell r="AR167" t="str">
            <v>N</v>
          </cell>
        </row>
        <row r="168">
          <cell r="AR168" t="str">
            <v>Y</v>
          </cell>
        </row>
        <row r="169">
          <cell r="AR169" t="str">
            <v>N</v>
          </cell>
        </row>
        <row r="170">
          <cell r="AR170" t="str">
            <v>N</v>
          </cell>
        </row>
        <row r="171">
          <cell r="AR171" t="str">
            <v>N</v>
          </cell>
        </row>
        <row r="172">
          <cell r="AR172" t="str">
            <v>N</v>
          </cell>
        </row>
        <row r="173">
          <cell r="AR173" t="str">
            <v>Y</v>
          </cell>
        </row>
        <row r="174">
          <cell r="AR174" t="str">
            <v>N</v>
          </cell>
        </row>
        <row r="175">
          <cell r="AR175" t="str">
            <v>N</v>
          </cell>
        </row>
        <row r="176">
          <cell r="AR176" t="str">
            <v>N</v>
          </cell>
        </row>
        <row r="177">
          <cell r="AR177" t="str">
            <v>N</v>
          </cell>
        </row>
        <row r="178">
          <cell r="AR178" t="str">
            <v>N</v>
          </cell>
        </row>
        <row r="179">
          <cell r="AR179" t="str">
            <v>N</v>
          </cell>
        </row>
        <row r="180">
          <cell r="AR180" t="str">
            <v>N</v>
          </cell>
        </row>
        <row r="181">
          <cell r="AR181" t="str">
            <v>N</v>
          </cell>
        </row>
        <row r="182">
          <cell r="AR182" t="str">
            <v>N</v>
          </cell>
        </row>
        <row r="183">
          <cell r="AR183" t="str">
            <v>N</v>
          </cell>
        </row>
        <row r="184">
          <cell r="AR184" t="str">
            <v>N</v>
          </cell>
        </row>
        <row r="185">
          <cell r="AR185" t="str">
            <v>Y</v>
          </cell>
        </row>
        <row r="186">
          <cell r="AR186" t="str">
            <v>N</v>
          </cell>
        </row>
        <row r="187">
          <cell r="AR187" t="str">
            <v>Y</v>
          </cell>
        </row>
        <row r="188">
          <cell r="AR188" t="str">
            <v>N</v>
          </cell>
        </row>
        <row r="189">
          <cell r="AR189" t="str">
            <v>N</v>
          </cell>
        </row>
        <row r="190">
          <cell r="AR190" t="str">
            <v>Y</v>
          </cell>
        </row>
        <row r="191">
          <cell r="AR191" t="str">
            <v>N</v>
          </cell>
        </row>
        <row r="192">
          <cell r="AR192" t="str">
            <v>N</v>
          </cell>
        </row>
        <row r="193">
          <cell r="AR193" t="str">
            <v>N</v>
          </cell>
        </row>
        <row r="194">
          <cell r="AR194" t="str">
            <v>N</v>
          </cell>
        </row>
        <row r="195">
          <cell r="AR195" t="str">
            <v>N</v>
          </cell>
        </row>
        <row r="196">
          <cell r="AR196" t="str">
            <v>N</v>
          </cell>
        </row>
        <row r="197">
          <cell r="AR197" t="str">
            <v>N</v>
          </cell>
        </row>
        <row r="198">
          <cell r="AR198" t="str">
            <v>Y</v>
          </cell>
        </row>
        <row r="199">
          <cell r="AR199" t="str">
            <v>N</v>
          </cell>
        </row>
        <row r="200">
          <cell r="AR200" t="str">
            <v>N</v>
          </cell>
        </row>
        <row r="201">
          <cell r="AR201" t="str">
            <v>N</v>
          </cell>
        </row>
        <row r="202">
          <cell r="AR202" t="str">
            <v>N</v>
          </cell>
        </row>
        <row r="203">
          <cell r="AR203" t="str">
            <v>N</v>
          </cell>
        </row>
        <row r="204">
          <cell r="AR204" t="str">
            <v>N</v>
          </cell>
        </row>
        <row r="205">
          <cell r="AR205" t="str">
            <v>N</v>
          </cell>
        </row>
        <row r="206">
          <cell r="AR206" t="str">
            <v>N</v>
          </cell>
        </row>
        <row r="207">
          <cell r="AR207" t="str">
            <v>N</v>
          </cell>
        </row>
        <row r="208">
          <cell r="AR208" t="str">
            <v>Y</v>
          </cell>
        </row>
        <row r="209">
          <cell r="AR209" t="str">
            <v>N</v>
          </cell>
        </row>
        <row r="210">
          <cell r="AR210" t="str">
            <v>N</v>
          </cell>
        </row>
        <row r="211">
          <cell r="AR211" t="str">
            <v>N</v>
          </cell>
        </row>
        <row r="212">
          <cell r="AR212" t="str">
            <v>N</v>
          </cell>
        </row>
        <row r="213">
          <cell r="AR213" t="str">
            <v>N</v>
          </cell>
        </row>
        <row r="214">
          <cell r="AR214" t="str">
            <v>N</v>
          </cell>
        </row>
        <row r="215">
          <cell r="AR215" t="str">
            <v>Y</v>
          </cell>
        </row>
        <row r="216">
          <cell r="AR216" t="str">
            <v>Y</v>
          </cell>
        </row>
        <row r="217">
          <cell r="AR217" t="str">
            <v>Y</v>
          </cell>
        </row>
        <row r="218">
          <cell r="AR218" t="str">
            <v>N</v>
          </cell>
        </row>
        <row r="219">
          <cell r="AR219" t="str">
            <v>N</v>
          </cell>
        </row>
        <row r="220">
          <cell r="AR220" t="str">
            <v>Y</v>
          </cell>
        </row>
        <row r="221">
          <cell r="AR221" t="str">
            <v>N</v>
          </cell>
        </row>
        <row r="222">
          <cell r="AR222" t="str">
            <v>Y</v>
          </cell>
        </row>
        <row r="223">
          <cell r="AR223" t="str">
            <v>N</v>
          </cell>
        </row>
        <row r="224">
          <cell r="AR224" t="str">
            <v>N</v>
          </cell>
        </row>
        <row r="225">
          <cell r="AR225" t="str">
            <v>N</v>
          </cell>
        </row>
        <row r="226">
          <cell r="AR226" t="str">
            <v>N</v>
          </cell>
        </row>
        <row r="227">
          <cell r="AR227" t="str">
            <v>N</v>
          </cell>
        </row>
        <row r="228">
          <cell r="AR228" t="str">
            <v>N</v>
          </cell>
        </row>
        <row r="229">
          <cell r="AR229" t="str">
            <v>Y</v>
          </cell>
        </row>
        <row r="230">
          <cell r="AR230" t="str">
            <v>N</v>
          </cell>
        </row>
        <row r="231">
          <cell r="AR231" t="str">
            <v>N</v>
          </cell>
        </row>
        <row r="232">
          <cell r="AR232" t="str">
            <v>N</v>
          </cell>
        </row>
        <row r="233">
          <cell r="AR233" t="str">
            <v>N</v>
          </cell>
        </row>
        <row r="234">
          <cell r="AR234" t="str">
            <v>N</v>
          </cell>
        </row>
        <row r="235">
          <cell r="AR235" t="str">
            <v>N</v>
          </cell>
        </row>
        <row r="236">
          <cell r="AR236" t="str">
            <v>Y</v>
          </cell>
        </row>
        <row r="237">
          <cell r="AR237" t="str">
            <v>N</v>
          </cell>
        </row>
        <row r="238">
          <cell r="AR238" t="str">
            <v>N</v>
          </cell>
        </row>
        <row r="239">
          <cell r="AR239" t="str">
            <v>Y</v>
          </cell>
        </row>
        <row r="240">
          <cell r="AR240" t="str">
            <v>N</v>
          </cell>
        </row>
        <row r="241">
          <cell r="AR241" t="str">
            <v>N</v>
          </cell>
        </row>
        <row r="242">
          <cell r="AR242" t="str">
            <v>N</v>
          </cell>
        </row>
        <row r="243">
          <cell r="AR243" t="str">
            <v>Y</v>
          </cell>
        </row>
        <row r="244">
          <cell r="AR244" t="str">
            <v>N</v>
          </cell>
        </row>
        <row r="245">
          <cell r="AR245" t="str">
            <v>N</v>
          </cell>
        </row>
        <row r="246">
          <cell r="AR246" t="str">
            <v>N</v>
          </cell>
        </row>
        <row r="247">
          <cell r="AR247" t="str">
            <v>Y</v>
          </cell>
        </row>
        <row r="248">
          <cell r="AR248" t="str">
            <v>N</v>
          </cell>
        </row>
        <row r="249">
          <cell r="AR249" t="str">
            <v>Y</v>
          </cell>
        </row>
        <row r="250">
          <cell r="AR250" t="str">
            <v>N</v>
          </cell>
        </row>
        <row r="251">
          <cell r="AR251" t="str">
            <v>N</v>
          </cell>
        </row>
        <row r="252">
          <cell r="AR252" t="str">
            <v>Y</v>
          </cell>
        </row>
        <row r="253">
          <cell r="AR253" t="str">
            <v>Y</v>
          </cell>
        </row>
        <row r="254">
          <cell r="AR254" t="str">
            <v>N</v>
          </cell>
        </row>
        <row r="255">
          <cell r="AR255" t="str">
            <v>Y</v>
          </cell>
        </row>
        <row r="256">
          <cell r="AR256" t="str">
            <v>Y</v>
          </cell>
        </row>
        <row r="257">
          <cell r="AR257" t="str">
            <v>N</v>
          </cell>
        </row>
        <row r="258">
          <cell r="AR258" t="str">
            <v>N</v>
          </cell>
        </row>
        <row r="259">
          <cell r="AR259" t="str">
            <v>Y</v>
          </cell>
        </row>
        <row r="260">
          <cell r="AR260" t="str">
            <v>N</v>
          </cell>
        </row>
        <row r="261">
          <cell r="AR261" t="str">
            <v>Y</v>
          </cell>
        </row>
        <row r="262">
          <cell r="AR262" t="str">
            <v>N</v>
          </cell>
        </row>
        <row r="263">
          <cell r="AR263" t="str">
            <v>Y</v>
          </cell>
        </row>
        <row r="264">
          <cell r="AR264" t="str">
            <v>Y</v>
          </cell>
        </row>
        <row r="265">
          <cell r="AR265" t="str">
            <v>N</v>
          </cell>
        </row>
        <row r="266">
          <cell r="AR266" t="str">
            <v>N</v>
          </cell>
        </row>
        <row r="267">
          <cell r="AR267" t="str">
            <v>N</v>
          </cell>
        </row>
        <row r="268">
          <cell r="AR268" t="str">
            <v>Y</v>
          </cell>
        </row>
        <row r="269">
          <cell r="AR269" t="str">
            <v>N</v>
          </cell>
        </row>
        <row r="270">
          <cell r="AR270" t="str">
            <v>N</v>
          </cell>
        </row>
        <row r="271">
          <cell r="AR271" t="str">
            <v>N</v>
          </cell>
        </row>
        <row r="272">
          <cell r="AR272" t="str">
            <v>N</v>
          </cell>
        </row>
        <row r="273">
          <cell r="AR273" t="str">
            <v>N</v>
          </cell>
        </row>
        <row r="274">
          <cell r="AR274" t="str">
            <v>Y</v>
          </cell>
        </row>
        <row r="275">
          <cell r="AR275" t="str">
            <v>N</v>
          </cell>
        </row>
        <row r="276">
          <cell r="AR276" t="str">
            <v>N</v>
          </cell>
        </row>
        <row r="277">
          <cell r="AR277" t="str">
            <v>N</v>
          </cell>
        </row>
        <row r="278">
          <cell r="AR278" t="str">
            <v>N</v>
          </cell>
        </row>
        <row r="279">
          <cell r="AR279" t="str">
            <v>Y</v>
          </cell>
        </row>
        <row r="280">
          <cell r="AR280" t="str">
            <v>Y</v>
          </cell>
        </row>
        <row r="281">
          <cell r="AR281" t="str">
            <v>N</v>
          </cell>
        </row>
        <row r="282">
          <cell r="AR282" t="str">
            <v>N</v>
          </cell>
        </row>
        <row r="283">
          <cell r="AR283" t="str">
            <v>Y</v>
          </cell>
        </row>
        <row r="284">
          <cell r="AR284" t="str">
            <v>N</v>
          </cell>
        </row>
        <row r="285">
          <cell r="AR285" t="str">
            <v>Y</v>
          </cell>
        </row>
        <row r="286">
          <cell r="AR286" t="str">
            <v>N</v>
          </cell>
        </row>
        <row r="287">
          <cell r="AR287" t="str">
            <v>N</v>
          </cell>
        </row>
        <row r="288">
          <cell r="AR288" t="str">
            <v>N</v>
          </cell>
        </row>
        <row r="289">
          <cell r="AR289" t="str">
            <v>N</v>
          </cell>
        </row>
        <row r="290">
          <cell r="AR290" t="str">
            <v>Y</v>
          </cell>
        </row>
        <row r="291">
          <cell r="AR291" t="str">
            <v>N</v>
          </cell>
        </row>
        <row r="292">
          <cell r="AR292" t="str">
            <v>N</v>
          </cell>
        </row>
        <row r="293">
          <cell r="AR293" t="str">
            <v>N</v>
          </cell>
        </row>
        <row r="294">
          <cell r="AR294" t="str">
            <v>Y</v>
          </cell>
        </row>
        <row r="295">
          <cell r="AR295" t="str">
            <v>N</v>
          </cell>
        </row>
        <row r="296">
          <cell r="AR296" t="str">
            <v>Y</v>
          </cell>
        </row>
        <row r="297">
          <cell r="AR297" t="str">
            <v>N</v>
          </cell>
        </row>
        <row r="298">
          <cell r="AR298" t="str">
            <v>N</v>
          </cell>
        </row>
        <row r="299">
          <cell r="AR299" t="str">
            <v>N</v>
          </cell>
        </row>
        <row r="300">
          <cell r="AR300" t="str">
            <v>N</v>
          </cell>
        </row>
        <row r="301">
          <cell r="AR301" t="str">
            <v>N</v>
          </cell>
        </row>
        <row r="302">
          <cell r="AR302" t="str">
            <v>N</v>
          </cell>
        </row>
        <row r="303">
          <cell r="AR303" t="str">
            <v>N</v>
          </cell>
        </row>
        <row r="304">
          <cell r="AR304" t="str">
            <v>N</v>
          </cell>
        </row>
        <row r="305">
          <cell r="AR305" t="str">
            <v>N</v>
          </cell>
        </row>
        <row r="306">
          <cell r="AR306" t="str">
            <v>N</v>
          </cell>
        </row>
        <row r="307">
          <cell r="AR307" t="str">
            <v>Y</v>
          </cell>
        </row>
        <row r="308">
          <cell r="AR308" t="str">
            <v>Y</v>
          </cell>
        </row>
        <row r="309">
          <cell r="AR309" t="str">
            <v>Y</v>
          </cell>
        </row>
        <row r="310">
          <cell r="AR310" t="str">
            <v>N</v>
          </cell>
        </row>
        <row r="311">
          <cell r="AR311" t="str">
            <v>N</v>
          </cell>
        </row>
        <row r="312">
          <cell r="AR312" t="str">
            <v>Y</v>
          </cell>
        </row>
        <row r="313">
          <cell r="AR313" t="str">
            <v>Y</v>
          </cell>
        </row>
        <row r="314">
          <cell r="AR314" t="str">
            <v>N</v>
          </cell>
        </row>
        <row r="315">
          <cell r="AR315" t="str">
            <v>N</v>
          </cell>
        </row>
        <row r="316">
          <cell r="AR316" t="str">
            <v>N</v>
          </cell>
        </row>
        <row r="317">
          <cell r="AR317" t="str">
            <v>N</v>
          </cell>
        </row>
        <row r="318">
          <cell r="AR318" t="str">
            <v>N</v>
          </cell>
        </row>
        <row r="319">
          <cell r="AR319" t="str">
            <v>N</v>
          </cell>
        </row>
        <row r="320">
          <cell r="AR320" t="str">
            <v>N</v>
          </cell>
        </row>
        <row r="321">
          <cell r="AR321" t="str">
            <v>Y</v>
          </cell>
        </row>
        <row r="322">
          <cell r="AR322" t="str">
            <v>N</v>
          </cell>
        </row>
        <row r="323">
          <cell r="AR323" t="str">
            <v>N</v>
          </cell>
        </row>
        <row r="324">
          <cell r="AR324" t="str">
            <v>N</v>
          </cell>
        </row>
        <row r="325">
          <cell r="AR325" t="str">
            <v>N</v>
          </cell>
        </row>
        <row r="326">
          <cell r="AR326" t="str">
            <v>Y</v>
          </cell>
        </row>
        <row r="327">
          <cell r="AR327" t="str">
            <v>N</v>
          </cell>
        </row>
        <row r="328">
          <cell r="AR328" t="str">
            <v>N</v>
          </cell>
        </row>
        <row r="329">
          <cell r="AR329" t="str">
            <v>N</v>
          </cell>
        </row>
        <row r="330">
          <cell r="AR330" t="str">
            <v>Y</v>
          </cell>
        </row>
        <row r="331">
          <cell r="AR331" t="str">
            <v>Y</v>
          </cell>
        </row>
        <row r="332">
          <cell r="AR332" t="str">
            <v>N</v>
          </cell>
        </row>
        <row r="333">
          <cell r="AR333" t="str">
            <v>Y</v>
          </cell>
        </row>
        <row r="334">
          <cell r="AR334" t="str">
            <v>N</v>
          </cell>
        </row>
        <row r="335">
          <cell r="AR335" t="str">
            <v>N</v>
          </cell>
        </row>
        <row r="336">
          <cell r="AR336" t="str">
            <v>N</v>
          </cell>
        </row>
        <row r="337">
          <cell r="AR337" t="str">
            <v>N</v>
          </cell>
        </row>
        <row r="338">
          <cell r="AR338" t="str">
            <v>N</v>
          </cell>
        </row>
        <row r="339">
          <cell r="AR339" t="str">
            <v>N</v>
          </cell>
        </row>
        <row r="340">
          <cell r="AR340" t="str">
            <v>N</v>
          </cell>
        </row>
        <row r="341">
          <cell r="AR341" t="str">
            <v>N</v>
          </cell>
        </row>
        <row r="342">
          <cell r="AR342" t="str">
            <v>Y</v>
          </cell>
        </row>
        <row r="343">
          <cell r="AR343" t="str">
            <v>N</v>
          </cell>
        </row>
        <row r="344">
          <cell r="AR344" t="str">
            <v>Y</v>
          </cell>
        </row>
        <row r="345">
          <cell r="AR345" t="str">
            <v>N</v>
          </cell>
        </row>
        <row r="346">
          <cell r="AR346" t="str">
            <v>Y</v>
          </cell>
        </row>
        <row r="347">
          <cell r="AR347" t="str">
            <v>N</v>
          </cell>
        </row>
        <row r="348">
          <cell r="AR348" t="str">
            <v>N</v>
          </cell>
        </row>
        <row r="349">
          <cell r="AR349" t="str">
            <v>N</v>
          </cell>
        </row>
        <row r="350">
          <cell r="AR350" t="str">
            <v>N</v>
          </cell>
        </row>
        <row r="351">
          <cell r="AR351" t="str">
            <v>Y</v>
          </cell>
        </row>
        <row r="352">
          <cell r="AR352" t="str">
            <v>N</v>
          </cell>
        </row>
        <row r="353">
          <cell r="AR353" t="str">
            <v>Y</v>
          </cell>
        </row>
        <row r="354">
          <cell r="AR354" t="str">
            <v>N</v>
          </cell>
        </row>
        <row r="355">
          <cell r="AR355" t="str">
            <v>N</v>
          </cell>
        </row>
        <row r="356">
          <cell r="AR356" t="str">
            <v>N</v>
          </cell>
        </row>
        <row r="357">
          <cell r="AR357" t="str">
            <v>N</v>
          </cell>
        </row>
        <row r="358">
          <cell r="AR358" t="str">
            <v>N</v>
          </cell>
        </row>
        <row r="359">
          <cell r="AR359" t="str">
            <v>N</v>
          </cell>
        </row>
        <row r="360">
          <cell r="AR360" t="str">
            <v>Y</v>
          </cell>
        </row>
        <row r="361">
          <cell r="AR361" t="str">
            <v>N</v>
          </cell>
        </row>
        <row r="362">
          <cell r="AR362" t="str">
            <v>Y</v>
          </cell>
        </row>
        <row r="363">
          <cell r="AR363" t="str">
            <v>Y</v>
          </cell>
        </row>
        <row r="364">
          <cell r="AR364" t="str">
            <v>N</v>
          </cell>
        </row>
        <row r="365">
          <cell r="AR365" t="str">
            <v>Y</v>
          </cell>
        </row>
        <row r="366">
          <cell r="AR366" t="str">
            <v>Y</v>
          </cell>
        </row>
        <row r="367">
          <cell r="AR367" t="str">
            <v>Y</v>
          </cell>
        </row>
        <row r="368">
          <cell r="AR368" t="str">
            <v>N</v>
          </cell>
        </row>
        <row r="369">
          <cell r="AR369" t="str">
            <v>N</v>
          </cell>
        </row>
        <row r="370">
          <cell r="AR370" t="str">
            <v>Y</v>
          </cell>
        </row>
        <row r="371">
          <cell r="AR371" t="str">
            <v>N</v>
          </cell>
        </row>
        <row r="372">
          <cell r="AR372" t="str">
            <v>N</v>
          </cell>
        </row>
        <row r="373">
          <cell r="AR373" t="str">
            <v>N</v>
          </cell>
        </row>
        <row r="374">
          <cell r="AR374" t="str">
            <v>N</v>
          </cell>
        </row>
        <row r="375">
          <cell r="AR375" t="str">
            <v>Y</v>
          </cell>
        </row>
        <row r="376">
          <cell r="AR376" t="str">
            <v>N</v>
          </cell>
        </row>
        <row r="377">
          <cell r="AR377" t="str">
            <v>N</v>
          </cell>
        </row>
        <row r="378">
          <cell r="AR378" t="str">
            <v>N</v>
          </cell>
        </row>
        <row r="379">
          <cell r="AR379" t="str">
            <v>N</v>
          </cell>
        </row>
        <row r="380">
          <cell r="AR380" t="str">
            <v>N</v>
          </cell>
        </row>
        <row r="381">
          <cell r="AR381" t="str">
            <v>Y</v>
          </cell>
        </row>
        <row r="382">
          <cell r="AR382" t="str">
            <v>N</v>
          </cell>
        </row>
        <row r="383">
          <cell r="AR383" t="str">
            <v>N</v>
          </cell>
        </row>
        <row r="384">
          <cell r="AR384" t="str">
            <v>Y</v>
          </cell>
        </row>
        <row r="385">
          <cell r="AR385" t="str">
            <v>Y</v>
          </cell>
        </row>
        <row r="386">
          <cell r="AR386" t="str">
            <v>N</v>
          </cell>
        </row>
        <row r="387">
          <cell r="AR387" t="str">
            <v>N</v>
          </cell>
        </row>
        <row r="388">
          <cell r="AR388" t="str">
            <v>N</v>
          </cell>
        </row>
        <row r="389">
          <cell r="AR389" t="str">
            <v>N</v>
          </cell>
        </row>
        <row r="390">
          <cell r="AR390" t="str">
            <v>N</v>
          </cell>
        </row>
        <row r="391">
          <cell r="AR391" t="str">
            <v>N</v>
          </cell>
        </row>
        <row r="392">
          <cell r="AR392" t="str">
            <v>N</v>
          </cell>
        </row>
        <row r="393">
          <cell r="AR393" t="str">
            <v>N</v>
          </cell>
        </row>
        <row r="394">
          <cell r="AR394" t="str">
            <v>N</v>
          </cell>
        </row>
        <row r="395">
          <cell r="AR395" t="str">
            <v>N</v>
          </cell>
        </row>
        <row r="396">
          <cell r="AR396" t="str">
            <v>Y</v>
          </cell>
        </row>
        <row r="397">
          <cell r="AR397" t="str">
            <v>N</v>
          </cell>
        </row>
        <row r="398">
          <cell r="AR398" t="str">
            <v>N</v>
          </cell>
        </row>
        <row r="399">
          <cell r="AR399" t="str">
            <v>N</v>
          </cell>
        </row>
        <row r="400">
          <cell r="AR400" t="str">
            <v>N</v>
          </cell>
        </row>
        <row r="401">
          <cell r="AR401" t="str">
            <v>N</v>
          </cell>
        </row>
        <row r="402">
          <cell r="AR402" t="str">
            <v>N</v>
          </cell>
        </row>
        <row r="403">
          <cell r="AR403" t="str">
            <v>N</v>
          </cell>
        </row>
        <row r="404">
          <cell r="AR404" t="str">
            <v>Y</v>
          </cell>
        </row>
        <row r="405">
          <cell r="AR405" t="str">
            <v>N</v>
          </cell>
        </row>
        <row r="406">
          <cell r="AR406" t="str">
            <v>Y</v>
          </cell>
        </row>
        <row r="407">
          <cell r="AR407" t="str">
            <v>N</v>
          </cell>
        </row>
        <row r="408">
          <cell r="AR408" t="str">
            <v>N</v>
          </cell>
        </row>
        <row r="409">
          <cell r="AR409" t="str">
            <v>N</v>
          </cell>
        </row>
        <row r="410">
          <cell r="AR410" t="str">
            <v>N</v>
          </cell>
        </row>
        <row r="411">
          <cell r="AR411" t="str">
            <v>N</v>
          </cell>
        </row>
        <row r="412">
          <cell r="AR412" t="str">
            <v>N</v>
          </cell>
        </row>
        <row r="413">
          <cell r="AR413" t="str">
            <v>N</v>
          </cell>
        </row>
        <row r="414">
          <cell r="AR414" t="str">
            <v>N</v>
          </cell>
        </row>
        <row r="415">
          <cell r="AR415" t="str">
            <v>N</v>
          </cell>
        </row>
        <row r="416">
          <cell r="AR416" t="str">
            <v>N</v>
          </cell>
        </row>
        <row r="417">
          <cell r="AR417" t="str">
            <v>N</v>
          </cell>
        </row>
        <row r="418">
          <cell r="AR418" t="str">
            <v>N</v>
          </cell>
        </row>
        <row r="419">
          <cell r="AR419" t="str">
            <v>N</v>
          </cell>
        </row>
        <row r="420">
          <cell r="AR420" t="str">
            <v>N</v>
          </cell>
        </row>
        <row r="421">
          <cell r="AR421" t="str">
            <v>N</v>
          </cell>
        </row>
        <row r="422">
          <cell r="AR422" t="str">
            <v>N</v>
          </cell>
        </row>
        <row r="423">
          <cell r="AR423" t="str">
            <v>N</v>
          </cell>
        </row>
        <row r="424">
          <cell r="AR424" t="str">
            <v>N</v>
          </cell>
        </row>
        <row r="425">
          <cell r="AR425" t="str">
            <v>N</v>
          </cell>
        </row>
        <row r="426">
          <cell r="AR426" t="str">
            <v>Y</v>
          </cell>
        </row>
        <row r="427">
          <cell r="AR427" t="str">
            <v>Y</v>
          </cell>
        </row>
        <row r="428">
          <cell r="AR428" t="str">
            <v>N</v>
          </cell>
        </row>
        <row r="429">
          <cell r="AR429" t="str">
            <v>N</v>
          </cell>
        </row>
        <row r="430">
          <cell r="AR430" t="str">
            <v>Y</v>
          </cell>
        </row>
        <row r="431">
          <cell r="AR431" t="str">
            <v>N</v>
          </cell>
        </row>
        <row r="432">
          <cell r="AR432" t="str">
            <v>N</v>
          </cell>
        </row>
        <row r="433">
          <cell r="AR433" t="str">
            <v>N</v>
          </cell>
        </row>
        <row r="434">
          <cell r="AR434" t="str">
            <v>Y</v>
          </cell>
        </row>
        <row r="435">
          <cell r="AR435" t="str">
            <v>N</v>
          </cell>
        </row>
        <row r="436">
          <cell r="AR436" t="str">
            <v>N</v>
          </cell>
        </row>
        <row r="437">
          <cell r="AR437" t="str">
            <v>N</v>
          </cell>
        </row>
        <row r="438">
          <cell r="AR438" t="str">
            <v>N</v>
          </cell>
        </row>
        <row r="439">
          <cell r="AR439" t="str">
            <v>Y</v>
          </cell>
        </row>
        <row r="440">
          <cell r="AR440" t="str">
            <v>N</v>
          </cell>
        </row>
        <row r="441">
          <cell r="AR441" t="str">
            <v>N</v>
          </cell>
        </row>
        <row r="442">
          <cell r="AR442" t="str">
            <v>N</v>
          </cell>
        </row>
        <row r="443">
          <cell r="AR443" t="str">
            <v>N</v>
          </cell>
        </row>
        <row r="444">
          <cell r="AR444" t="str">
            <v>Y</v>
          </cell>
        </row>
        <row r="445">
          <cell r="AR445" t="str">
            <v>N</v>
          </cell>
        </row>
        <row r="446">
          <cell r="AR446" t="str">
            <v>N</v>
          </cell>
        </row>
        <row r="447">
          <cell r="AR447" t="str">
            <v>Y</v>
          </cell>
        </row>
        <row r="448">
          <cell r="AR448" t="str">
            <v>N</v>
          </cell>
        </row>
        <row r="449">
          <cell r="AR449" t="str">
            <v>N</v>
          </cell>
        </row>
        <row r="450">
          <cell r="AR450" t="str">
            <v>N</v>
          </cell>
        </row>
        <row r="451">
          <cell r="AR451" t="str">
            <v>N</v>
          </cell>
        </row>
        <row r="452">
          <cell r="AR452" t="str">
            <v>N</v>
          </cell>
        </row>
        <row r="453">
          <cell r="AR453" t="str">
            <v>N</v>
          </cell>
        </row>
        <row r="454">
          <cell r="AR454" t="str">
            <v>N</v>
          </cell>
        </row>
        <row r="455">
          <cell r="AR455" t="str">
            <v>N</v>
          </cell>
        </row>
        <row r="456">
          <cell r="AR456" t="str">
            <v>N</v>
          </cell>
        </row>
        <row r="457">
          <cell r="AR457" t="str">
            <v>N</v>
          </cell>
        </row>
        <row r="458">
          <cell r="AR458" t="str">
            <v>N</v>
          </cell>
        </row>
        <row r="459">
          <cell r="AR459" t="str">
            <v>Y</v>
          </cell>
        </row>
        <row r="460">
          <cell r="AR460" t="str">
            <v>N</v>
          </cell>
        </row>
        <row r="461">
          <cell r="AR461" t="str">
            <v>N</v>
          </cell>
        </row>
        <row r="462">
          <cell r="AR462" t="str">
            <v>Y</v>
          </cell>
        </row>
        <row r="463">
          <cell r="AR463" t="str">
            <v>N</v>
          </cell>
        </row>
        <row r="464">
          <cell r="AR464" t="str">
            <v>Y</v>
          </cell>
        </row>
        <row r="465">
          <cell r="AR465" t="str">
            <v>N</v>
          </cell>
        </row>
        <row r="466">
          <cell r="AR466" t="str">
            <v>N</v>
          </cell>
        </row>
        <row r="467">
          <cell r="AR467" t="str">
            <v>N</v>
          </cell>
        </row>
        <row r="468">
          <cell r="AR468" t="str">
            <v>N</v>
          </cell>
        </row>
        <row r="469">
          <cell r="AR469" t="str">
            <v>N</v>
          </cell>
        </row>
        <row r="470">
          <cell r="AR470" t="str">
            <v>N</v>
          </cell>
        </row>
        <row r="471">
          <cell r="AR471" t="str">
            <v>N</v>
          </cell>
        </row>
        <row r="472">
          <cell r="AR472" t="str">
            <v>Y</v>
          </cell>
        </row>
        <row r="473">
          <cell r="AR473" t="str">
            <v>N</v>
          </cell>
        </row>
        <row r="474">
          <cell r="AR474" t="str">
            <v>N</v>
          </cell>
        </row>
        <row r="475">
          <cell r="AR475" t="str">
            <v>N</v>
          </cell>
        </row>
        <row r="476">
          <cell r="AR476" t="str">
            <v>Y</v>
          </cell>
        </row>
        <row r="477">
          <cell r="AR477" t="str">
            <v>N</v>
          </cell>
        </row>
        <row r="478">
          <cell r="AR478" t="str">
            <v>Y</v>
          </cell>
        </row>
        <row r="479">
          <cell r="AR479" t="str">
            <v>Y</v>
          </cell>
        </row>
        <row r="480">
          <cell r="AR480" t="str">
            <v>Y</v>
          </cell>
        </row>
        <row r="481">
          <cell r="AR481" t="str">
            <v>Y</v>
          </cell>
        </row>
        <row r="482">
          <cell r="AR482" t="str">
            <v>N</v>
          </cell>
        </row>
        <row r="483">
          <cell r="AR483" t="str">
            <v>N</v>
          </cell>
        </row>
        <row r="484">
          <cell r="AR484" t="str">
            <v>Y</v>
          </cell>
        </row>
        <row r="485">
          <cell r="AR485" t="str">
            <v>N</v>
          </cell>
        </row>
        <row r="486">
          <cell r="AR486" t="str">
            <v>N</v>
          </cell>
        </row>
        <row r="487">
          <cell r="AR487" t="str">
            <v>N</v>
          </cell>
        </row>
        <row r="488">
          <cell r="AR488" t="str">
            <v>N</v>
          </cell>
        </row>
        <row r="489">
          <cell r="AR489" t="str">
            <v>N</v>
          </cell>
        </row>
        <row r="490">
          <cell r="AR490" t="str">
            <v>N</v>
          </cell>
        </row>
        <row r="491">
          <cell r="AR491" t="str">
            <v>Y</v>
          </cell>
        </row>
        <row r="492">
          <cell r="AR492" t="str">
            <v>N</v>
          </cell>
        </row>
        <row r="493">
          <cell r="AR493" t="str">
            <v>N</v>
          </cell>
        </row>
        <row r="494">
          <cell r="AR494" t="str">
            <v>N</v>
          </cell>
        </row>
        <row r="495">
          <cell r="AR495" t="str">
            <v>N</v>
          </cell>
        </row>
        <row r="496">
          <cell r="AR496" t="str">
            <v>Y</v>
          </cell>
        </row>
        <row r="497">
          <cell r="AR497" t="str">
            <v>N</v>
          </cell>
        </row>
        <row r="498">
          <cell r="AR498" t="str">
            <v>N</v>
          </cell>
        </row>
        <row r="499">
          <cell r="AR499" t="str">
            <v>N</v>
          </cell>
        </row>
        <row r="500">
          <cell r="AR500" t="str">
            <v>Y</v>
          </cell>
        </row>
        <row r="501">
          <cell r="AR501" t="str">
            <v>N</v>
          </cell>
        </row>
        <row r="502">
          <cell r="AR502" t="str">
            <v>N</v>
          </cell>
        </row>
        <row r="503">
          <cell r="AR503" t="str">
            <v>N</v>
          </cell>
        </row>
        <row r="504">
          <cell r="AR504" t="str">
            <v>N</v>
          </cell>
        </row>
        <row r="505">
          <cell r="AR505" t="str">
            <v>N</v>
          </cell>
        </row>
        <row r="506">
          <cell r="AR506" t="str">
            <v>Y</v>
          </cell>
        </row>
        <row r="507">
          <cell r="AR507" t="str">
            <v>N</v>
          </cell>
        </row>
        <row r="508">
          <cell r="AR508" t="str">
            <v>N</v>
          </cell>
        </row>
        <row r="509">
          <cell r="AR509" t="str">
            <v>N</v>
          </cell>
        </row>
        <row r="510">
          <cell r="AR510" t="str">
            <v>N</v>
          </cell>
        </row>
        <row r="511">
          <cell r="AR511" t="str">
            <v>N</v>
          </cell>
        </row>
        <row r="512">
          <cell r="AR512" t="str">
            <v>N</v>
          </cell>
        </row>
        <row r="513">
          <cell r="AR513" t="str">
            <v>N</v>
          </cell>
        </row>
        <row r="514">
          <cell r="AR514" t="str">
            <v>N</v>
          </cell>
        </row>
        <row r="515">
          <cell r="AR515" t="str">
            <v>Y</v>
          </cell>
        </row>
        <row r="516">
          <cell r="AR516" t="str">
            <v>N</v>
          </cell>
        </row>
        <row r="517">
          <cell r="AR517" t="str">
            <v>N</v>
          </cell>
        </row>
        <row r="518">
          <cell r="AR518" t="str">
            <v>N</v>
          </cell>
        </row>
        <row r="519">
          <cell r="AR519" t="str">
            <v>Y</v>
          </cell>
        </row>
        <row r="520">
          <cell r="AR520" t="str">
            <v>N</v>
          </cell>
        </row>
        <row r="521">
          <cell r="AR521" t="str">
            <v>N</v>
          </cell>
        </row>
        <row r="522">
          <cell r="AR522" t="str">
            <v>N</v>
          </cell>
        </row>
        <row r="523">
          <cell r="AR523" t="str">
            <v>N</v>
          </cell>
        </row>
        <row r="524">
          <cell r="AR524" t="str">
            <v>N</v>
          </cell>
        </row>
        <row r="525">
          <cell r="AR525" t="str">
            <v>N</v>
          </cell>
        </row>
        <row r="526">
          <cell r="AR526" t="str">
            <v>N</v>
          </cell>
        </row>
        <row r="527">
          <cell r="AR527" t="str">
            <v>N</v>
          </cell>
        </row>
        <row r="528">
          <cell r="AR528" t="str">
            <v>N</v>
          </cell>
        </row>
        <row r="529">
          <cell r="AR529" t="str">
            <v>N</v>
          </cell>
        </row>
        <row r="530">
          <cell r="AR530" t="str">
            <v>N</v>
          </cell>
        </row>
        <row r="531">
          <cell r="AR531" t="str">
            <v>Y</v>
          </cell>
        </row>
        <row r="532">
          <cell r="AR532" t="str">
            <v>N</v>
          </cell>
        </row>
        <row r="533">
          <cell r="AR533" t="str">
            <v>N</v>
          </cell>
        </row>
        <row r="534">
          <cell r="AR534" t="str">
            <v>N</v>
          </cell>
        </row>
        <row r="535">
          <cell r="AR535" t="str">
            <v>N</v>
          </cell>
        </row>
        <row r="536">
          <cell r="AR536" t="str">
            <v>N</v>
          </cell>
        </row>
        <row r="537">
          <cell r="AR537" t="str">
            <v>Y</v>
          </cell>
        </row>
        <row r="538">
          <cell r="AR538" t="str">
            <v>N</v>
          </cell>
        </row>
        <row r="539">
          <cell r="AR539" t="str">
            <v>N</v>
          </cell>
        </row>
        <row r="540">
          <cell r="AR540" t="str">
            <v>Y</v>
          </cell>
        </row>
        <row r="541">
          <cell r="AR541" t="str">
            <v>N</v>
          </cell>
        </row>
        <row r="542">
          <cell r="AR542" t="str">
            <v>N</v>
          </cell>
        </row>
        <row r="543">
          <cell r="AR543" t="str">
            <v>N</v>
          </cell>
        </row>
        <row r="544">
          <cell r="AR544" t="str">
            <v>N</v>
          </cell>
        </row>
        <row r="545">
          <cell r="AR545" t="str">
            <v>N</v>
          </cell>
        </row>
        <row r="546">
          <cell r="AR546" t="str">
            <v>Y</v>
          </cell>
        </row>
        <row r="547">
          <cell r="AR547" t="str">
            <v>N</v>
          </cell>
        </row>
        <row r="548">
          <cell r="AR548" t="str">
            <v>N</v>
          </cell>
        </row>
        <row r="549">
          <cell r="AR549" t="str">
            <v>Y</v>
          </cell>
        </row>
        <row r="550">
          <cell r="AR550" t="str">
            <v>N</v>
          </cell>
        </row>
        <row r="551">
          <cell r="AR551" t="str">
            <v>N</v>
          </cell>
        </row>
        <row r="552">
          <cell r="AR552" t="str">
            <v>N</v>
          </cell>
        </row>
        <row r="553">
          <cell r="AR553" t="str">
            <v>N</v>
          </cell>
        </row>
        <row r="554">
          <cell r="AR554" t="str">
            <v>Y</v>
          </cell>
        </row>
        <row r="555">
          <cell r="AR555" t="str">
            <v>N</v>
          </cell>
        </row>
        <row r="556">
          <cell r="AR556" t="str">
            <v>N</v>
          </cell>
        </row>
        <row r="557">
          <cell r="AR557" t="str">
            <v>Y</v>
          </cell>
        </row>
        <row r="558">
          <cell r="AR558" t="str">
            <v>N</v>
          </cell>
        </row>
        <row r="559">
          <cell r="AR559" t="str">
            <v>N</v>
          </cell>
        </row>
        <row r="560">
          <cell r="AR560" t="str">
            <v>Y</v>
          </cell>
        </row>
        <row r="561">
          <cell r="AR561" t="str">
            <v>N</v>
          </cell>
        </row>
        <row r="562">
          <cell r="AR562" t="str">
            <v>N</v>
          </cell>
        </row>
        <row r="563">
          <cell r="AR563" t="str">
            <v>Y</v>
          </cell>
        </row>
        <row r="564">
          <cell r="AR564" t="str">
            <v>N</v>
          </cell>
        </row>
        <row r="565">
          <cell r="AR565" t="str">
            <v>N</v>
          </cell>
        </row>
        <row r="566">
          <cell r="AR566" t="str">
            <v>N</v>
          </cell>
        </row>
        <row r="567">
          <cell r="AR567" t="str">
            <v>N</v>
          </cell>
        </row>
        <row r="568">
          <cell r="AR568" t="str">
            <v>N</v>
          </cell>
        </row>
        <row r="569">
          <cell r="AR569" t="str">
            <v>Y</v>
          </cell>
        </row>
        <row r="570">
          <cell r="AR570" t="str">
            <v>N</v>
          </cell>
        </row>
        <row r="571">
          <cell r="AR571" t="str">
            <v>N</v>
          </cell>
        </row>
        <row r="572">
          <cell r="AR572" t="str">
            <v>N</v>
          </cell>
        </row>
        <row r="573">
          <cell r="AR573" t="str">
            <v>N</v>
          </cell>
        </row>
        <row r="574">
          <cell r="AR574" t="str">
            <v>N</v>
          </cell>
        </row>
        <row r="575">
          <cell r="AR575" t="str">
            <v>Y</v>
          </cell>
        </row>
        <row r="576">
          <cell r="AR576" t="str">
            <v>Y</v>
          </cell>
        </row>
        <row r="577">
          <cell r="AR577" t="str">
            <v>N</v>
          </cell>
        </row>
        <row r="578">
          <cell r="AR578" t="str">
            <v>N</v>
          </cell>
        </row>
        <row r="579">
          <cell r="AR579" t="str">
            <v>Y</v>
          </cell>
        </row>
        <row r="580">
          <cell r="AR580" t="str">
            <v>N</v>
          </cell>
        </row>
        <row r="581">
          <cell r="AR581" t="str">
            <v>Y</v>
          </cell>
        </row>
        <row r="582">
          <cell r="AR582" t="str">
            <v>N</v>
          </cell>
        </row>
        <row r="583">
          <cell r="AR583" t="str">
            <v>N</v>
          </cell>
        </row>
        <row r="584">
          <cell r="AR584" t="str">
            <v>N</v>
          </cell>
        </row>
        <row r="585">
          <cell r="AR585" t="str">
            <v>N</v>
          </cell>
        </row>
        <row r="586">
          <cell r="AR586" t="str">
            <v>N</v>
          </cell>
        </row>
        <row r="587">
          <cell r="AR587" t="str">
            <v>N</v>
          </cell>
        </row>
        <row r="588">
          <cell r="AR588" t="str">
            <v>N</v>
          </cell>
        </row>
        <row r="589">
          <cell r="AR589" t="str">
            <v>Y</v>
          </cell>
        </row>
        <row r="590">
          <cell r="AR590" t="str">
            <v>N</v>
          </cell>
        </row>
        <row r="591">
          <cell r="AR591" t="str">
            <v>N</v>
          </cell>
        </row>
        <row r="592">
          <cell r="AR592" t="str">
            <v>N</v>
          </cell>
        </row>
        <row r="593">
          <cell r="AR593" t="str">
            <v>Y</v>
          </cell>
        </row>
        <row r="594">
          <cell r="AR594" t="str">
            <v>N</v>
          </cell>
        </row>
        <row r="595">
          <cell r="AR595" t="str">
            <v>Y</v>
          </cell>
        </row>
        <row r="596">
          <cell r="AR596" t="str">
            <v>N</v>
          </cell>
        </row>
        <row r="597">
          <cell r="AR597" t="str">
            <v>N</v>
          </cell>
        </row>
        <row r="598">
          <cell r="AR598" t="str">
            <v>N</v>
          </cell>
        </row>
        <row r="599">
          <cell r="AR599" t="str">
            <v>Y</v>
          </cell>
        </row>
        <row r="600">
          <cell r="AR600" t="str">
            <v>N</v>
          </cell>
        </row>
        <row r="601">
          <cell r="AR601" t="str">
            <v>N</v>
          </cell>
        </row>
        <row r="602">
          <cell r="AR602" t="str">
            <v>Y</v>
          </cell>
        </row>
        <row r="603">
          <cell r="AR603" t="str">
            <v>N</v>
          </cell>
        </row>
        <row r="604">
          <cell r="AR604" t="str">
            <v>Y</v>
          </cell>
        </row>
        <row r="605">
          <cell r="AR605" t="str">
            <v>N</v>
          </cell>
        </row>
        <row r="606">
          <cell r="AR606" t="str">
            <v>N</v>
          </cell>
        </row>
        <row r="607">
          <cell r="AR607" t="str">
            <v>N</v>
          </cell>
        </row>
        <row r="608">
          <cell r="AR608" t="str">
            <v>N</v>
          </cell>
        </row>
        <row r="609">
          <cell r="AR609" t="str">
            <v>N</v>
          </cell>
        </row>
        <row r="610">
          <cell r="AR610" t="str">
            <v>N</v>
          </cell>
        </row>
        <row r="611">
          <cell r="AR611" t="str">
            <v>N</v>
          </cell>
        </row>
        <row r="612">
          <cell r="AR612" t="str">
            <v>N</v>
          </cell>
        </row>
        <row r="613">
          <cell r="AR613" t="str">
            <v>N</v>
          </cell>
        </row>
        <row r="614">
          <cell r="AR614" t="str">
            <v>N</v>
          </cell>
        </row>
        <row r="615">
          <cell r="AR615" t="str">
            <v>N</v>
          </cell>
        </row>
        <row r="616">
          <cell r="AR616" t="str">
            <v>N</v>
          </cell>
        </row>
        <row r="617">
          <cell r="AR617" t="str">
            <v>N</v>
          </cell>
        </row>
        <row r="618">
          <cell r="AR618" t="str">
            <v>Y</v>
          </cell>
        </row>
        <row r="619">
          <cell r="AR619" t="str">
            <v>N</v>
          </cell>
        </row>
        <row r="620">
          <cell r="AR620" t="str">
            <v>N</v>
          </cell>
        </row>
        <row r="621">
          <cell r="AR621" t="str">
            <v>N</v>
          </cell>
        </row>
        <row r="622">
          <cell r="AR622" t="str">
            <v>Y</v>
          </cell>
        </row>
        <row r="623">
          <cell r="AR623" t="str">
            <v>N</v>
          </cell>
        </row>
        <row r="624">
          <cell r="AR624" t="str">
            <v>N</v>
          </cell>
        </row>
        <row r="625">
          <cell r="AR625" t="str">
            <v>Y</v>
          </cell>
        </row>
        <row r="626">
          <cell r="AR626" t="str">
            <v>N</v>
          </cell>
        </row>
        <row r="627">
          <cell r="AR627" t="str">
            <v>N</v>
          </cell>
        </row>
        <row r="628">
          <cell r="AR628" t="str">
            <v>N</v>
          </cell>
        </row>
        <row r="629">
          <cell r="AR629" t="str">
            <v>N</v>
          </cell>
        </row>
        <row r="630">
          <cell r="AR630" t="str">
            <v>Y</v>
          </cell>
        </row>
        <row r="631">
          <cell r="AR631" t="str">
            <v>Y</v>
          </cell>
        </row>
        <row r="632">
          <cell r="AR632" t="str">
            <v>N</v>
          </cell>
        </row>
        <row r="633">
          <cell r="AR633" t="str">
            <v>N</v>
          </cell>
        </row>
        <row r="634">
          <cell r="AR634" t="str">
            <v>N</v>
          </cell>
        </row>
        <row r="635">
          <cell r="AR635" t="str">
            <v>Y</v>
          </cell>
        </row>
        <row r="636">
          <cell r="AR636" t="str">
            <v>N</v>
          </cell>
        </row>
        <row r="637">
          <cell r="AR637" t="str">
            <v>Y</v>
          </cell>
        </row>
        <row r="638">
          <cell r="AR638" t="str">
            <v>N</v>
          </cell>
        </row>
        <row r="639">
          <cell r="AR639" t="str">
            <v>N</v>
          </cell>
        </row>
        <row r="640">
          <cell r="AR640" t="str">
            <v>Y</v>
          </cell>
        </row>
        <row r="641">
          <cell r="AR641" t="str">
            <v>N</v>
          </cell>
        </row>
        <row r="642">
          <cell r="AR642" t="str">
            <v>N</v>
          </cell>
        </row>
        <row r="643">
          <cell r="AR643" t="str">
            <v>N</v>
          </cell>
        </row>
        <row r="644">
          <cell r="AR644" t="str">
            <v>N</v>
          </cell>
        </row>
        <row r="645">
          <cell r="AR645" t="str">
            <v>Y</v>
          </cell>
        </row>
        <row r="646">
          <cell r="AR646" t="str">
            <v>N</v>
          </cell>
        </row>
        <row r="647">
          <cell r="AR647" t="str">
            <v>N</v>
          </cell>
        </row>
        <row r="648">
          <cell r="AR648" t="str">
            <v>N</v>
          </cell>
        </row>
        <row r="649">
          <cell r="AR649" t="str">
            <v>N</v>
          </cell>
        </row>
        <row r="650">
          <cell r="AR650" t="str">
            <v>N</v>
          </cell>
        </row>
        <row r="651">
          <cell r="AR651" t="str">
            <v>Y</v>
          </cell>
        </row>
        <row r="652">
          <cell r="AR652" t="str">
            <v>Y</v>
          </cell>
        </row>
        <row r="653">
          <cell r="AR653" t="str">
            <v>N</v>
          </cell>
        </row>
        <row r="654">
          <cell r="AR654" t="str">
            <v>Y</v>
          </cell>
        </row>
        <row r="655">
          <cell r="AR655" t="str">
            <v>N</v>
          </cell>
        </row>
        <row r="656">
          <cell r="AR656" t="str">
            <v>N</v>
          </cell>
        </row>
        <row r="657">
          <cell r="AR657" t="str">
            <v>N</v>
          </cell>
        </row>
        <row r="658">
          <cell r="AR658" t="str">
            <v>N</v>
          </cell>
        </row>
        <row r="659">
          <cell r="AR659" t="str">
            <v>Y</v>
          </cell>
        </row>
        <row r="660">
          <cell r="AR660" t="str">
            <v>N</v>
          </cell>
        </row>
        <row r="661">
          <cell r="AR661" t="str">
            <v>N</v>
          </cell>
        </row>
        <row r="662">
          <cell r="AR662" t="str">
            <v>N</v>
          </cell>
        </row>
        <row r="663">
          <cell r="AR663" t="str">
            <v>N</v>
          </cell>
        </row>
        <row r="664">
          <cell r="AR664" t="str">
            <v>N</v>
          </cell>
        </row>
        <row r="665">
          <cell r="AR665" t="str">
            <v>N</v>
          </cell>
        </row>
        <row r="666">
          <cell r="AR666" t="str">
            <v>N</v>
          </cell>
        </row>
        <row r="667">
          <cell r="AR667" t="str">
            <v>Y</v>
          </cell>
        </row>
        <row r="668">
          <cell r="AR668" t="str">
            <v>Y</v>
          </cell>
        </row>
        <row r="669">
          <cell r="AR669" t="str">
            <v>N</v>
          </cell>
        </row>
        <row r="670">
          <cell r="AR670" t="str">
            <v>N</v>
          </cell>
        </row>
        <row r="671">
          <cell r="AR671" t="str">
            <v>N</v>
          </cell>
        </row>
        <row r="672">
          <cell r="AR672" t="str">
            <v>N</v>
          </cell>
        </row>
        <row r="673">
          <cell r="AR673" t="str">
            <v>N</v>
          </cell>
        </row>
        <row r="674">
          <cell r="AR674" t="str">
            <v>N</v>
          </cell>
        </row>
        <row r="675">
          <cell r="AR675" t="str">
            <v>N</v>
          </cell>
        </row>
        <row r="676">
          <cell r="AR676" t="str">
            <v>N</v>
          </cell>
        </row>
        <row r="677">
          <cell r="AR677" t="str">
            <v>N</v>
          </cell>
        </row>
        <row r="678">
          <cell r="AR678" t="str">
            <v>N</v>
          </cell>
        </row>
        <row r="679">
          <cell r="AR679" t="str">
            <v>N</v>
          </cell>
        </row>
        <row r="680">
          <cell r="AR680" t="str">
            <v>N</v>
          </cell>
        </row>
        <row r="681">
          <cell r="AR681" t="str">
            <v>N</v>
          </cell>
        </row>
        <row r="682">
          <cell r="AR682" t="str">
            <v>N</v>
          </cell>
        </row>
        <row r="683">
          <cell r="AR683" t="str">
            <v>N</v>
          </cell>
        </row>
        <row r="684">
          <cell r="AR684" t="str">
            <v>N</v>
          </cell>
        </row>
        <row r="685">
          <cell r="AR685" t="str">
            <v>Y</v>
          </cell>
        </row>
        <row r="686">
          <cell r="AR686" t="str">
            <v>Y</v>
          </cell>
        </row>
        <row r="687">
          <cell r="AR687" t="str">
            <v>N</v>
          </cell>
        </row>
        <row r="688">
          <cell r="AR688" t="str">
            <v>N</v>
          </cell>
        </row>
        <row r="689">
          <cell r="AR689" t="str">
            <v>N</v>
          </cell>
        </row>
        <row r="690">
          <cell r="AR690" t="str">
            <v>N</v>
          </cell>
        </row>
        <row r="691">
          <cell r="AR691" t="str">
            <v>N</v>
          </cell>
        </row>
        <row r="692">
          <cell r="AR692" t="str">
            <v>N</v>
          </cell>
        </row>
        <row r="693">
          <cell r="AR693" t="str">
            <v>Y</v>
          </cell>
        </row>
        <row r="694">
          <cell r="AR694" t="str">
            <v>N</v>
          </cell>
        </row>
        <row r="695">
          <cell r="AR695" t="str">
            <v>N</v>
          </cell>
        </row>
        <row r="696">
          <cell r="AR696" t="str">
            <v>N</v>
          </cell>
        </row>
        <row r="697">
          <cell r="AR697" t="str">
            <v>N</v>
          </cell>
        </row>
        <row r="698">
          <cell r="AR698" t="str">
            <v>N</v>
          </cell>
        </row>
        <row r="699">
          <cell r="AR699" t="str">
            <v>N</v>
          </cell>
        </row>
        <row r="700">
          <cell r="AR700" t="str">
            <v>N</v>
          </cell>
        </row>
        <row r="701">
          <cell r="AR701" t="str">
            <v>Y</v>
          </cell>
        </row>
        <row r="702">
          <cell r="AR702" t="str">
            <v>Y</v>
          </cell>
        </row>
        <row r="703">
          <cell r="AR703" t="str">
            <v>Y</v>
          </cell>
        </row>
        <row r="704">
          <cell r="AR704" t="str">
            <v>N</v>
          </cell>
        </row>
        <row r="705">
          <cell r="AR705" t="str">
            <v>Y</v>
          </cell>
        </row>
        <row r="706">
          <cell r="AR706" t="str">
            <v>Y</v>
          </cell>
        </row>
        <row r="707">
          <cell r="AR707" t="str">
            <v>Y</v>
          </cell>
        </row>
        <row r="708">
          <cell r="AR708" t="str">
            <v>N</v>
          </cell>
        </row>
        <row r="709">
          <cell r="AR709" t="str">
            <v>Y</v>
          </cell>
        </row>
        <row r="710">
          <cell r="AR710" t="str">
            <v>Y</v>
          </cell>
        </row>
        <row r="711">
          <cell r="AR711" t="str">
            <v>Y</v>
          </cell>
        </row>
        <row r="712">
          <cell r="AR712" t="str">
            <v>Y</v>
          </cell>
        </row>
        <row r="713">
          <cell r="AR713" t="str">
            <v>N</v>
          </cell>
        </row>
        <row r="714">
          <cell r="AR714" t="str">
            <v>Y</v>
          </cell>
        </row>
        <row r="715">
          <cell r="AR715" t="str">
            <v>Y</v>
          </cell>
        </row>
        <row r="716">
          <cell r="AR716" t="str">
            <v>N</v>
          </cell>
        </row>
        <row r="717">
          <cell r="AR717" t="str">
            <v>Y</v>
          </cell>
        </row>
        <row r="718">
          <cell r="AR718" t="str">
            <v>N</v>
          </cell>
        </row>
        <row r="719">
          <cell r="AR719" t="str">
            <v>N</v>
          </cell>
        </row>
        <row r="720">
          <cell r="AR720" t="str">
            <v>N</v>
          </cell>
        </row>
        <row r="721">
          <cell r="AR721" t="str">
            <v>N</v>
          </cell>
        </row>
        <row r="722">
          <cell r="AR722" t="str">
            <v>N</v>
          </cell>
        </row>
        <row r="723">
          <cell r="AR723" t="str">
            <v>N</v>
          </cell>
        </row>
        <row r="724">
          <cell r="AR724" t="str">
            <v>Y</v>
          </cell>
        </row>
        <row r="725">
          <cell r="AR725" t="str">
            <v>N</v>
          </cell>
        </row>
        <row r="726">
          <cell r="AR726" t="str">
            <v>N</v>
          </cell>
        </row>
        <row r="727">
          <cell r="AR727" t="str">
            <v>N</v>
          </cell>
        </row>
        <row r="728">
          <cell r="AR728" t="str">
            <v>N</v>
          </cell>
        </row>
        <row r="729">
          <cell r="AR729" t="str">
            <v>Y</v>
          </cell>
        </row>
        <row r="730">
          <cell r="AR730" t="str">
            <v>Y</v>
          </cell>
        </row>
        <row r="731">
          <cell r="AR731" t="str">
            <v>Y</v>
          </cell>
        </row>
        <row r="732">
          <cell r="AR732" t="str">
            <v>N</v>
          </cell>
        </row>
        <row r="733">
          <cell r="AR733" t="str">
            <v>N</v>
          </cell>
        </row>
        <row r="734">
          <cell r="AR734" t="str">
            <v>N</v>
          </cell>
        </row>
        <row r="735">
          <cell r="AR735" t="str">
            <v>N</v>
          </cell>
        </row>
        <row r="736">
          <cell r="AR736" t="str">
            <v>N</v>
          </cell>
        </row>
        <row r="737">
          <cell r="AR737" t="str">
            <v>N</v>
          </cell>
        </row>
        <row r="738">
          <cell r="AR738" t="str">
            <v>N</v>
          </cell>
        </row>
        <row r="739">
          <cell r="AR739" t="str">
            <v>N</v>
          </cell>
        </row>
        <row r="740">
          <cell r="AR740" t="str">
            <v>N</v>
          </cell>
        </row>
        <row r="741">
          <cell r="AR741" t="str">
            <v>N</v>
          </cell>
        </row>
        <row r="742">
          <cell r="AR742" t="str">
            <v>N</v>
          </cell>
        </row>
        <row r="743">
          <cell r="AR743" t="str">
            <v>N</v>
          </cell>
        </row>
        <row r="744">
          <cell r="AR744" t="str">
            <v>Y</v>
          </cell>
        </row>
        <row r="745">
          <cell r="AR745" t="str">
            <v>Y</v>
          </cell>
        </row>
        <row r="746">
          <cell r="AR746" t="str">
            <v>Y</v>
          </cell>
        </row>
        <row r="747">
          <cell r="AR747" t="str">
            <v>Y</v>
          </cell>
        </row>
        <row r="748">
          <cell r="AR748" t="str">
            <v>N</v>
          </cell>
        </row>
        <row r="749">
          <cell r="AR749" t="str">
            <v>N</v>
          </cell>
        </row>
        <row r="750">
          <cell r="AR750" t="str">
            <v>N</v>
          </cell>
        </row>
        <row r="751">
          <cell r="AR751" t="str">
            <v>N</v>
          </cell>
        </row>
        <row r="752">
          <cell r="AR752" t="str">
            <v>N</v>
          </cell>
        </row>
        <row r="753">
          <cell r="AR753" t="str">
            <v>N</v>
          </cell>
        </row>
        <row r="754">
          <cell r="AR754" t="str">
            <v>N</v>
          </cell>
        </row>
        <row r="755">
          <cell r="AR755" t="str">
            <v>N</v>
          </cell>
        </row>
        <row r="756">
          <cell r="AR756" t="str">
            <v>N</v>
          </cell>
        </row>
        <row r="757">
          <cell r="AR757" t="str">
            <v>N</v>
          </cell>
        </row>
        <row r="758">
          <cell r="AR758" t="str">
            <v>N</v>
          </cell>
        </row>
        <row r="759">
          <cell r="AR759" t="str">
            <v>N</v>
          </cell>
        </row>
        <row r="760">
          <cell r="AR760" t="str">
            <v>N</v>
          </cell>
        </row>
        <row r="761">
          <cell r="AR761" t="str">
            <v>N</v>
          </cell>
        </row>
        <row r="762">
          <cell r="AR762" t="str">
            <v>N</v>
          </cell>
        </row>
        <row r="763">
          <cell r="AR763" t="str">
            <v>Y</v>
          </cell>
        </row>
        <row r="764">
          <cell r="AR764" t="str">
            <v>Y</v>
          </cell>
        </row>
        <row r="765">
          <cell r="AR765" t="str">
            <v>Y</v>
          </cell>
        </row>
        <row r="766">
          <cell r="AR766" t="str">
            <v>N</v>
          </cell>
        </row>
        <row r="767">
          <cell r="AR767" t="str">
            <v>N</v>
          </cell>
        </row>
        <row r="768">
          <cell r="AR768" t="str">
            <v>N</v>
          </cell>
        </row>
        <row r="769">
          <cell r="AR769" t="str">
            <v>N</v>
          </cell>
        </row>
        <row r="770">
          <cell r="AR770" t="str">
            <v>N</v>
          </cell>
        </row>
        <row r="771">
          <cell r="AR771" t="str">
            <v>N</v>
          </cell>
        </row>
        <row r="772">
          <cell r="AR772" t="str">
            <v>N</v>
          </cell>
        </row>
        <row r="773">
          <cell r="AR773" t="str">
            <v>N</v>
          </cell>
        </row>
        <row r="774">
          <cell r="AR774" t="str">
            <v>N</v>
          </cell>
        </row>
        <row r="775">
          <cell r="AR775" t="str">
            <v>N</v>
          </cell>
        </row>
        <row r="776">
          <cell r="AR776" t="str">
            <v>N</v>
          </cell>
        </row>
        <row r="777">
          <cell r="AR777" t="str">
            <v>N</v>
          </cell>
        </row>
        <row r="778">
          <cell r="AR778" t="str">
            <v>N</v>
          </cell>
        </row>
        <row r="779">
          <cell r="AR779" t="str">
            <v>N</v>
          </cell>
        </row>
        <row r="780">
          <cell r="AR780" t="str">
            <v>N</v>
          </cell>
        </row>
        <row r="781">
          <cell r="AR781" t="str">
            <v>N</v>
          </cell>
        </row>
        <row r="782">
          <cell r="AR782" t="str">
            <v>N</v>
          </cell>
        </row>
        <row r="783">
          <cell r="AR783" t="str">
            <v>N</v>
          </cell>
        </row>
        <row r="784">
          <cell r="AR784" t="str">
            <v>N</v>
          </cell>
        </row>
        <row r="785">
          <cell r="AR785" t="str">
            <v>N</v>
          </cell>
        </row>
        <row r="786">
          <cell r="AR786" t="str">
            <v>Y</v>
          </cell>
        </row>
        <row r="787">
          <cell r="AR787" t="str">
            <v>Y</v>
          </cell>
        </row>
        <row r="788">
          <cell r="AR788" t="str">
            <v>N</v>
          </cell>
        </row>
        <row r="789">
          <cell r="AR789" t="str">
            <v>N</v>
          </cell>
        </row>
        <row r="790">
          <cell r="AR790" t="str">
            <v>Y</v>
          </cell>
        </row>
        <row r="791">
          <cell r="AR791" t="str">
            <v>N</v>
          </cell>
        </row>
        <row r="792">
          <cell r="AR792" t="str">
            <v>N</v>
          </cell>
        </row>
        <row r="793">
          <cell r="AR793" t="str">
            <v>Y</v>
          </cell>
        </row>
        <row r="794">
          <cell r="AR794" t="str">
            <v>N</v>
          </cell>
        </row>
        <row r="795">
          <cell r="AR795" t="str">
            <v>N</v>
          </cell>
        </row>
        <row r="796">
          <cell r="AR796" t="str">
            <v>N</v>
          </cell>
        </row>
        <row r="797">
          <cell r="AR797" t="str">
            <v>N</v>
          </cell>
        </row>
        <row r="798">
          <cell r="AR798" t="str">
            <v>Y</v>
          </cell>
        </row>
        <row r="799">
          <cell r="AR799" t="str">
            <v>N</v>
          </cell>
        </row>
        <row r="800">
          <cell r="AR800" t="str">
            <v>N</v>
          </cell>
        </row>
        <row r="801">
          <cell r="AR801" t="str">
            <v>N</v>
          </cell>
        </row>
        <row r="802">
          <cell r="AR802" t="str">
            <v>N</v>
          </cell>
        </row>
        <row r="803">
          <cell r="AR803" t="str">
            <v>N</v>
          </cell>
        </row>
        <row r="804">
          <cell r="AR804" t="str">
            <v>N</v>
          </cell>
        </row>
        <row r="805">
          <cell r="AR805" t="str">
            <v>Y</v>
          </cell>
        </row>
        <row r="806">
          <cell r="AR806" t="str">
            <v>N</v>
          </cell>
        </row>
        <row r="807">
          <cell r="AR807" t="str">
            <v>N</v>
          </cell>
        </row>
        <row r="808">
          <cell r="AR808" t="str">
            <v>N</v>
          </cell>
        </row>
        <row r="809">
          <cell r="AR809" t="str">
            <v>N</v>
          </cell>
        </row>
        <row r="810">
          <cell r="AR810" t="str">
            <v>N</v>
          </cell>
        </row>
        <row r="811">
          <cell r="AR811" t="str">
            <v>Y</v>
          </cell>
        </row>
        <row r="812">
          <cell r="AR812" t="str">
            <v>N</v>
          </cell>
        </row>
        <row r="813">
          <cell r="AR813" t="str">
            <v>N</v>
          </cell>
        </row>
        <row r="814">
          <cell r="AR814" t="str">
            <v>Y</v>
          </cell>
        </row>
        <row r="815">
          <cell r="AR815" t="str">
            <v>N</v>
          </cell>
        </row>
        <row r="816">
          <cell r="AR816" t="str">
            <v>N</v>
          </cell>
        </row>
        <row r="817">
          <cell r="AR817" t="str">
            <v>N</v>
          </cell>
        </row>
        <row r="818">
          <cell r="AR818" t="str">
            <v>N</v>
          </cell>
        </row>
        <row r="819">
          <cell r="AR819" t="str">
            <v>Y</v>
          </cell>
        </row>
        <row r="820">
          <cell r="AR820" t="str">
            <v>N</v>
          </cell>
        </row>
        <row r="821">
          <cell r="AR821" t="str">
            <v>N</v>
          </cell>
        </row>
        <row r="822">
          <cell r="AR822" t="str">
            <v>N</v>
          </cell>
        </row>
        <row r="823">
          <cell r="AR823" t="str">
            <v>N</v>
          </cell>
        </row>
        <row r="824">
          <cell r="AR824" t="str">
            <v>N</v>
          </cell>
        </row>
        <row r="825">
          <cell r="AR825" t="str">
            <v>Y</v>
          </cell>
        </row>
        <row r="826">
          <cell r="AR826" t="str">
            <v>N</v>
          </cell>
        </row>
        <row r="827">
          <cell r="AR827" t="str">
            <v>N</v>
          </cell>
        </row>
        <row r="828">
          <cell r="AR828" t="str">
            <v>N</v>
          </cell>
        </row>
        <row r="829">
          <cell r="AR829" t="str">
            <v>N</v>
          </cell>
        </row>
        <row r="830">
          <cell r="AR830" t="str">
            <v>N</v>
          </cell>
        </row>
        <row r="831">
          <cell r="AR831" t="str">
            <v>Y</v>
          </cell>
        </row>
        <row r="832">
          <cell r="AR832" t="str">
            <v>N</v>
          </cell>
        </row>
        <row r="833">
          <cell r="AR833" t="str">
            <v>Y</v>
          </cell>
        </row>
        <row r="834">
          <cell r="AR834" t="str">
            <v>N</v>
          </cell>
        </row>
        <row r="835">
          <cell r="AR835" t="str">
            <v>N</v>
          </cell>
        </row>
        <row r="836">
          <cell r="AR836" t="str">
            <v>N</v>
          </cell>
        </row>
        <row r="837">
          <cell r="AR837" t="str">
            <v>N</v>
          </cell>
        </row>
        <row r="838">
          <cell r="AR838" t="str">
            <v>N</v>
          </cell>
        </row>
        <row r="839">
          <cell r="AR839" t="str">
            <v>Y</v>
          </cell>
        </row>
        <row r="840">
          <cell r="AR840" t="str">
            <v>Y</v>
          </cell>
        </row>
        <row r="841">
          <cell r="AR841" t="str">
            <v>N</v>
          </cell>
        </row>
        <row r="842">
          <cell r="AR842" t="str">
            <v>N</v>
          </cell>
        </row>
        <row r="843">
          <cell r="AR843" t="str">
            <v>N</v>
          </cell>
        </row>
        <row r="844">
          <cell r="AR844" t="str">
            <v>N</v>
          </cell>
        </row>
        <row r="845">
          <cell r="AR845" t="str">
            <v>Y</v>
          </cell>
        </row>
        <row r="846">
          <cell r="AR846" t="str">
            <v>N</v>
          </cell>
        </row>
        <row r="847">
          <cell r="AR847" t="str">
            <v>Y</v>
          </cell>
        </row>
        <row r="848">
          <cell r="AR848" t="str">
            <v>N</v>
          </cell>
        </row>
        <row r="849">
          <cell r="AR849" t="str">
            <v>N</v>
          </cell>
        </row>
        <row r="850">
          <cell r="AR850" t="str">
            <v>Y</v>
          </cell>
        </row>
        <row r="851">
          <cell r="AR851" t="str">
            <v>N</v>
          </cell>
        </row>
        <row r="852">
          <cell r="AR852" t="str">
            <v>N</v>
          </cell>
        </row>
        <row r="853">
          <cell r="AR853" t="str">
            <v>Y</v>
          </cell>
        </row>
        <row r="854">
          <cell r="AR854" t="str">
            <v>N</v>
          </cell>
        </row>
        <row r="855">
          <cell r="AR855" t="str">
            <v>N</v>
          </cell>
        </row>
        <row r="856">
          <cell r="AR856" t="str">
            <v>N</v>
          </cell>
        </row>
        <row r="857">
          <cell r="AR857" t="str">
            <v>N</v>
          </cell>
        </row>
        <row r="858">
          <cell r="AR858" t="str">
            <v>N</v>
          </cell>
        </row>
        <row r="859">
          <cell r="AR859" t="str">
            <v>N</v>
          </cell>
        </row>
        <row r="860">
          <cell r="AR860" t="str">
            <v>N</v>
          </cell>
        </row>
        <row r="861">
          <cell r="AR861" t="str">
            <v>N</v>
          </cell>
        </row>
        <row r="862">
          <cell r="AR862" t="str">
            <v>N</v>
          </cell>
        </row>
        <row r="863">
          <cell r="AR863" t="str">
            <v>N</v>
          </cell>
        </row>
        <row r="864">
          <cell r="AR864" t="str">
            <v>N</v>
          </cell>
        </row>
        <row r="865">
          <cell r="AR865" t="str">
            <v>N</v>
          </cell>
        </row>
        <row r="866">
          <cell r="AR866" t="str">
            <v>N</v>
          </cell>
        </row>
        <row r="867">
          <cell r="AR867" t="str">
            <v>Y</v>
          </cell>
        </row>
        <row r="868">
          <cell r="AR868" t="str">
            <v>N</v>
          </cell>
        </row>
        <row r="869">
          <cell r="AR869" t="str">
            <v>N</v>
          </cell>
        </row>
        <row r="870">
          <cell r="AR870" t="str">
            <v>Y</v>
          </cell>
        </row>
        <row r="871">
          <cell r="AR871" t="str">
            <v>Y</v>
          </cell>
        </row>
        <row r="872">
          <cell r="AR872" t="str">
            <v>N</v>
          </cell>
        </row>
        <row r="873">
          <cell r="AR873" t="str">
            <v>N</v>
          </cell>
        </row>
        <row r="874">
          <cell r="AR874" t="str">
            <v>Y</v>
          </cell>
        </row>
        <row r="875">
          <cell r="AR875" t="str">
            <v>N</v>
          </cell>
        </row>
        <row r="876">
          <cell r="AR876" t="str">
            <v>N</v>
          </cell>
        </row>
        <row r="877">
          <cell r="AR877" t="str">
            <v>Y</v>
          </cell>
        </row>
        <row r="878">
          <cell r="AR878" t="str">
            <v>N</v>
          </cell>
        </row>
        <row r="879">
          <cell r="AR879" t="str">
            <v>N</v>
          </cell>
        </row>
        <row r="880">
          <cell r="AR880" t="str">
            <v>Y</v>
          </cell>
        </row>
        <row r="881">
          <cell r="AR881" t="str">
            <v>N</v>
          </cell>
        </row>
        <row r="882">
          <cell r="AR882" t="str">
            <v>Y</v>
          </cell>
        </row>
        <row r="883">
          <cell r="AR883" t="str">
            <v>Y</v>
          </cell>
        </row>
        <row r="884">
          <cell r="AR884" t="str">
            <v>N</v>
          </cell>
        </row>
        <row r="885">
          <cell r="AR885" t="str">
            <v>Y</v>
          </cell>
        </row>
        <row r="886">
          <cell r="AR886" t="str">
            <v>N</v>
          </cell>
        </row>
        <row r="887">
          <cell r="AR887" t="str">
            <v>N</v>
          </cell>
        </row>
        <row r="888">
          <cell r="AR888" t="str">
            <v>N</v>
          </cell>
        </row>
        <row r="889">
          <cell r="AR889" t="str">
            <v>N</v>
          </cell>
        </row>
        <row r="890">
          <cell r="AR890" t="str">
            <v>N</v>
          </cell>
        </row>
        <row r="891">
          <cell r="AR891" t="str">
            <v>N</v>
          </cell>
        </row>
        <row r="892">
          <cell r="AR892" t="str">
            <v>N</v>
          </cell>
        </row>
        <row r="893">
          <cell r="AR893" t="str">
            <v>N</v>
          </cell>
        </row>
        <row r="894">
          <cell r="AR894" t="str">
            <v>N</v>
          </cell>
        </row>
        <row r="895">
          <cell r="AR895" t="str">
            <v>N</v>
          </cell>
        </row>
        <row r="896">
          <cell r="AR896" t="str">
            <v>N</v>
          </cell>
        </row>
        <row r="897">
          <cell r="AR897" t="str">
            <v>Y</v>
          </cell>
        </row>
        <row r="898">
          <cell r="AR898" t="str">
            <v>N</v>
          </cell>
        </row>
        <row r="899">
          <cell r="AR899" t="str">
            <v>N</v>
          </cell>
        </row>
        <row r="900">
          <cell r="AR900" t="str">
            <v>N</v>
          </cell>
        </row>
        <row r="901">
          <cell r="AR901" t="str">
            <v>N</v>
          </cell>
        </row>
        <row r="902">
          <cell r="AR902" t="str">
            <v>N</v>
          </cell>
        </row>
        <row r="903">
          <cell r="AR903" t="str">
            <v>N</v>
          </cell>
        </row>
        <row r="904">
          <cell r="AR904" t="str">
            <v>N</v>
          </cell>
        </row>
        <row r="905">
          <cell r="AR905" t="str">
            <v>N</v>
          </cell>
        </row>
        <row r="906">
          <cell r="AR906" t="str">
            <v>N</v>
          </cell>
        </row>
        <row r="907">
          <cell r="AR907" t="str">
            <v>Y</v>
          </cell>
        </row>
        <row r="908">
          <cell r="AR908" t="str">
            <v>N</v>
          </cell>
        </row>
        <row r="909">
          <cell r="AR909" t="str">
            <v>N</v>
          </cell>
        </row>
        <row r="910">
          <cell r="AR910" t="str">
            <v>N</v>
          </cell>
        </row>
        <row r="911">
          <cell r="AR911" t="str">
            <v>N</v>
          </cell>
        </row>
        <row r="912">
          <cell r="AR912" t="str">
            <v>N</v>
          </cell>
        </row>
        <row r="913">
          <cell r="AR913" t="str">
            <v>N</v>
          </cell>
        </row>
        <row r="914">
          <cell r="AR914" t="str">
            <v>Y</v>
          </cell>
        </row>
        <row r="915">
          <cell r="AR915" t="str">
            <v>N</v>
          </cell>
        </row>
        <row r="916">
          <cell r="AR916" t="str">
            <v>N</v>
          </cell>
        </row>
        <row r="917">
          <cell r="AR917" t="str">
            <v>Y</v>
          </cell>
        </row>
        <row r="918">
          <cell r="AR918" t="str">
            <v>N</v>
          </cell>
        </row>
        <row r="919">
          <cell r="AR919" t="str">
            <v>N</v>
          </cell>
        </row>
        <row r="920">
          <cell r="AR920" t="str">
            <v>N</v>
          </cell>
        </row>
        <row r="921">
          <cell r="AR921" t="str">
            <v>Y</v>
          </cell>
        </row>
        <row r="922">
          <cell r="AR922" t="str">
            <v>N</v>
          </cell>
        </row>
        <row r="923">
          <cell r="AR923" t="str">
            <v>N</v>
          </cell>
        </row>
        <row r="924">
          <cell r="AR924" t="str">
            <v>N</v>
          </cell>
        </row>
        <row r="925">
          <cell r="AR925" t="str">
            <v>N</v>
          </cell>
        </row>
        <row r="926">
          <cell r="AR926" t="str">
            <v>N</v>
          </cell>
        </row>
        <row r="927">
          <cell r="AR927" t="str">
            <v>N</v>
          </cell>
        </row>
        <row r="928">
          <cell r="AR928" t="str">
            <v>Y</v>
          </cell>
        </row>
        <row r="929">
          <cell r="AR929" t="str">
            <v>Y</v>
          </cell>
        </row>
        <row r="930">
          <cell r="AR930" t="str">
            <v>N</v>
          </cell>
        </row>
        <row r="931">
          <cell r="AR931" t="str">
            <v>Y</v>
          </cell>
        </row>
        <row r="932">
          <cell r="AR932" t="str">
            <v>Y</v>
          </cell>
        </row>
        <row r="933">
          <cell r="AR933" t="str">
            <v>N</v>
          </cell>
        </row>
        <row r="934">
          <cell r="AR934" t="str">
            <v>N</v>
          </cell>
        </row>
        <row r="935">
          <cell r="AR935" t="str">
            <v>N</v>
          </cell>
        </row>
        <row r="936">
          <cell r="AR936" t="str">
            <v>N</v>
          </cell>
        </row>
        <row r="937">
          <cell r="AR937" t="str">
            <v>Y</v>
          </cell>
        </row>
        <row r="938">
          <cell r="AR938" t="str">
            <v>N</v>
          </cell>
        </row>
        <row r="939">
          <cell r="AR939" t="str">
            <v>N</v>
          </cell>
        </row>
        <row r="940">
          <cell r="AR940" t="str">
            <v>Y</v>
          </cell>
        </row>
        <row r="941">
          <cell r="AR941" t="str">
            <v>Y</v>
          </cell>
        </row>
        <row r="942">
          <cell r="AR942" t="str">
            <v>N</v>
          </cell>
        </row>
        <row r="943">
          <cell r="AR943" t="str">
            <v>N</v>
          </cell>
        </row>
        <row r="944">
          <cell r="AR944" t="str">
            <v>N</v>
          </cell>
        </row>
        <row r="945">
          <cell r="AR945" t="str">
            <v>N</v>
          </cell>
        </row>
        <row r="946">
          <cell r="AR946" t="str">
            <v>N</v>
          </cell>
        </row>
        <row r="947">
          <cell r="AR947" t="str">
            <v>N</v>
          </cell>
        </row>
        <row r="948">
          <cell r="AR948" t="str">
            <v>Y</v>
          </cell>
        </row>
        <row r="949">
          <cell r="AR949" t="str">
            <v>N</v>
          </cell>
        </row>
        <row r="950">
          <cell r="AR950" t="str">
            <v>N</v>
          </cell>
        </row>
        <row r="951">
          <cell r="AR951" t="str">
            <v>N</v>
          </cell>
        </row>
        <row r="952">
          <cell r="AR952" t="str">
            <v>N</v>
          </cell>
        </row>
        <row r="953">
          <cell r="AR953" t="str">
            <v>N</v>
          </cell>
        </row>
        <row r="954">
          <cell r="AR954" t="str">
            <v>N</v>
          </cell>
        </row>
        <row r="955">
          <cell r="AR955" t="str">
            <v>N</v>
          </cell>
        </row>
        <row r="956">
          <cell r="AR956" t="str">
            <v>N</v>
          </cell>
        </row>
        <row r="957">
          <cell r="AR957" t="str">
            <v>N</v>
          </cell>
        </row>
        <row r="958">
          <cell r="AR958" t="str">
            <v>N</v>
          </cell>
        </row>
        <row r="959">
          <cell r="AR959" t="str">
            <v>N</v>
          </cell>
        </row>
        <row r="960">
          <cell r="AR960" t="str">
            <v>N</v>
          </cell>
        </row>
        <row r="961">
          <cell r="AR961" t="str">
            <v>N</v>
          </cell>
        </row>
        <row r="962">
          <cell r="AR962" t="str">
            <v>N</v>
          </cell>
        </row>
        <row r="963">
          <cell r="AR963" t="str">
            <v>N</v>
          </cell>
        </row>
        <row r="964">
          <cell r="AR964" t="str">
            <v>N</v>
          </cell>
        </row>
        <row r="965">
          <cell r="AR965" t="str">
            <v>N</v>
          </cell>
        </row>
        <row r="966">
          <cell r="AR966" t="str">
            <v>Y</v>
          </cell>
        </row>
        <row r="967">
          <cell r="AR967" t="str">
            <v>N</v>
          </cell>
        </row>
        <row r="968">
          <cell r="AR968" t="str">
            <v>N</v>
          </cell>
        </row>
        <row r="969">
          <cell r="AR969" t="str">
            <v>Y</v>
          </cell>
        </row>
        <row r="970">
          <cell r="AR970" t="str">
            <v>N</v>
          </cell>
        </row>
        <row r="971">
          <cell r="AR971" t="str">
            <v>N</v>
          </cell>
        </row>
        <row r="972">
          <cell r="AR972" t="str">
            <v>N</v>
          </cell>
        </row>
        <row r="973">
          <cell r="AR973" t="str">
            <v>N</v>
          </cell>
        </row>
        <row r="974">
          <cell r="AR974" t="str">
            <v>Y</v>
          </cell>
        </row>
        <row r="975">
          <cell r="AR975" t="str">
            <v>Y</v>
          </cell>
        </row>
        <row r="976">
          <cell r="AR976" t="str">
            <v>Y</v>
          </cell>
        </row>
        <row r="977">
          <cell r="AR977" t="str">
            <v>N</v>
          </cell>
        </row>
        <row r="978">
          <cell r="AR978" t="str">
            <v>N</v>
          </cell>
        </row>
        <row r="979">
          <cell r="AR979" t="str">
            <v>Y</v>
          </cell>
        </row>
        <row r="980">
          <cell r="AR980" t="str">
            <v>N</v>
          </cell>
        </row>
        <row r="981">
          <cell r="AR981" t="str">
            <v>N</v>
          </cell>
        </row>
        <row r="982">
          <cell r="AR982" t="str">
            <v>N</v>
          </cell>
        </row>
        <row r="983">
          <cell r="AR983" t="str">
            <v>N</v>
          </cell>
        </row>
        <row r="984">
          <cell r="AR984" t="str">
            <v>Y</v>
          </cell>
        </row>
        <row r="985">
          <cell r="AR985" t="str">
            <v>N</v>
          </cell>
        </row>
        <row r="986">
          <cell r="AR986" t="str">
            <v>N</v>
          </cell>
        </row>
        <row r="987">
          <cell r="AR987" t="str">
            <v>N</v>
          </cell>
        </row>
        <row r="988">
          <cell r="AR988" t="str">
            <v>Y</v>
          </cell>
        </row>
        <row r="989">
          <cell r="AR989" t="str">
            <v>Y</v>
          </cell>
        </row>
        <row r="990">
          <cell r="AR990" t="str">
            <v>N</v>
          </cell>
        </row>
        <row r="991">
          <cell r="AR991" t="str">
            <v>N</v>
          </cell>
        </row>
        <row r="992">
          <cell r="AR992" t="str">
            <v>N</v>
          </cell>
        </row>
        <row r="993">
          <cell r="AR993" t="str">
            <v>N</v>
          </cell>
        </row>
        <row r="994">
          <cell r="AR994" t="str">
            <v>N</v>
          </cell>
        </row>
        <row r="995">
          <cell r="AR995" t="str">
            <v>N</v>
          </cell>
        </row>
        <row r="996">
          <cell r="AR996" t="str">
            <v>N</v>
          </cell>
        </row>
        <row r="997">
          <cell r="AR997" t="str">
            <v>N</v>
          </cell>
        </row>
        <row r="998">
          <cell r="AR998" t="str">
            <v>N</v>
          </cell>
        </row>
        <row r="999">
          <cell r="AR999" t="str">
            <v>N</v>
          </cell>
        </row>
        <row r="1000">
          <cell r="AR1000" t="str">
            <v>N</v>
          </cell>
        </row>
        <row r="1001">
          <cell r="AR1001" t="str">
            <v>N</v>
          </cell>
        </row>
      </sheetData>
      <sheetData sheetId="1">
        <row r="6">
          <cell r="A6" t="str">
            <v>NO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 Insurance Claim Dataset"/>
    </sheetNames>
    <sheetDataSet>
      <sheetData sheetId="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9074074" backgroundQuery="1" createdVersion="7" refreshedVersion="7" minRefreshableVersion="3" recordCount="0" supportSubquery="1" supportAdvancedDrill="1" xr:uid="{1DB7777B-4D8F-4BB7-A74A-C26E0736269B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total_claim_amount]" caption="Average of total_claim_amount" numFmtId="0" hierarchy="50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8194444" backgroundQuery="1" createdVersion="7" refreshedVersion="7" minRefreshableVersion="3" recordCount="0" supportSubquery="1" supportAdvancedDrill="1" xr:uid="{ACDD34F2-55CA-4008-822A-F57857951136}">
  <cacheSource type="external" connectionId="1"/>
  <cacheFields count="3">
    <cacheField name="[Range].[insured_relationship].[insured_relationship]" caption="insured_relationship" numFmtId="0" hierarchy="16" level="1">
      <sharedItems count="6">
        <s v="husband"/>
        <s v="not-in-family"/>
        <s v="other-relative"/>
        <s v="own-child"/>
        <s v="unmarried"/>
        <s v="wife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2199076" backgroundQuery="1" createdVersion="7" refreshedVersion="7" minRefreshableVersion="3" recordCount="0" supportSubquery="1" supportAdvancedDrill="1" xr:uid="{F60C19F7-92B1-4D1D-B16D-D30C1CC9F2BE}">
  <cacheSource type="external" connectionId="1"/>
  <cacheFields count="3">
    <cacheField name="[Measures].[Count of fraud_reported]" caption="Count of fraud_reported" numFmtId="0" hierarchy="48" level="32767"/>
    <cacheField name="[Range].[policy_deductable].[policy_deductable]" caption="policy_deductable" numFmtId="0" hierarchy="8" level="1">
      <sharedItems containsSemiMixedTypes="0" containsString="0" containsNumber="1" containsInteger="1" minValue="500" maxValue="2000" count="3">
        <n v="500"/>
        <n v="1000"/>
        <n v="2000"/>
      </sharedItems>
      <extLst>
        <ext xmlns:x15="http://schemas.microsoft.com/office/spreadsheetml/2010/11/main" uri="{4F2E5C28-24EA-4eb8-9CBF-B6C8F9C3D259}">
          <x15:cachedUniqueNames>
            <x15:cachedUniqueName index="0" name="[Range].[policy_deductable].&amp;[500]"/>
            <x15:cachedUniqueName index="1" name="[Range].[policy_deductable].&amp;[1000]"/>
            <x15:cachedUniqueName index="2" name="[Range].[policy_deductable].&amp;[2000]"/>
          </x15:cachedUniqueNames>
        </ext>
      </extLst>
    </cacheField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2" memberValueDatatype="20" unbalanced="0">
      <fieldsUsage count="2">
        <fieldUsage x="-1"/>
        <fieldUsage x="1"/>
      </fieldsUsage>
    </cacheHierarchy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8333334" backgroundQuery="1" createdVersion="7" refreshedVersion="7" minRefreshableVersion="3" recordCount="0" supportSubquery="1" supportAdvancedDrill="1" xr:uid="{CA71EE8E-BB0C-4311-B825-9DD8BA3CB31D}">
  <cacheSource type="external" connectionId="1"/>
  <cacheFields count="3">
    <cacheField name="[Range].[incident_state].[incident_state]" caption="incident_state" numFmtId="0" hierarchy="24" level="1">
      <sharedItems count="7">
        <s v="NC"/>
        <s v="NY"/>
        <s v="OH"/>
        <s v="PA"/>
        <s v="SC"/>
        <s v="VA"/>
        <s v="WV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9699075" backgroundQuery="1" createdVersion="7" refreshedVersion="7" minRefreshableVersion="3" recordCount="0" supportSubquery="1" supportAdvancedDrill="1" xr:uid="{225A226B-D5EB-472E-9F75-69502BDAF642}">
  <cacheSource type="external" connectionId="1"/>
  <cacheFields count="3">
    <cacheField name="[Range].[collision_type].[collision_type]" caption="collision_type" numFmtId="0" hierarchy="21" level="1">
      <sharedItems count="4">
        <s v="Front Collision"/>
        <s v="Rear Collision"/>
        <s v="Side Collision"/>
        <s v="Unknown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3912041" backgroundQuery="1" createdVersion="7" refreshedVersion="7" minRefreshableVersion="3" recordCount="0" supportSubquery="1" supportAdvancedDrill="1" xr:uid="{80F057F6-295D-49C5-BC5E-EA0236DCDE8C}">
  <cacheSource type="external" connectionId="1"/>
  <cacheFields count="3">
    <cacheField name="[Range].[insured_occupation].[insured_occupation]" caption="insured_occupation" numFmtId="0" hierarchy="14" level="1">
      <sharedItems count="14">
        <s v="adm-clerical"/>
        <s v="armed-forces"/>
        <s v="craft-repair"/>
        <s v="exec-managerial"/>
        <s v="farming-fishing"/>
        <s v="handlers-cleaners"/>
        <s v="machine-op-inspct"/>
        <s v="other-service"/>
        <s v="priv-house-serv"/>
        <s v="prof-specialty"/>
        <s v="protective-serv"/>
        <s v="sales"/>
        <s v="tech-support"/>
        <s v="transport-moving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18865739" backgroundQuery="1" createdVersion="7" refreshedVersion="7" minRefreshableVersion="3" recordCount="0" supportSubquery="1" supportAdvancedDrill="1" xr:uid="{FE5AC17D-DC07-40D5-B598-2E6F31393469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capital-loss]" caption="Average of capital-loss" numFmtId="0" hierarchy="70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1759256" backgroundQuery="1" createdVersion="7" refreshedVersion="7" minRefreshableVersion="3" recordCount="0" supportSubquery="1" supportAdvancedDrill="1" xr:uid="{FB2343E1-6153-4A9D-B22A-AE87306A333E}">
  <cacheSource type="external" connectionId="1"/>
  <cacheFields count="3">
    <cacheField name="[Range].[fraud_reported].[fraud_reported]" caption="fraud_reported" numFmtId="0" hierarchy="43" level="1">
      <sharedItems count="2">
        <s v="N"/>
        <s v="Y"/>
      </sharedItems>
    </cacheField>
    <cacheField name="[Range].[policy_csl].[policy_csl]" caption="policy_csl" numFmtId="0" hierarchy="7" level="1">
      <sharedItems count="3">
        <s v="100/300"/>
        <s v="250/500"/>
        <s v="500/1000"/>
      </sharedItems>
    </cacheField>
    <cacheField name="[Measures].[Count of policy_number]" caption="Count of policy_number" numFmtId="0" hierarchy="47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3356484" backgroundQuery="1" createdVersion="7" refreshedVersion="7" minRefreshableVersion="3" recordCount="0" supportSubquery="1" supportAdvancedDrill="1" xr:uid="{A127F716-734A-440C-8EC2-A1EA01B70709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property_claim]" caption="Average of property_claim" numFmtId="0" hierarchy="54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64120369" backgroundQuery="1" createdVersion="7" refreshedVersion="7" minRefreshableVersion="3" recordCount="0" supportSubquery="1" supportAdvancedDrill="1" xr:uid="{CA67B870-E1D0-40AD-B7F7-7FDE56F0C113}">
  <cacheSource type="external" connectionId="1"/>
  <cacheFields count="3"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  <cacheField name="[Range].[witnesses].[witnesses]" caption="witnesses" numFmtId="0" hierarchy="32" level="1">
      <sharedItems containsSemiMixedTypes="0" containsString="0" containsNumber="1" containsInteger="1" minValue="0" maxValue="3" count="4">
        <n v="0"/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Range].[witnesses].&amp;[0]"/>
            <x15:cachedUniqueName index="1" name="[Range].[witnesses].&amp;[1]"/>
            <x15:cachedUniqueName index="2" name="[Range].[witnesses].&amp;[2]"/>
            <x15:cachedUniqueName index="3" name="[Range].[witnesses].&amp;[3]"/>
          </x15:cachedUniqueNames>
        </ext>
      </extLst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2" memberValueDatatype="20" unbalanced="0">
      <fieldsUsage count="2">
        <fieldUsage x="-1"/>
        <fieldUsage x="2"/>
      </fieldsUsage>
    </cacheHierarchy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1018516" backgroundQuery="1" createdVersion="7" refreshedVersion="7" minRefreshableVersion="3" recordCount="0" supportSubquery="1" supportAdvancedDrill="1" xr:uid="{A9987D8C-4AD6-4CEB-AC16-7E83D8C2B0E9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ax of total_claim_amount]" caption="Max of total_claim_amount" numFmtId="0" hierarchy="59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0694444" backgroundQuery="1" createdVersion="7" refreshedVersion="7" minRefreshableVersion="3" recordCount="0" supportSubquery="1" supportAdvancedDrill="1" xr:uid="{35ECDF54-5C65-430B-9727-E4578C0544B8}">
  <cacheSource type="external" connectionId="1"/>
  <cacheFields count="3">
    <cacheField name="[Range].[incident_type].[incident_type]" caption="incident_type" numFmtId="0" hierarchy="20" level="1">
      <sharedItems count="4">
        <s v="Multi-vehicle Collision"/>
        <s v="Parked Car"/>
        <s v="Single Vehicle Collision"/>
        <s v="Vehicle Theft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5300926" backgroundQuery="1" createdVersion="7" refreshedVersion="7" minRefreshableVersion="3" recordCount="0" supportSubquery="1" supportAdvancedDrill="1" xr:uid="{D7895723-479E-4775-88FE-6FA80BA7E552}">
  <cacheSource type="external" connectionId="1"/>
  <cacheFields count="3">
    <cacheField name="[Range].[incident_severity].[incident_severity]" caption="incident_severity" numFmtId="0" hierarchy="22" level="1">
      <sharedItems count="4">
        <s v="Major Damage"/>
        <s v="Minor Damage"/>
        <s v="Total Loss"/>
        <s v="Trivial Damage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3263888" backgroundQuery="1" createdVersion="7" refreshedVersion="7" minRefreshableVersion="3" recordCount="0" supportSubquery="1" supportAdvancedDrill="1" xr:uid="{833AB09D-2DEE-4920-8782-B5B7F3576594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in of vehicle_claim]" caption="Min of vehicle_claim" numFmtId="0" hierarchy="65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90175231481" backgroundQuery="1" createdVersion="7" refreshedVersion="7" minRefreshableVersion="3" recordCount="0" supportSubquery="1" supportAdvancedDrill="1" xr:uid="{B9C75EB7-676D-4CE8-83E8-A025031363C6}">
  <cacheSource type="external" connectionId="1"/>
  <cacheFields count="3">
    <cacheField name="[Range].[grouped months].[grouped months]" caption="grouped months" numFmtId="0" hierarchy="1" level="1">
      <sharedItems count="4">
        <s v="0-2 years"/>
        <s v="10+ years"/>
        <s v="2-5 years"/>
        <s v="5-10 years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4212963" backgroundQuery="1" createdVersion="7" refreshedVersion="7" minRefreshableVersion="3" recordCount="0" supportSubquery="1" supportAdvancedDrill="1" xr:uid="{F6609713-F44C-4DCA-BF74-B9EB4B6B739B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vehicle_claim]" caption="Average of vehicle_claim" numFmtId="0" hierarchy="56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972222" backgroundQuery="1" createdVersion="7" refreshedVersion="7" minRefreshableVersion="3" recordCount="0" supportSubquery="1" supportAdvancedDrill="1" xr:uid="{78109544-1C9B-45FF-B856-159D6EA5BDFD}">
  <cacheSource type="external" connectionId="1"/>
  <cacheFields count="3">
    <cacheField name="[Range].[property_damage].[property_damage]" caption="property_damage" numFmtId="0" hierarchy="30" level="1">
      <sharedItems count="3">
        <s v="NO"/>
        <s v="Unknown"/>
        <s v="YES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4537035" backgroundQuery="1" createdVersion="7" refreshedVersion="7" minRefreshableVersion="3" recordCount="0" supportSubquery="1" supportAdvancedDrill="1" xr:uid="{2077951B-7667-4DBD-AD29-8DC01E365261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ax of vehicle_claim]" caption="Max of vehicle_claim" numFmtId="0" hierarchy="64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8240737" backgroundQuery="1" createdVersion="7" refreshedVersion="7" minRefreshableVersion="3" recordCount="0" supportSubquery="1" supportAdvancedDrill="1" xr:uid="{746A0B56-6AE9-4B92-BAE9-7A3573A55D02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ax of injury_claim]" caption="Max of injury_claim" numFmtId="0" hierarchy="61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1319446" backgroundQuery="1" createdVersion="7" refreshedVersion="7" minRefreshableVersion="3" recordCount="0" supportSubquery="1" supportAdvancedDrill="1" xr:uid="{04A79A72-2868-41F2-B4E7-8D79FEA1207A}">
  <cacheSource type="external" connectionId="1"/>
  <cacheFields count="3">
    <cacheField name="[Range].[insured_sex].[insured_sex]" caption="insured_sex" numFmtId="0" hierarchy="12" level="1">
      <sharedItems count="2">
        <s v="FEMALE"/>
        <s v="MALE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0138886" backgroundQuery="1" createdVersion="7" refreshedVersion="7" minRefreshableVersion="3" recordCount="0" supportSubquery="1" supportAdvancedDrill="1" xr:uid="{4FED3208-3FB2-4941-922E-6BA5D2220197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capital-gains]" caption="Average of capital-gains" numFmtId="0" hierarchy="6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5833333" backgroundQuery="1" createdVersion="7" refreshedVersion="7" minRefreshableVersion="3" recordCount="0" supportSubquery="1" supportAdvancedDrill="1" xr:uid="{A86E52B9-AE39-4EB3-8614-215A29184B94}">
  <cacheSource type="external" connectionId="1"/>
  <cacheFields count="3"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  <cacheField name="[Range].[insured_education_level].[insured_education_level]" caption="insured_education_level" numFmtId="0" hierarchy="13" level="1">
      <sharedItems count="7">
        <s v="Associate"/>
        <s v="College"/>
        <s v="High School"/>
        <s v="JD"/>
        <s v="Masters"/>
        <s v="MD"/>
        <s v="PhD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9513892" backgroundQuery="1" createdVersion="7" refreshedVersion="7" minRefreshableVersion="3" recordCount="0" supportSubquery="1" supportAdvancedDrill="1" xr:uid="{AA7290A0-59B0-442E-851B-857D73766D05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in of injury_claim]" caption="Min of injury_claim" numFmtId="0" hierarchy="60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61226851" backgroundQuery="1" createdVersion="7" refreshedVersion="7" minRefreshableVersion="3" recordCount="0" supportSubquery="1" supportAdvancedDrill="1" xr:uid="{476FF7D2-48CF-44E9-B2B3-537E4BF0402C}">
  <cacheSource type="external" connectionId="1"/>
  <cacheFields count="3">
    <cacheField name="[Range].[authorities_contacted].[authorities_contacted]" caption="authorities_contacted" numFmtId="0" hierarchy="23" level="1">
      <sharedItems count="5">
        <s v="Ambulance"/>
        <s v="Fire"/>
        <s v="None"/>
        <s v="Other"/>
        <s v="Police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17592591" backgroundQuery="1" createdVersion="7" refreshedVersion="7" minRefreshableVersion="3" recordCount="0" supportSubquery="1" supportAdvancedDrill="1" xr:uid="{28F960BF-1299-43E6-90B8-E73A097566DF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policy_annual_premium]" caption="Average of policy_annual_premium" numFmtId="0" hierarchy="72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5925928" backgroundQuery="1" createdVersion="7" refreshedVersion="7" minRefreshableVersion="3" recordCount="0" supportSubquery="1" supportAdvancedDrill="1" xr:uid="{67501331-F07E-4B88-9135-418889B524F4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ax of property_claim]" caption="Max of property_claim" numFmtId="0" hierarchy="63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2407409" backgroundQuery="1" createdVersion="7" refreshedVersion="7" minRefreshableVersion="3" recordCount="0" supportSubquery="1" supportAdvancedDrill="1" xr:uid="{69DFE9D6-B924-4166-B651-B3960F5FC797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in of total_claim_amount]" caption="Min of total_claim_amount" numFmtId="0" hierarchy="5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901401967596" backgroundQuery="1" createdVersion="7" refreshedVersion="7" minRefreshableVersion="3" recordCount="0" supportSubquery="1" supportAdvancedDrill="1" xr:uid="{626A1F1B-5277-43F1-B4E8-91D10AEBDB00}">
  <cacheSource type="external" connectionId="1"/>
  <cacheFields count="3">
    <cacheField name="[Range].[time grouped].[time grouped]" caption="time grouped" numFmtId="0" hierarchy="28" level="1">
      <sharedItems count="4">
        <s v="Afternoon"/>
        <s v="Evening"/>
        <s v="Morning"/>
        <s v="Night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2696759" backgroundQuery="1" createdVersion="7" refreshedVersion="7" minRefreshableVersion="3" recordCount="0" supportSubquery="1" supportAdvancedDrill="1" xr:uid="{63D0ADDC-89BA-41E4-AAF0-2CC79A49183E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Min of property_claim]" caption="Min of property_claim" numFmtId="0" hierarchy="62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13425927" backgroundQuery="1" createdVersion="7" refreshedVersion="7" minRefreshableVersion="3" recordCount="0" supportSubquery="1" supportAdvancedDrill="1" xr:uid="{868BF835-9C4F-4D09-B1C6-B613F12729ED}">
  <cacheSource type="external" connectionId="1"/>
  <cacheFields count="3">
    <cacheField name="[Range].[grouped age].[grouped age]" caption="grouped age" numFmtId="0" hierarchy="3" level="1">
      <sharedItems count="6">
        <s v="19-25"/>
        <s v="26-32"/>
        <s v="33-39"/>
        <s v="40-46"/>
        <s v="47-53"/>
        <s v="54+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6712964" backgroundQuery="1" createdVersion="7" refreshedVersion="7" minRefreshableVersion="3" recordCount="0" supportSubquery="1" supportAdvancedDrill="1" xr:uid="{189D37D0-8517-41F6-AB54-FDA8E7F15987}">
  <cacheSource type="external" connectionId="1"/>
  <cacheFields count="3">
    <cacheField name="[Range].[incident_city].[incident_city]" caption="incident_city" numFmtId="0" hierarchy="25" level="1">
      <sharedItems count="7">
        <s v="Arlington"/>
        <s v="Columbus"/>
        <s v="Hillsdale"/>
        <s v="Northbend"/>
        <s v="Northbrook"/>
        <s v="Riverwood"/>
        <s v="Springfield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55092593" backgroundQuery="1" createdVersion="7" refreshedVersion="7" minRefreshableVersion="3" recordCount="0" supportSubquery="1" supportAdvancedDrill="1" xr:uid="{7EDDC228-4406-4D3C-AD48-3B75706EBEC6}">
  <cacheSource type="external" connectionId="1"/>
  <cacheFields count="3">
    <cacheField name="[Range].[police_report_available].[police_report_available]" caption="police_report_available" numFmtId="0" hierarchy="33" level="1">
      <sharedItems count="3">
        <s v="NO"/>
        <s v="Unknown"/>
        <s v="YES"/>
      </sharedItems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62499998" backgroundQuery="1" createdVersion="7" refreshedVersion="7" minRefreshableVersion="3" recordCount="0" supportSubquery="1" supportAdvancedDrill="1" xr:uid="{FBF84979-8F53-4B6F-8902-47E1BC96439A}">
  <cacheSource type="external" connectionId="1"/>
  <cacheFields count="2">
    <cacheField name="[Range].[fraud_reported].[fraud_reported]" caption="fraud_reported" numFmtId="0" hierarchy="43" level="1">
      <sharedItems count="2">
        <s v="N"/>
        <s v="Y"/>
      </sharedItems>
    </cacheField>
    <cacheField name="[Measures].[Average of injury_claim]" caption="Average of injury_claim" numFmtId="0" hierarchy="52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91914699077" backgroundQuery="1" createdVersion="7" refreshedVersion="7" minRefreshableVersion="3" recordCount="0" supportSubquery="1" supportAdvancedDrill="1" xr:uid="{D6580C8A-F466-4A61-AB55-F95AC3C38D18}">
  <cacheSource type="external" connectionId="1"/>
  <cacheFields count="3">
    <cacheField name="[Range].[vehicle age].[vehicle age]" caption="vehicle age" numFmtId="0" hierarchy="42" level="1">
      <sharedItems containsSemiMixedTypes="0" containsString="0" containsNumber="1" containsInteger="1" minValue="0" maxValue="20" count="2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Range].[vehicle age].&amp;[0]"/>
            <x15:cachedUniqueName index="1" name="[Range].[vehicle age].&amp;[1]"/>
            <x15:cachedUniqueName index="2" name="[Range].[vehicle age].&amp;[2]"/>
            <x15:cachedUniqueName index="3" name="[Range].[vehicle age].&amp;[3]"/>
            <x15:cachedUniqueName index="4" name="[Range].[vehicle age].&amp;[4]"/>
            <x15:cachedUniqueName index="5" name="[Range].[vehicle age].&amp;[5]"/>
            <x15:cachedUniqueName index="6" name="[Range].[vehicle age].&amp;[6]"/>
            <x15:cachedUniqueName index="7" name="[Range].[vehicle age].&amp;[7]"/>
            <x15:cachedUniqueName index="8" name="[Range].[vehicle age].&amp;[8]"/>
            <x15:cachedUniqueName index="9" name="[Range].[vehicle age].&amp;[9]"/>
            <x15:cachedUniqueName index="10" name="[Range].[vehicle age].&amp;[10]"/>
            <x15:cachedUniqueName index="11" name="[Range].[vehicle age].&amp;[11]"/>
            <x15:cachedUniqueName index="12" name="[Range].[vehicle age].&amp;[12]"/>
            <x15:cachedUniqueName index="13" name="[Range].[vehicle age].&amp;[13]"/>
            <x15:cachedUniqueName index="14" name="[Range].[vehicle age].&amp;[14]"/>
            <x15:cachedUniqueName index="15" name="[Range].[vehicle age].&amp;[15]"/>
            <x15:cachedUniqueName index="16" name="[Range].[vehicle age].&amp;[16]"/>
            <x15:cachedUniqueName index="17" name="[Range].[vehicle age].&amp;[17]"/>
            <x15:cachedUniqueName index="18" name="[Range].[vehicle age].&amp;[18]"/>
            <x15:cachedUniqueName index="19" name="[Range].[vehicle age].&amp;[19]"/>
            <x15:cachedUniqueName index="20" name="[Range].[vehicle age].&amp;[20]"/>
          </x15:cachedUniqueNames>
        </ext>
      </extLst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2" memberValueDatatype="20" unbalanced="0">
      <fieldsUsage count="2">
        <fieldUsage x="-1"/>
        <fieldUsage x="0"/>
      </fieldsUsage>
    </cacheHierarchy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36805558" backgroundQuery="1" createdVersion="7" refreshedVersion="7" minRefreshableVersion="3" recordCount="0" supportSubquery="1" supportAdvancedDrill="1" xr:uid="{ADB82987-B7AA-4B14-B326-26FEE7901DF9}">
  <cacheSource type="external" connectionId="1"/>
  <cacheFields count="3">
    <cacheField name="[Range].[number_of_vehicles_involved].[number_of_vehicles_involved]" caption="number_of_vehicles_involved" numFmtId="0" hierarchy="2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Range].[number_of_vehicles_involved].&amp;[1]"/>
            <x15:cachedUniqueName index="1" name="[Range].[number_of_vehicles_involved].&amp;[2]"/>
            <x15:cachedUniqueName index="2" name="[Range].[number_of_vehicles_involved].&amp;[3]"/>
            <x15:cachedUniqueName index="3" name="[Range].[number_of_vehicles_involved].&amp;[4]"/>
          </x15:cachedUniqueNames>
        </ext>
      </extLst>
    </cacheField>
    <cacheField name="[Range].[fraud_reported].[fraud_reported]" caption="fraud_reported" numFmtId="0" hierarchy="43" level="1">
      <sharedItems count="2">
        <s v="N"/>
        <s v="Y"/>
      </sharedItems>
    </cacheField>
    <cacheField name="[Measures].[Count of fraud_reported]" caption="Count of fraud_reported" numFmtId="0" hierarchy="48" level="32767"/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2" memberValueDatatype="20" unbalanced="0">
      <fieldsUsage count="2">
        <fieldUsage x="-1"/>
        <fieldUsage x="0"/>
      </fieldsUsage>
    </cacheHierarchy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2939816" backgroundQuery="1" createdVersion="7" refreshedVersion="7" minRefreshableVersion="3" recordCount="0" supportSubquery="1" supportAdvancedDrill="1" xr:uid="{D0003C5E-591D-457C-8E89-5977FCB010B9}">
  <cacheSource type="external" connectionId="1"/>
  <cacheFields count="3"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  <cacheField name="[Range].[bodily_injuries].[bodily_injuries]" caption="bodily_injuries" numFmtId="0" hierarchy="31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Range].[bodily_injuries].&amp;[0]"/>
            <x15:cachedUniqueName index="1" name="[Range].[bodily_injuries].&amp;[1]"/>
            <x15:cachedUniqueName index="2" name="[Range].[bodily_injuries].&amp;[2]"/>
          </x15:cachedUniqueNames>
        </ext>
      </extLst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0" memberValueDatatype="130" unbalanced="0"/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2" memberValueDatatype="20" unbalanced="0">
      <fieldsUsage count="2">
        <fieldUsage x="-1"/>
        <fieldUsage x="2"/>
      </fieldsUsage>
    </cacheHierarchy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189747453704" backgroundQuery="1" createdVersion="7" refreshedVersion="7" minRefreshableVersion="3" recordCount="0" supportSubquery="1" supportAdvancedDrill="1" xr:uid="{28AFA0F2-A905-4826-A629-CC9A4AC6B06A}">
  <cacheSource type="external" connectionId="1"/>
  <cacheFields count="3">
    <cacheField name="[Range].[policy_state].[policy_state]" caption="policy_state" numFmtId="0" hierarchy="6" level="1">
      <sharedItems count="3">
        <s v="IL"/>
        <s v="IN"/>
        <s v="OH"/>
      </sharedItems>
    </cacheField>
    <cacheField name="[Measures].[Count of fraud_reported]" caption="Count of fraud_reported" numFmtId="0" hierarchy="48" level="32767"/>
    <cacheField name="[Range].[fraud_reported].[fraud_reported]" caption="fraud_reported" numFmtId="0" hierarchy="43" level="1">
      <sharedItems count="2">
        <s v="N"/>
        <s v="Y"/>
      </sharedItems>
    </cacheField>
  </cacheFields>
  <cacheHierarchies count="73">
    <cacheHierarchy uniqueName="[Range].[months_as_customer]" caption="months_as_customer" attribute="1" defaultMemberUniqueName="[Range].[months_as_customer].[All]" allUniqueName="[Range].[months_as_customer].[All]" dimensionUniqueName="[Range]" displayFolder="" count="0" memberValueDatatype="20" unbalanced="0"/>
    <cacheHierarchy uniqueName="[Range].[grouped months]" caption="grouped months" attribute="1" defaultMemberUniqueName="[Range].[grouped months].[All]" allUniqueName="[Range].[grouped month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rouped age]" caption="grouped age" attribute="1" defaultMemberUniqueName="[Range].[grouped age].[All]" allUniqueName="[Range].[grouped age].[All]" dimensionUniqueName="[Range]" displayFolder="" count="0" memberValueDatatype="130" unbalanced="0"/>
    <cacheHierarchy uniqueName="[Range].[policy_number]" caption="policy_number" attribute="1" defaultMemberUniqueName="[Range].[policy_number].[All]" allUniqueName="[Range].[policy_number].[All]" dimensionUniqueName="[Range]" displayFolder="" count="0" memberValueDatatype="20" unbalanced="0"/>
    <cacheHierarchy uniqueName="[Range].[policy_bind_date]" caption="policy_bind_date" attribute="1" time="1" defaultMemberUniqueName="[Range].[policy_bind_date].[All]" allUniqueName="[Range].[policy_bind_date].[All]" dimensionUniqueName="[Range]" displayFolder="" count="0" memberValueDatatype="7" unbalanced="0"/>
    <cacheHierarchy uniqueName="[Range].[policy_state]" caption="policy_state" attribute="1" defaultMemberUniqueName="[Range].[policy_state].[All]" allUniqueName="[Range].[policy_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olicy_csl]" caption="policy_csl" attribute="1" defaultMemberUniqueName="[Range].[policy_csl].[All]" allUniqueName="[Range].[policy_csl].[All]" dimensionUniqueName="[Range]" displayFolder="" count="0" memberValueDatatype="130" unbalanced="0"/>
    <cacheHierarchy uniqueName="[Range].[policy_deductable]" caption="policy_deductable" attribute="1" defaultMemberUniqueName="[Range].[policy_deductable].[All]" allUniqueName="[Range].[policy_deductable].[All]" dimensionUniqueName="[Range]" displayFolder="" count="0" memberValueDatatype="20" unbalanced="0"/>
    <cacheHierarchy uniqueName="[Range].[policy_annual_premium]" caption="policy_annual_premium" attribute="1" defaultMemberUniqueName="[Range].[policy_annual_premium].[All]" allUniqueName="[Range].[policy_annual_premium].[All]" dimensionUniqueName="[Range]" displayFolder="" count="0" memberValueDatatype="5" unbalanced="0"/>
    <cacheHierarchy uniqueName="[Range].[umbrella_limit]" caption="umbrella_limit" attribute="1" defaultMemberUniqueName="[Range].[umbrella_limit].[All]" allUniqueName="[Range].[umbrella_limit].[All]" dimensionUniqueName="[Range]" displayFolder="" count="0" memberValueDatatype="20" unbalanced="0"/>
    <cacheHierarchy uniqueName="[Range].[insured_zip]" caption="insured_zip" attribute="1" defaultMemberUniqueName="[Range].[insured_zip].[All]" allUniqueName="[Range].[insured_zip].[All]" dimensionUniqueName="[Range]" displayFolder="" count="0" memberValueDatatype="20" unbalanced="0"/>
    <cacheHierarchy uniqueName="[Range].[insured_sex]" caption="insured_sex" attribute="1" defaultMemberUniqueName="[Range].[insured_sex].[All]" allUniqueName="[Range].[insured_sex].[All]" dimensionUniqueName="[Range]" displayFolder="" count="0" memberValueDatatype="130" unbalanced="0"/>
    <cacheHierarchy uniqueName="[Range].[insured_education_level]" caption="insured_education_level" attribute="1" defaultMemberUniqueName="[Range].[insured_education_level].[All]" allUniqueName="[Range].[insured_education_level].[All]" dimensionUniqueName="[Range]" displayFolder="" count="0" memberValueDatatype="130" unbalanced="0"/>
    <cacheHierarchy uniqueName="[Range].[insured_occupation]" caption="insured_occupation" attribute="1" defaultMemberUniqueName="[Range].[insured_occupation].[All]" allUniqueName="[Range].[insured_occupation].[All]" dimensionUniqueName="[Range]" displayFolder="" count="0" memberValueDatatype="130" unbalanced="0"/>
    <cacheHierarchy uniqueName="[Range].[insured_hobbies]" caption="insured_hobbies" attribute="1" defaultMemberUniqueName="[Range].[insured_hobbies].[All]" allUniqueName="[Range].[insured_hobbies].[All]" dimensionUniqueName="[Range]" displayFolder="" count="0" memberValueDatatype="130" unbalanced="0"/>
    <cacheHierarchy uniqueName="[Range].[insured_relationship]" caption="insured_relationship" attribute="1" defaultMemberUniqueName="[Range].[insured_relationship].[All]" allUniqueName="[Range].[insured_relationship].[All]" dimensionUniqueName="[Range]" displayFolder="" count="0" memberValueDatatype="130" unbalanced="0"/>
    <cacheHierarchy uniqueName="[Range].[capital-gains]" caption="capital-gains" attribute="1" defaultMemberUniqueName="[Range].[capital-gains].[All]" allUniqueName="[Range].[capital-gains].[All]" dimensionUniqueName="[Range]" displayFolder="" count="0" memberValueDatatype="20" unbalanced="0"/>
    <cacheHierarchy uniqueName="[Range].[capital-loss]" caption="capital-loss" attribute="1" defaultMemberUniqueName="[Range].[capital-loss].[All]" allUniqueName="[Range].[capital-loss].[All]" dimensionUniqueName="[Range]" displayFolder="" count="0" memberValueDatatype="20" unbalanced="0"/>
    <cacheHierarchy uniqueName="[Range].[incident_date]" caption="incident_date" attribute="1" time="1" defaultMemberUniqueName="[Range].[incident_date].[All]" allUniqueName="[Range].[incident_date].[All]" dimensionUniqueName="[Range]" displayFolder="" count="0" memberValueDatatype="7" unbalanced="0"/>
    <cacheHierarchy uniqueName="[Range].[incident_type]" caption="incident_type" attribute="1" defaultMemberUniqueName="[Range].[incident_type].[All]" allUniqueName="[Range].[incident_type].[All]" dimensionUniqueName="[Range]" displayFolder="" count="0" memberValueDatatype="130" unbalanced="0"/>
    <cacheHierarchy uniqueName="[Range].[collision_type]" caption="collision_type" attribute="1" defaultMemberUniqueName="[Range].[collision_type].[All]" allUniqueName="[Range].[collision_type].[All]" dimensionUniqueName="[Range]" displayFolder="" count="0" memberValueDatatype="130" unbalanced="0"/>
    <cacheHierarchy uniqueName="[Range].[incident_severity]" caption="incident_severity" attribute="1" defaultMemberUniqueName="[Range].[incident_severity].[All]" allUniqueName="[Range].[incident_severity].[All]" dimensionUniqueName="[Range]" displayFolder="" count="0" memberValueDatatype="130" unbalanced="0"/>
    <cacheHierarchy uniqueName="[Range].[authorities_contacted]" caption="authorities_contacted" attribute="1" defaultMemberUniqueName="[Range].[authorities_contacted].[All]" allUniqueName="[Range].[authorities_contacted].[All]" dimensionUniqueName="[Range]" displayFolder="" count="0" memberValueDatatype="130" unbalanced="0"/>
    <cacheHierarchy uniqueName="[Range].[incident_state]" caption="incident_state" attribute="1" defaultMemberUniqueName="[Range].[incident_state].[All]" allUniqueName="[Range].[incident_state].[All]" dimensionUniqueName="[Range]" displayFolder="" count="0" memberValueDatatype="130" unbalanced="0"/>
    <cacheHierarchy uniqueName="[Range].[incident_city]" caption="incident_city" attribute="1" defaultMemberUniqueName="[Range].[incident_city].[All]" allUniqueName="[Range].[incident_city].[All]" dimensionUniqueName="[Range]" displayFolder="" count="0" memberValueDatatype="130" unbalanced="0"/>
    <cacheHierarchy uniqueName="[Range].[incident_location]" caption="incident_location" attribute="1" defaultMemberUniqueName="[Range].[incident_location].[All]" allUniqueName="[Range].[incident_location].[All]" dimensionUniqueName="[Range]" displayFolder="" count="0" memberValueDatatype="130" unbalanced="0"/>
    <cacheHierarchy uniqueName="[Range].[incident_hour_of_the_day]" caption="incident_hour_of_the_day" attribute="1" defaultMemberUniqueName="[Range].[incident_hour_of_the_day].[All]" allUniqueName="[Range].[incident_hour_of_the_day].[All]" dimensionUniqueName="[Range]" displayFolder="" count="0" memberValueDatatype="20" unbalanced="0"/>
    <cacheHierarchy uniqueName="[Range].[time grouped]" caption="time grouped" attribute="1" defaultMemberUniqueName="[Range].[time grouped].[All]" allUniqueName="[Range].[time grouped].[All]" dimensionUniqueName="[Range]" displayFolder="" count="0" memberValueDatatype="130" unbalanced="0"/>
    <cacheHierarchy uniqueName="[Range].[number_of_vehicles_involved]" caption="number_of_vehicles_involved" attribute="1" defaultMemberUniqueName="[Range].[number_of_vehicles_involved].[All]" allUniqueName="[Range].[number_of_vehicles_involved].[All]" dimensionUniqueName="[Range]" displayFolder="" count="0" memberValueDatatype="20" unbalanced="0"/>
    <cacheHierarchy uniqueName="[Range].[property_damage]" caption="property_damage" attribute="1" defaultMemberUniqueName="[Range].[property_damage].[All]" allUniqueName="[Range].[property_damage].[All]" dimensionUniqueName="[Range]" displayFolder="" count="0" memberValueDatatype="130" unbalanced="0"/>
    <cacheHierarchy uniqueName="[Range].[bodily_injuries]" caption="bodily_injuries" attribute="1" defaultMemberUniqueName="[Range].[bodily_injuries].[All]" allUniqueName="[Range].[bodily_injuries].[All]" dimensionUniqueName="[Range]" displayFolder="" count="0" memberValueDatatype="20" unbalanced="0"/>
    <cacheHierarchy uniqueName="[Range].[witnesses]" caption="witnesses" attribute="1" defaultMemberUniqueName="[Range].[witnesses].[All]" allUniqueName="[Range].[witnesses].[All]" dimensionUniqueName="[Range]" displayFolder="" count="0" memberValueDatatype="20" unbalanced="0"/>
    <cacheHierarchy uniqueName="[Range].[police_report_available]" caption="police_report_available" attribute="1" defaultMemberUniqueName="[Range].[police_report_available].[All]" allUniqueName="[Range].[police_report_available].[All]" dimensionUniqueName="[Range]" displayFolder="" count="0" memberValueDatatype="130" unbalanced="0"/>
    <cacheHierarchy uniqueName="[Range].[total_claim_amount]" caption="total_claim_amount" attribute="1" defaultMemberUniqueName="[Range].[total_claim_amount].[All]" allUniqueName="[Range].[total_claim_amount].[All]" dimensionUniqueName="[Range]" displayFolder="" count="0" memberValueDatatype="20" unbalanced="0"/>
    <cacheHierarchy uniqueName="[Range].[injury_claim]" caption="injury_claim" attribute="1" defaultMemberUniqueName="[Range].[injury_claim].[All]" allUniqueName="[Range].[injury_claim].[All]" dimensionUniqueName="[Range]" displayFolder="" count="0" memberValueDatatype="20" unbalanced="0"/>
    <cacheHierarchy uniqueName="[Range].[property_claim]" caption="property_claim" attribute="1" defaultMemberUniqueName="[Range].[property_claim].[All]" allUniqueName="[Range].[property_claim].[All]" dimensionUniqueName="[Range]" displayFolder="" count="0" memberValueDatatype="20" unbalanced="0"/>
    <cacheHierarchy uniqueName="[Range].[vehicle_claim]" caption="vehicle_claim" attribute="1" defaultMemberUniqueName="[Range].[vehicle_claim].[All]" allUniqueName="[Range].[vehicle_claim].[All]" dimensionUniqueName="[Range]" displayFolder="" count="0" memberValueDatatype="20" unbalanced="0"/>
    <cacheHierarchy uniqueName="[Range].[auto_make]" caption="auto_make" attribute="1" defaultMemberUniqueName="[Range].[auto_make].[All]" allUniqueName="[Range].[auto_make].[All]" dimensionUniqueName="[Range]" displayFolder="" count="0" memberValueDatatype="130" unbalanced="0"/>
    <cacheHierarchy uniqueName="[Range].[auto_model]" caption="auto_model" attribute="1" defaultMemberUniqueName="[Range].[auto_model].[All]" allUniqueName="[Range].[auto_model].[All]" dimensionUniqueName="[Range]" displayFolder="" count="0" memberValueDatatype="130" unbalanced="0"/>
    <cacheHierarchy uniqueName="[Range].[incident year]" caption="incident year" attribute="1" defaultMemberUniqueName="[Range].[incident year].[All]" allUniqueName="[Range].[incident year].[All]" dimensionUniqueName="[Range]" displayFolder="" count="0" memberValueDatatype="20" unbalanced="0"/>
    <cacheHierarchy uniqueName="[Range].[auto_year]" caption="auto_year" attribute="1" defaultMemberUniqueName="[Range].[auto_year].[All]" allUniqueName="[Range].[auto_year].[All]" dimensionUniqueName="[Range]" displayFolder="" count="0" memberValueDatatype="20" unbalanced="0"/>
    <cacheHierarchy uniqueName="[Range].[vehicle age]" caption="vehicle age" attribute="1" defaultMemberUniqueName="[Range].[vehicle age].[All]" allUniqueName="[Range].[vehicle age].[All]" dimensionUniqueName="[Range]" displayFolder="" count="0" memberValueDatatype="20" unbalanced="0"/>
    <cacheHierarchy uniqueName="[Range].[fraud_reported]" caption="fraud_reported" attribute="1" defaultMemberUniqueName="[Range].[fraud_reported].[All]" allUniqueName="[Range].[fraud_reporte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licy_number]" caption="Sum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licy_number]" caption="Count of policy_number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fraud_reported]" caption="Count of fraud_report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total_claim_amount]" caption="Sum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otal_claim_amount]" caption="Average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injury_claim]" caption="Sum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injury_claim]" caption="Average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property_claim]" caption="Sum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property_claim]" caption="Average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vehicle_claim]" caption="Sum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vehicle_claim]" caption="Average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total_claim_amount]" caption="Count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total_claim_amount]" caption="Min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ax of total_claim_amount]" caption="Max of total_claim_amoun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Min of injury_claim]" caption="Min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injury_claim]" caption="Max of injury_claim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property_claim]" caption="Min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property_claim]" caption="Max of property_claim" measure="1" displayFolder="" measureGroup="Rang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ax of vehicle_claim]" caption="Max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Min of vehicle_claim]" caption="Min of vehicle_claim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apital-gains]" caption="Sum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pital-gains]" caption="Count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apital-gains]" caption="Average of capital-gain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apital-loss]" caption="Sum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apital-loss]" caption="Average of capital-los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olicy_annual_premium]" caption="Sum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olicy_annual_premium]" caption="Average of policy_annual_premium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C01CD-5356-4DF2-9D44-AD0318467677}" name="PivotTable35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34:R3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ax of property_claim" fld="1" subtotal="max" baseField="0" baseItem="0" numFmtId="166"/>
  </dataFields>
  <formats count="4"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propert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F2A15-F9DE-4E07-8C20-BED7DA2F6349}" name="PivotTable12" cacheId="3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cident city" colHeaderCaption="Fraud Reported">
  <location ref="AA5:AD1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Incident City" fld="2" subtotal="count" baseField="0" baseItem="0"/>
  </dataFields>
  <formats count="12"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  <format dxfId="21">
      <pivotArea type="origin" dataOnly="0" labelOnly="1" outline="0" fieldPosition="0"/>
    </format>
    <format dxfId="20">
      <pivotArea field="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cident C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F6AA1-8245-4276-919D-7AA626DD9B9C}" name="PivotTable11" cacheId="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cident state" colHeaderCaption="Fraud Reported">
  <location ref="AA25:AD34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Incident State" fld="2" subtotal="count" baseField="0" baseItem="0"/>
  </dataFields>
  <formats count="12">
    <format dxfId="39">
      <pivotArea type="origin" dataOnly="0" labelOnly="1" outline="0" fieldPosition="0"/>
    </format>
    <format dxfId="38">
      <pivotArea field="1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cident St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05A1A-94AF-4C3C-9FF3-2A65B9527929}" name="PivotTable14" cacheId="1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property damage" colHeaderCaption="Fraud Reported">
  <location ref="G71:J76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Property Damage" fld="1" subtotal="count" baseField="0" baseItem="0"/>
  </dataFields>
  <formats count="12">
    <format dxfId="51">
      <pivotArea type="origin" dataOnly="0" labelOnly="1" outline="0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Col="1" outline="0" fieldPosition="0"/>
    </format>
    <format dxfId="45">
      <pivotArea type="origin" dataOnly="0" labelOnly="1" outline="0" fieldPosition="0"/>
    </format>
    <format dxfId="44">
      <pivotArea field="2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Property Dam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97CA-2787-442C-A785-4D5445FECEE6}" name="PivotTable1" cacheId="1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cident type" colHeaderCaption="Fraud Reported">
  <location ref="G5:J11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Incident type" fld="1" subtotal="count" baseField="0" baseItem="0"/>
  </dataFields>
  <formats count="12">
    <format dxfId="63">
      <pivotArea type="origin" dataOnly="0" labelOnly="1" outline="0" fieldPosition="0"/>
    </format>
    <format dxfId="62">
      <pivotArea field="2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Col="1" outline="0" fieldPosition="0"/>
    </format>
    <format dxfId="57">
      <pivotArea type="origin" dataOnly="0" labelOnly="1" outline="0" fieldPosition="0"/>
    </format>
    <format dxfId="56">
      <pivotArea field="2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cident typ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16CD4-4AFC-4E18-A3F6-C4C425A87627}" name="PivotTable10" cacheId="1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sured sex" colHeaderCaption="Fraud Reported">
  <location ref="T5:W9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Insured Sex" fld="1" subtotal="count" baseField="0" baseItem="0"/>
  </dataFields>
  <formats count="12">
    <format dxfId="75">
      <pivotArea type="origin" dataOnly="0" labelOnly="1" outline="0" fieldPosition="0"/>
    </format>
    <format dxfId="74">
      <pivotArea field="2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2" count="0"/>
        </references>
      </pivotArea>
    </format>
    <format dxfId="70">
      <pivotArea dataOnly="0" labelOnly="1" grandCol="1" outline="0" fieldPosition="0"/>
    </format>
    <format dxfId="69">
      <pivotArea type="origin" dataOnly="0" labelOnly="1" outline="0" fieldPosition="0"/>
    </format>
    <format dxfId="68">
      <pivotArea field="2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sured Sex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B4F1E-E0B1-44EA-A57E-4473EE4EE0EE}" name="PivotTable4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M41:N4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olicy_annual_premium" fld="1" subtotal="average" baseField="0" baseItem="0" numFmtId="165"/>
  </dataFields>
  <formats count="4">
    <format dxfId="79">
      <pivotArea field="0" type="button" dataOnly="0" labelOnly="1" outline="0" axis="axisRow" fieldPosition="0"/>
    </format>
    <format dxfId="78">
      <pivotArea dataOnly="0" labelOnly="1" outline="0" axis="axisValues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olicy_annual_premium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46A7B-A577-4FF0-8665-6D410B6DDB9B}" name="PivotTable13" cacheId="3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no of vehicles involved" colHeaderCaption="Fraud Reported">
  <location ref="G31:J3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Number of Vehicles Involved" fld="2" subtotal="count" baseField="0" baseItem="0"/>
  </dataFields>
  <formats count="12">
    <format dxfId="91">
      <pivotArea type="origin" dataOnly="0" labelOnly="1" outline="0" fieldPosition="0"/>
    </format>
    <format dxfId="90">
      <pivotArea field="1" type="button" dataOnly="0" labelOnly="1" outline="0" axis="axisCol" fieldPosition="0"/>
    </format>
    <format dxfId="89">
      <pivotArea type="topRight" dataOnly="0" labelOnly="1" outline="0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  <format dxfId="85">
      <pivotArea type="origin" dataOnly="0" labelOnly="1" outline="0" fieldPosition="0"/>
    </format>
    <format dxfId="84">
      <pivotArea field="1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Number of Vehicles Involv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38956-8214-4BA1-BC41-E8BC90BD133E}" name="PivotTable42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 Group" colHeaderCaption="Fraud Reported">
  <location ref="T11:W19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Insured Age Group" fld="1" subtotal="count" baseField="0" baseItem="0"/>
  </dataFields>
  <formats count="12">
    <format dxfId="103">
      <pivotArea type="origin" dataOnly="0" labelOnly="1" outline="0" fieldPosition="0"/>
    </format>
    <format dxfId="102">
      <pivotArea field="2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2" count="0"/>
        </references>
      </pivotArea>
    </format>
    <format dxfId="98">
      <pivotArea dataOnly="0" labelOnly="1" grandCol="1" outline="0" fieldPosition="0"/>
    </format>
    <format dxfId="97">
      <pivotArea type="origin" dataOnly="0" labelOnly="1" outline="0" fieldPosition="0"/>
    </format>
    <format dxfId="96">
      <pivotArea field="2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sured Age Grou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DDF8E-488A-41FD-B7E3-DE0CE673C159}" name="PivotTable9" cacheId="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policy deductable" colHeaderCaption="Fraud Reported">
  <location ref="AG12:AJ1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Policy Deductible" fld="0" subtotal="count" baseField="0" baseItem="0"/>
  </dataFields>
  <formats count="12">
    <format dxfId="115">
      <pivotArea type="origin" dataOnly="0" labelOnly="1" outline="0" fieldPosition="0"/>
    </format>
    <format dxfId="114">
      <pivotArea field="2" type="button" dataOnly="0" labelOnly="1" outline="0" axis="axisCol" fieldPosition="0"/>
    </format>
    <format dxfId="113">
      <pivotArea type="topRight" dataOnly="0" labelOnly="1" outline="0" fieldPosition="0"/>
    </format>
    <format dxfId="112">
      <pivotArea field="1" type="button" dataOnly="0" labelOnly="1" outline="0" axis="axisRow" fieldPosition="0"/>
    </format>
    <format dxfId="111">
      <pivotArea dataOnly="0" labelOnly="1" fieldPosition="0">
        <references count="1">
          <reference field="2" count="0"/>
        </references>
      </pivotArea>
    </format>
    <format dxfId="110">
      <pivotArea dataOnly="0" labelOnly="1" grandCol="1" outline="0" fieldPosition="0"/>
    </format>
    <format dxfId="109">
      <pivotArea type="origin" dataOnly="0" labelOnly="1" outline="0" fieldPosition="0"/>
    </format>
    <format dxfId="108">
      <pivotArea field="2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Policy Deductibl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B2CB3-A74C-4C80-BB3F-FEA64D8F3929}" name="PivotTable38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olicy csl" colHeaderCaption="Fraud Reported">
  <location ref="AG5:AJ10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Fraud Rate by Policy CSL" fld="2" subtotal="count" baseField="1" baseItem="0"/>
  </dataFields>
  <formats count="12">
    <format dxfId="127">
      <pivotArea type="origin" dataOnly="0" labelOnly="1" outline="0" fieldPosition="0"/>
    </format>
    <format dxfId="126">
      <pivotArea field="0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1" type="button" dataOnly="0" labelOnly="1" outline="0" axis="axisRow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grandCol="1" outline="0" fieldPosition="0"/>
    </format>
    <format dxfId="121">
      <pivotArea type="origin" dataOnly="0" labelOnly="1" outline="0" fieldPosition="0"/>
    </format>
    <format dxfId="120">
      <pivotArea field="0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Fraud Rate by Policy CS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4D693-1A74-4D6A-B9DD-F8DDD22FDD35}" name="PivotTable3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23:R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ax of total_claim_amount" fld="1" subtotal="max" baseField="0" baseItem="0" numFmtId="166"/>
  </dataFields>
  <formats count="4">
    <format dxfId="131">
      <pivotArea field="0" type="button" dataOnly="0" labelOnly="1" outline="0" axis="axisRow" fieldPosition="0"/>
    </format>
    <format dxfId="130">
      <pivotArea dataOnly="0" labelOnly="1" outline="0" axis="axisValues" fieldPosition="0"/>
    </format>
    <format dxfId="129">
      <pivotArea outline="0" collapsedLevelsAreSubtotals="1" fieldPosition="0"/>
    </format>
    <format dxfId="128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total_claim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12FD1-446E-4B9A-A9D6-05C8CE87E5E7}" name="PivotTable7" cacheId="1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Fraud Reported">
  <location ref="M17:N2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vehicle_claim" fld="1" subtotal="average" baseField="0" baseItem="0" numFmtId="165"/>
  </dataFields>
  <formats count="4">
    <format dxfId="135">
      <pivotArea field="0" type="button" dataOnly="0" labelOnly="1" outline="0" axis="axisRow" fieldPosition="0"/>
    </format>
    <format dxfId="134">
      <pivotArea dataOnly="0" labelOnly="1" outline="0" axis="axisValues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vehicle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60A30-E28F-42B7-BE3D-C9681369D25D}" name="PivotTable17" cacheId="2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authorities contacted" colHeaderCaption="Fraud Reported">
  <location ref="G62:J6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Authorities Contacted" fld="2" subtotal="count" baseField="0" baseItem="0"/>
  </dataFields>
  <formats count="12">
    <format dxfId="147">
      <pivotArea type="origin" dataOnly="0" labelOnly="1" outline="0" fieldPosition="0"/>
    </format>
    <format dxfId="146">
      <pivotArea field="1" type="button" dataOnly="0" labelOnly="1" outline="0" axis="axisCol" fieldPosition="0"/>
    </format>
    <format dxfId="145">
      <pivotArea type="topRight" dataOnly="0" labelOnly="1" outline="0" fieldPosition="0"/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1" count="0"/>
        </references>
      </pivotArea>
    </format>
    <format dxfId="142">
      <pivotArea dataOnly="0" labelOnly="1" grandCol="1" outline="0" fieldPosition="0"/>
    </format>
    <format dxfId="141">
      <pivotArea type="origin" dataOnly="0" labelOnly="1" outline="0" fieldPosition="0"/>
    </format>
    <format dxfId="140">
      <pivotArea field="1" type="button" dataOnly="0" labelOnly="1" outline="0" axis="axisCol" fieldPosition="0"/>
    </format>
    <format dxfId="139">
      <pivotArea type="topRight" dataOnly="0" labelOnly="1" outline="0" fieldPosition="0"/>
    </format>
    <format dxfId="138">
      <pivotArea field="0" type="button" dataOnly="0" labelOnly="1" outline="0" axis="axisRow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Authorities Contac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7215F-B7B4-4A42-819D-BF0D8FA978D8}" name="PivotTable34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29:R3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in of property_claim" fld="1" subtotal="min" baseField="0" baseItem="0" numFmtId="166"/>
  </dataFields>
  <formats count="4">
    <format dxfId="151">
      <pivotArea field="0" type="button" dataOnly="0" labelOnly="1" outline="0" axis="axisRow" fieldPosition="0"/>
    </format>
    <format dxfId="150">
      <pivotArea dataOnly="0" labelOnly="1" outline="0" axis="axisValues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propert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C5C1D-2EF3-4BA2-B878-4738DBDAE202}" name="PivotTable45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vehicle age" colHeaderCaption="Fraud Reported">
  <location ref="AG28:AJ51" firstHeaderRow="1" firstDataRow="2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Vehicle Age" fld="1" subtotal="count" baseField="0" baseItem="0"/>
  </dataFields>
  <formats count="12">
    <format dxfId="163">
      <pivotArea type="origin" dataOnly="0" labelOnly="1" outline="0" fieldPosition="0"/>
    </format>
    <format dxfId="162">
      <pivotArea field="2" type="button" dataOnly="0" labelOnly="1" outline="0" axis="axisCol" fieldPosition="0"/>
    </format>
    <format dxfId="161">
      <pivotArea type="topRight" dataOnly="0" labelOnly="1" outline="0" fieldPosition="0"/>
    </format>
    <format dxfId="160">
      <pivotArea field="0" type="button" dataOnly="0" labelOnly="1" outline="0" axis="axisRow" fieldPosition="0"/>
    </format>
    <format dxfId="159">
      <pivotArea dataOnly="0" labelOnly="1" fieldPosition="0">
        <references count="1">
          <reference field="2" count="0"/>
        </references>
      </pivotArea>
    </format>
    <format dxfId="158">
      <pivotArea dataOnly="0" labelOnly="1" grandCol="1" outline="0" fieldPosition="0"/>
    </format>
    <format dxfId="157">
      <pivotArea type="origin" dataOnly="0" labelOnly="1" outline="0" fieldPosition="0"/>
    </format>
    <format dxfId="156">
      <pivotArea field="2" type="button" dataOnly="0" labelOnly="1" outline="0" axis="axisCol" fieldPosition="0"/>
    </format>
    <format dxfId="155">
      <pivotArea type="topRight" dataOnly="0" labelOnly="1" outline="0" fieldPosition="0"/>
    </format>
    <format dxfId="154">
      <pivotArea field="0" type="button" dataOnly="0" labelOnly="1" outline="0" axis="axisRow" fieldPosition="0"/>
    </format>
    <format dxfId="153">
      <pivotArea dataOnly="0" labelOnly="1" fieldPosition="0">
        <references count="1">
          <reference field="2" count="0"/>
        </references>
      </pivotArea>
    </format>
    <format dxfId="152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Vehicle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DED61-E8B6-4530-9838-89873515920C}" name="PivotTable40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M35:N3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capital-loss" fld="1" subtotal="average" baseField="0" baseItem="0" numFmtId="165"/>
  </dataFields>
  <formats count="4">
    <format dxfId="167">
      <pivotArea field="0" type="button" dataOnly="0" labelOnly="1" outline="0" axis="axisRow" fieldPosition="0"/>
    </format>
    <format dxfId="166">
      <pivotArea dataOnly="0" labelOnly="1" outline="0" axis="axisValues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apital-los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BD92B-83EF-4646-BA39-2755526CA04A}" name="PivotTable33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11:R1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ax of injury_claim" fld="1" subtotal="max" baseField="0" baseItem="0" numFmtId="166"/>
  </dataFields>
  <formats count="4">
    <format dxfId="171">
      <pivotArea field="0" type="button" dataOnly="0" labelOnly="1" outline="0" axis="axisRow" fieldPosition="0"/>
    </format>
    <format dxfId="170">
      <pivotArea dataOnly="0" labelOnly="1" outline="0" axis="axisValues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injur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5E2B1-17AE-4F21-931F-61D95EA7AA6E}" name="PivotTable20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ime of the day" colHeaderCaption="Fraud Reported">
  <location ref="G78:J84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Times" fld="2" subtotal="count" baseField="0" baseItem="0"/>
  </dataFields>
  <formats count="12">
    <format dxfId="183">
      <pivotArea type="origin" dataOnly="0" labelOnly="1" outline="0" fieldPosition="0"/>
    </format>
    <format dxfId="182">
      <pivotArea field="1" type="button" dataOnly="0" labelOnly="1" outline="0" axis="axisCol" fieldPosition="0"/>
    </format>
    <format dxfId="181">
      <pivotArea type="topRight" dataOnly="0" labelOnly="1" outline="0" fieldPosition="0"/>
    </format>
    <format dxfId="180">
      <pivotArea field="0" type="button" dataOnly="0" labelOnly="1" outline="0" axis="axisRow" fieldPosition="0"/>
    </format>
    <format dxfId="179">
      <pivotArea dataOnly="0" labelOnly="1" fieldPosition="0">
        <references count="1">
          <reference field="1" count="0"/>
        </references>
      </pivotArea>
    </format>
    <format dxfId="178">
      <pivotArea dataOnly="0" labelOnly="1" grandCol="1" outline="0" fieldPosition="0"/>
    </format>
    <format dxfId="177">
      <pivotArea type="origin" dataOnly="0" labelOnly="1" outline="0" fieldPosition="0"/>
    </format>
    <format dxfId="176">
      <pivotArea field="1" type="button" dataOnly="0" labelOnly="1" outline="0" axis="axisCol" fieldPosition="0"/>
    </format>
    <format dxfId="175">
      <pivotArea type="topRight" dataOnly="0" labelOnly="1" outline="0" fieldPosition="0"/>
    </format>
    <format dxfId="174">
      <pivotArea field="0" type="button" dataOnly="0" labelOnly="1" outline="0" axis="axisRow" fieldPosition="0"/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Tim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A785-53F2-47B4-8456-98994828EDE8}" name="PivotTable21" cacheId="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sured relationship" colHeaderCaption="Fraud Reported">
  <location ref="T40:W48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Relationship" fld="1" subtotal="count" baseField="0" baseItem="0"/>
  </dataFields>
  <formats count="12">
    <format dxfId="195">
      <pivotArea type="origin" dataOnly="0" labelOnly="1" outline="0" fieldPosition="0"/>
    </format>
    <format dxfId="194">
      <pivotArea field="2" type="button" dataOnly="0" labelOnly="1" outline="0" axis="axisCol" fieldPosition="0"/>
    </format>
    <format dxfId="193">
      <pivotArea type="topRight" dataOnly="0" labelOnly="1" outline="0" fieldPosition="0"/>
    </format>
    <format dxfId="192">
      <pivotArea field="0" type="button" dataOnly="0" labelOnly="1" outline="0" axis="axisRow" fieldPosition="0"/>
    </format>
    <format dxfId="191">
      <pivotArea dataOnly="0" labelOnly="1" fieldPosition="0">
        <references count="1">
          <reference field="2" count="0"/>
        </references>
      </pivotArea>
    </format>
    <format dxfId="190">
      <pivotArea dataOnly="0" labelOnly="1" grandCol="1" outline="0" fieldPosition="0"/>
    </format>
    <format dxfId="189">
      <pivotArea type="origin" dataOnly="0" labelOnly="1" outline="0" fieldPosition="0"/>
    </format>
    <format dxfId="188">
      <pivotArea field="2" type="button" dataOnly="0" labelOnly="1" outline="0" axis="axisCol" fieldPosition="0"/>
    </format>
    <format dxfId="187">
      <pivotArea type="topRight" dataOnly="0" labelOnly="1" outline="0" fieldPosition="0"/>
    </format>
    <format dxfId="186">
      <pivotArea field="0" type="button" dataOnly="0" labelOnly="1" outline="0" axis="axisRow" fieldPosition="0"/>
    </format>
    <format dxfId="185">
      <pivotArea dataOnly="0" labelOnly="1" fieldPosition="0">
        <references count="1">
          <reference field="2" count="0"/>
        </references>
      </pivotArea>
    </format>
    <format dxfId="184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Relationshi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D7166-FE2D-43FA-BA9B-ECF3AC7F2B0C}" name="PivotTable16" cacheId="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witnesses" colHeaderCaption="Fraud Reported">
  <location ref="G54:J60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Fraud Rate by Witnesses" fld="1" subtotal="count" baseField="0" baseItem="0"/>
  </dataFields>
  <formats count="12">
    <format dxfId="207">
      <pivotArea type="origin" dataOnly="0" labelOnly="1" outline="0" fieldPosition="0"/>
    </format>
    <format dxfId="206">
      <pivotArea field="0" type="button" dataOnly="0" labelOnly="1" outline="0" axis="axisCol" fieldPosition="0"/>
    </format>
    <format dxfId="205">
      <pivotArea type="topRight" dataOnly="0" labelOnly="1" outline="0" fieldPosition="0"/>
    </format>
    <format dxfId="204">
      <pivotArea field="2" type="button" dataOnly="0" labelOnly="1" outline="0" axis="axisRow" fieldPosition="0"/>
    </format>
    <format dxfId="203">
      <pivotArea dataOnly="0" labelOnly="1" fieldPosition="0">
        <references count="1">
          <reference field="0" count="0"/>
        </references>
      </pivotArea>
    </format>
    <format dxfId="202">
      <pivotArea dataOnly="0" labelOnly="1" grandCol="1" outline="0" fieldPosition="0"/>
    </format>
    <format dxfId="201">
      <pivotArea type="origin" dataOnly="0" labelOnly="1" outline="0" fieldPosition="0"/>
    </format>
    <format dxfId="200">
      <pivotArea field="0" type="button" dataOnly="0" labelOnly="1" outline="0" axis="axisCol" fieldPosition="0"/>
    </format>
    <format dxfId="199">
      <pivotArea type="topRight" dataOnly="0" labelOnly="1" outline="0" fieldPosition="0"/>
    </format>
    <format dxfId="198">
      <pivotArea field="2" type="button" dataOnly="0" labelOnly="1" outline="0" axis="axisRow" fieldPosition="0"/>
    </format>
    <format dxfId="197">
      <pivotArea dataOnly="0" labelOnly="1" fieldPosition="0">
        <references count="1">
          <reference field="0" count="0"/>
        </references>
      </pivotArea>
    </format>
    <format dxfId="196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Witness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ExternalData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C7F96-DB64-4BCC-A7ED-61D597514117}" name="PivotTable44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s" colHeaderCaption="Fraud Reported">
  <location ref="AG20:AJ2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Customer Tenure" fld="2" subtotal="count" baseField="0" baseItem="0"/>
  </dataFields>
  <formats count="12">
    <format dxfId="219">
      <pivotArea type="origin" dataOnly="0" labelOnly="1" outline="0" fieldPosition="0"/>
    </format>
    <format dxfId="218">
      <pivotArea field="1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0" type="button" dataOnly="0" labelOnly="1" outline="0" axis="axisRow" fieldPosition="0"/>
    </format>
    <format dxfId="215">
      <pivotArea dataOnly="0" labelOnly="1" fieldPosition="0">
        <references count="1">
          <reference field="1" count="0"/>
        </references>
      </pivotArea>
    </format>
    <format dxfId="214">
      <pivotArea dataOnly="0" labelOnly="1" grandCol="1" outline="0" fieldPosition="0"/>
    </format>
    <format dxfId="213">
      <pivotArea type="origin" dataOnly="0" labelOnly="1" outline="0" fieldPosition="0"/>
    </format>
    <format dxfId="212">
      <pivotArea field="1" type="button" dataOnly="0" labelOnly="1" outline="0" axis="axisCol" fieldPosition="0"/>
    </format>
    <format dxfId="211">
      <pivotArea type="topRight" dataOnly="0" labelOnly="1" outline="0" fieldPosition="0"/>
    </format>
    <format dxfId="210">
      <pivotArea field="0" type="button" dataOnly="0" labelOnly="1" outline="0" axis="axisRow" fieldPosition="0"/>
    </format>
    <format dxfId="209">
      <pivotArea dataOnly="0" labelOnly="1" fieldPosition="0">
        <references count="1">
          <reference field="1" count="0"/>
        </references>
      </pivotArea>
    </format>
    <format dxfId="208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Customer Tenu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C9710-C6DC-43CF-AFFF-FDBB249EEAFC}" name="PivotTable32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5:R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in of injury_claim" fld="1" subtotal="min" baseField="0" baseItem="0" numFmtId="166"/>
  </dataFields>
  <formats count="3">
    <format dxfId="222">
      <pivotArea field="0" type="button" dataOnly="0" labelOnly="1" outline="0" axis="axisRow" fieldPosition="0"/>
    </format>
    <format dxfId="221">
      <pivotArea dataOnly="0" labelOnly="1" outline="0" axis="axisValues" fieldPosition="0"/>
    </format>
    <format dxfId="220">
      <pivotArea outline="0" collapsedLevelsAreSubtotals="1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injur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8BFB4-099F-483C-AE68-82F680BE8278}" name="PivotTable5" cacheId="3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Fraud Reported">
  <location ref="M11:N1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injury_claim" fld="1" subtotal="average" baseField="0" baseItem="0" numFmtId="165"/>
  </dataFields>
  <formats count="5">
    <format dxfId="227">
      <pivotArea field="0" type="button" dataOnly="0" labelOnly="1" outline="0" axis="axisRow" fieldPosition="0"/>
    </format>
    <format dxfId="226">
      <pivotArea dataOnly="0" labelOnly="1" outline="0" axis="axisValues" fieldPosition="0"/>
    </format>
    <format dxfId="225">
      <pivotArea collapsedLevelsAreSubtotals="1" fieldPosition="0">
        <references count="1">
          <reference field="0" count="0"/>
        </references>
      </pivotArea>
    </format>
    <format dxfId="224">
      <pivotArea outline="0" collapsedLevelsAreSubtotals="1" fieldPosition="0"/>
    </format>
    <format dxfId="223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injur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34D65-D9C9-473A-BE2E-222564730BB8}" name="PivotTable4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Fraud Reported">
  <location ref="M5:N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otal_claim_amount" fld="1" subtotal="average" baseField="0" baseItem="0" numFmtId="165"/>
  </dataFields>
  <formats count="5">
    <format dxfId="232">
      <pivotArea field="0" type="button" dataOnly="0" labelOnly="1" outline="0" axis="axisRow" fieldPosition="0"/>
    </format>
    <format dxfId="231">
      <pivotArea dataOnly="0" labelOnly="1" outline="0" axis="axisValues" fieldPosition="0"/>
    </format>
    <format dxfId="230">
      <pivotArea collapsedLevelsAreSubtotals="1" fieldPosition="0">
        <references count="1">
          <reference field="0" count="0"/>
        </references>
      </pivotArea>
    </format>
    <format dxfId="229">
      <pivotArea collapsedLevelsAreSubtotals="1" fieldPosition="0">
        <references count="1">
          <reference field="0" count="1">
            <x v="0"/>
          </reference>
        </references>
      </pivotArea>
    </format>
    <format dxfId="228">
      <pivotArea outline="0" collapsedLevelsAreSubtotals="1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otal_claim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F3340-3798-49F0-99D5-829BBFEC5E6E}" name="PivotTable23" cacheId="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sured occupation" colHeaderCaption="Faud Rate">
  <location ref="T21:W37" firstHeaderRow="1" firstDataRow="2" firstDataCol="1"/>
  <pivotFields count="3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Occupation" fld="2" subtotal="count" baseField="0" baseItem="0"/>
  </dataFields>
  <formats count="12">
    <format dxfId="244">
      <pivotArea type="origin" dataOnly="0" labelOnly="1" outline="0" fieldPosition="0"/>
    </format>
    <format dxfId="243">
      <pivotArea field="1" type="button" dataOnly="0" labelOnly="1" outline="0" axis="axisCol" fieldPosition="0"/>
    </format>
    <format dxfId="242">
      <pivotArea type="topRight" dataOnly="0" labelOnly="1" outline="0" fieldPosition="0"/>
    </format>
    <format dxfId="241">
      <pivotArea field="0" type="button" dataOnly="0" labelOnly="1" outline="0" axis="axisRow" fieldPosition="0"/>
    </format>
    <format dxfId="240">
      <pivotArea dataOnly="0" labelOnly="1" fieldPosition="0">
        <references count="1">
          <reference field="1" count="0"/>
        </references>
      </pivotArea>
    </format>
    <format dxfId="239">
      <pivotArea dataOnly="0" labelOnly="1" grandCol="1" outline="0" fieldPosition="0"/>
    </format>
    <format dxfId="238">
      <pivotArea type="origin" dataOnly="0" labelOnly="1" outline="0" fieldPosition="0"/>
    </format>
    <format dxfId="237">
      <pivotArea field="1" type="button" dataOnly="0" labelOnly="1" outline="0" axis="axisCol" fieldPosition="0"/>
    </format>
    <format dxfId="236">
      <pivotArea type="topRight" dataOnly="0" labelOnly="1" outline="0" fieldPosition="0"/>
    </format>
    <format dxfId="235">
      <pivotArea field="0" type="button" dataOnly="0" labelOnly="1" outline="0" axis="axisRow" fieldPosition="0"/>
    </format>
    <format dxfId="234">
      <pivotArea dataOnly="0" labelOnly="1" fieldPosition="0">
        <references count="1">
          <reference field="1" count="0"/>
        </references>
      </pivotArea>
    </format>
    <format dxfId="233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Occup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25FC5-5F65-4CE5-A4B6-F81361A5B3AF}" name="PivotTable37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46:R4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in of vehicle_claim" fld="1" subtotal="min" baseField="0" baseItem="0" numFmtId="166"/>
  </dataFields>
  <formats count="4">
    <format dxfId="248">
      <pivotArea field="0" type="button" dataOnly="0" labelOnly="1" outline="0" axis="axisRow" fieldPosition="0"/>
    </format>
    <format dxfId="247">
      <pivotArea dataOnly="0" labelOnly="1" outline="0" axis="axisValues" fieldPosition="0"/>
    </format>
    <format dxfId="246">
      <pivotArea outline="0" collapsedLevelsAreSubtotals="1" fieldPosition="0"/>
    </format>
    <format dxfId="245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of vehicle_claim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8D550-CD9C-412B-A915-9BCBBC70CD74}" name="PivotTable30" cacheId="2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Fraud Reported">
  <location ref="Q17:R2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in of total_claim_amount" fld="1" subtotal="min" baseField="0" baseItem="0" numFmtId="166"/>
  </dataFields>
  <formats count="4">
    <format dxfId="252">
      <pivotArea field="0" type="button" dataOnly="0" labelOnly="1" outline="0" axis="axisRow" fieldPosition="0"/>
    </format>
    <format dxfId="251">
      <pivotArea dataOnly="0" labelOnly="1" outline="0" axis="axisValues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otal_claim_amount"/>
    <pivotHierarchy dragToData="1" caption="Min of total_claim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E540-A167-4A0E-90F2-4491D0D0E71A}" name="PivotTable18" cacheId="3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police report available" colHeaderCaption="Fraud Reported">
  <location ref="G39:J44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Police Report Available" fld="2" subtotal="count" baseField="0" baseItem="0"/>
  </dataFields>
  <formats count="12">
    <format dxfId="264">
      <pivotArea type="origin" dataOnly="0" labelOnly="1" outline="0" fieldPosition="0"/>
    </format>
    <format dxfId="263">
      <pivotArea field="1" type="button" dataOnly="0" labelOnly="1" outline="0" axis="axisCol" fieldPosition="0"/>
    </format>
    <format dxfId="262">
      <pivotArea type="topRight" dataOnly="0" labelOnly="1" outline="0" fieldPosition="0"/>
    </format>
    <format dxfId="261">
      <pivotArea field="0" type="button" dataOnly="0" labelOnly="1" outline="0" axis="axisRow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grandCol="1" outline="0" fieldPosition="0"/>
    </format>
    <format dxfId="258">
      <pivotArea type="origin" dataOnly="0" labelOnly="1" outline="0" fieldPosition="0"/>
    </format>
    <format dxfId="257">
      <pivotArea field="1" type="button" dataOnly="0" labelOnly="1" outline="0" axis="axisCol" fieldPosition="0"/>
    </format>
    <format dxfId="256">
      <pivotArea type="topRight" dataOnly="0" labelOnly="1" outline="0" fieldPosition="0"/>
    </format>
    <format dxfId="255">
      <pivotArea field="0" type="button" dataOnly="0" labelOnly="1" outline="0" axis="axisRow" fieldPosition="0"/>
    </format>
    <format dxfId="254">
      <pivotArea dataOnly="0" labelOnly="1" fieldPosition="0">
        <references count="1">
          <reference field="1" count="0"/>
        </references>
      </pivotArea>
    </format>
    <format dxfId="253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policy_number"/>
    <pivotHierarchy dragToData="1" caption="Fraud Rate by Police Report Availabl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3DE8-B0ED-4E8C-80BE-6D96432CB973}" name="PivotTable8" cacheId="3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policy state" colHeaderCaption="Fraud Reported">
  <location ref="AA17:AD22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Policy State" fld="1" subtotal="count" baseField="0" baseItem="0"/>
  </dataFields>
  <formats count="12">
    <format dxfId="276">
      <pivotArea type="origin" dataOnly="0" labelOnly="1" outline="0" fieldPosition="0"/>
    </format>
    <format dxfId="275">
      <pivotArea field="2" type="button" dataOnly="0" labelOnly="1" outline="0" axis="axisCol" fieldPosition="0"/>
    </format>
    <format dxfId="274">
      <pivotArea type="topRight" dataOnly="0" labelOnly="1" outline="0" fieldPosition="0"/>
    </format>
    <format dxfId="273">
      <pivotArea field="0" type="button" dataOnly="0" labelOnly="1" outline="0" axis="axisRow" fieldPosition="0"/>
    </format>
    <format dxfId="272">
      <pivotArea dataOnly="0" labelOnly="1" fieldPosition="0">
        <references count="1">
          <reference field="2" count="0"/>
        </references>
      </pivotArea>
    </format>
    <format dxfId="271">
      <pivotArea dataOnly="0" labelOnly="1" grandCol="1" outline="0" fieldPosition="0"/>
    </format>
    <format dxfId="270">
      <pivotArea type="origin" dataOnly="0" labelOnly="1" outline="0" fieldPosition="0"/>
    </format>
    <format dxfId="269">
      <pivotArea field="2" type="button" dataOnly="0" labelOnly="1" outline="0" axis="axisCol" fieldPosition="0"/>
    </format>
    <format dxfId="268">
      <pivotArea type="topRight" dataOnly="0" labelOnly="1" outline="0" fieldPosition="0"/>
    </format>
    <format dxfId="267">
      <pivotArea field="0" type="button" dataOnly="0" labelOnly="1" outline="0" axis="axisRow" fieldPosition="0"/>
    </format>
    <format dxfId="266">
      <pivotArea dataOnly="0" labelOnly="1" fieldPosition="0">
        <references count="1">
          <reference field="2" count="0"/>
        </references>
      </pivotArea>
    </format>
    <format dxfId="265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Policy St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2ECD8-4D5B-444A-B8A7-C07FDE29BCEE}" name="PivotTable6" cacheId="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Fraud Reported">
  <location ref="M23:N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roperty_claim" fld="1" subtotal="average" baseField="0" baseItem="0" numFmtId="165"/>
  </dataFields>
  <formats count="5">
    <format dxfId="281">
      <pivotArea field="0" type="button" dataOnly="0" labelOnly="1" outline="0" axis="axisRow" fieldPosition="0"/>
    </format>
    <format dxfId="280">
      <pivotArea dataOnly="0" labelOnly="1" outline="0" axis="axisValues" fieldPosition="0"/>
    </format>
    <format dxfId="279">
      <pivotArea collapsedLevelsAreSubtotals="1" fieldPosition="0">
        <references count="1">
          <reference field="0" count="0"/>
        </references>
      </pivotArea>
    </format>
    <format dxfId="278">
      <pivotArea outline="0" collapsedLevelsAreSubtotals="1" fieldPosition="0"/>
    </format>
    <format dxfId="277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operty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EFC47-24BF-40FC-8559-5F744B75508E}" name="PivotTable36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Q40:R4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ax of vehicle_claim" fld="1" subtotal="max" baseField="0" baseItem="0" numFmtId="166"/>
  </dataFields>
  <formats count="4">
    <format dxfId="285">
      <pivotArea field="0" type="button" dataOnly="0" labelOnly="1" outline="0" axis="axisRow" fieldPosition="0"/>
    </format>
    <format dxfId="284">
      <pivotArea dataOnly="0" labelOnly="1" outline="0" axis="axisValues" fieldPosition="0"/>
    </format>
    <format dxfId="283">
      <pivotArea outline="0" collapsedLevelsAreSubtotals="1" fieldPosition="0"/>
    </format>
    <format dxfId="282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vehicle_claim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4A79A-36B6-4E9A-BF83-6BEB628E222C}" name="PivotTable19" cacheId="2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sured educational level" colHeaderCaption="Fraud Reported">
  <location ref="T51:W60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Fraud Rate by Educational Level" fld="1" subtotal="count" baseField="0" baseItem="0"/>
  </dataFields>
  <formats count="12">
    <format dxfId="297">
      <pivotArea type="origin" dataOnly="0" labelOnly="1" outline="0" fieldPosition="0"/>
    </format>
    <format dxfId="296">
      <pivotArea field="0" type="button" dataOnly="0" labelOnly="1" outline="0" axis="axisCol" fieldPosition="0"/>
    </format>
    <format dxfId="295">
      <pivotArea type="topRight" dataOnly="0" labelOnly="1" outline="0" fieldPosition="0"/>
    </format>
    <format dxfId="294">
      <pivotArea field="2" type="button" dataOnly="0" labelOnly="1" outline="0" axis="axisRow" fieldPosition="0"/>
    </format>
    <format dxfId="293">
      <pivotArea dataOnly="0" labelOnly="1" fieldPosition="0">
        <references count="1">
          <reference field="0" count="0"/>
        </references>
      </pivotArea>
    </format>
    <format dxfId="292">
      <pivotArea dataOnly="0" labelOnly="1" grandCol="1" outline="0" fieldPosition="0"/>
    </format>
    <format dxfId="291">
      <pivotArea type="origin" dataOnly="0" labelOnly="1" outline="0" fieldPosition="0"/>
    </format>
    <format dxfId="290">
      <pivotArea field="0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2" type="button" dataOnly="0" labelOnly="1" outline="0" axis="axisRow" fieldPosition="0"/>
    </format>
    <format dxfId="287">
      <pivotArea dataOnly="0" labelOnly="1" fieldPosition="0">
        <references count="1">
          <reference field="0" count="0"/>
        </references>
      </pivotArea>
    </format>
    <format dxfId="286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Educational Leve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FE4E4-B49B-4AB5-8F78-0333F981383E}" name="PivotTable15" cacheId="3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bodily injuries" colHeaderCaption="Fraud Reported">
  <location ref="G47:J52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Bodily Injuries" fld="0" subtotal="count" baseField="0" baseItem="0"/>
  </dataFields>
  <formats count="12">
    <format dxfId="309">
      <pivotArea type="origin" dataOnly="0" labelOnly="1" outline="0" fieldPosition="0"/>
    </format>
    <format dxfId="308">
      <pivotArea field="1" type="button" dataOnly="0" labelOnly="1" outline="0" axis="axisCol" fieldPosition="0"/>
    </format>
    <format dxfId="307">
      <pivotArea type="topRight" dataOnly="0" labelOnly="1" outline="0" fieldPosition="0"/>
    </format>
    <format dxfId="306">
      <pivotArea field="2" type="button" dataOnly="0" labelOnly="1" outline="0" axis="axisRow" fieldPosition="0"/>
    </format>
    <format dxfId="305">
      <pivotArea dataOnly="0" labelOnly="1" fieldPosition="0">
        <references count="1">
          <reference field="1" count="0"/>
        </references>
      </pivotArea>
    </format>
    <format dxfId="304">
      <pivotArea dataOnly="0" labelOnly="1" grandCol="1" outline="0" fieldPosition="0"/>
    </format>
    <format dxfId="303">
      <pivotArea type="origin" dataOnly="0" labelOnly="1" outline="0" fieldPosition="0"/>
    </format>
    <format dxfId="302">
      <pivotArea field="1" type="button" dataOnly="0" labelOnly="1" outline="0" axis="axisCol" fieldPosition="0"/>
    </format>
    <format dxfId="301">
      <pivotArea type="topRight" dataOnly="0" labelOnly="1" outline="0" fieldPosition="0"/>
    </format>
    <format dxfId="300">
      <pivotArea field="2" type="button" dataOnly="0" labelOnly="1" outline="0" axis="axisRow" fieldPosition="0"/>
    </format>
    <format dxfId="299">
      <pivotArea dataOnly="0" labelOnly="1" fieldPosition="0">
        <references count="1">
          <reference field="1" count="0"/>
        </references>
      </pivotArea>
    </format>
    <format dxfId="298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Bodily Injuri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28AEC-B4EF-4E5C-A4A7-B6AEAD92E57C}" name="PivotTable3" cacheId="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collision type" colHeaderCaption="Fraud Reported">
  <location ref="G23:J2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Fraud Rate by Collision Type" fld="2" subtotal="count" baseField="0" baseItem="0"/>
  </dataFields>
  <formats count="12">
    <format dxfId="321">
      <pivotArea type="origin" dataOnly="0" labelOnly="1" outline="0" fieldPosition="0"/>
    </format>
    <format dxfId="320">
      <pivotArea field="1" type="button" dataOnly="0" labelOnly="1" outline="0" axis="axisCol" fieldPosition="0"/>
    </format>
    <format dxfId="319">
      <pivotArea type="topRight" dataOnly="0" labelOnly="1" outline="0" fieldPosition="0"/>
    </format>
    <format dxfId="318">
      <pivotArea field="0" type="button" dataOnly="0" labelOnly="1" outline="0" axis="axisRow" fieldPosition="0"/>
    </format>
    <format dxfId="317">
      <pivotArea dataOnly="0" labelOnly="1" fieldPosition="0">
        <references count="1">
          <reference field="1" count="0"/>
        </references>
      </pivotArea>
    </format>
    <format dxfId="316">
      <pivotArea dataOnly="0" labelOnly="1" grandCol="1" outline="0" fieldPosition="0"/>
    </format>
    <format dxfId="315">
      <pivotArea type="origin" dataOnly="0" labelOnly="1" outline="0" fieldPosition="0"/>
    </format>
    <format dxfId="314">
      <pivotArea field="1" type="button" dataOnly="0" labelOnly="1" outline="0" axis="axisCol" fieldPosition="0"/>
    </format>
    <format dxfId="313">
      <pivotArea type="topRight" dataOnly="0" labelOnly="1" outline="0" fieldPosition="0"/>
    </format>
    <format dxfId="312">
      <pivotArea field="0" type="button" dataOnly="0" labelOnly="1" outline="0" axis="axisRow" fieldPosition="0"/>
    </format>
    <format dxfId="311">
      <pivotArea dataOnly="0" labelOnly="1" fieldPosition="0">
        <references count="1">
          <reference field="1" count="0"/>
        </references>
      </pivotArea>
    </format>
    <format dxfId="310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Collision Typ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57BB8-71B7-442C-AFE1-231FD682E461}" name="PivotTable2" cacheId="1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incident severity" colHeaderCaption="Fraud Reported">
  <location ref="G14:J20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Fraud Rate by Incident Severity" fld="1" subtotal="count" baseField="0" baseItem="0"/>
  </dataFields>
  <formats count="12">
    <format dxfId="333">
      <pivotArea type="origin" dataOnly="0" labelOnly="1" outline="0" fieldPosition="0"/>
    </format>
    <format dxfId="332">
      <pivotArea field="2" type="button" dataOnly="0" labelOnly="1" outline="0" axis="axisCol" fieldPosition="0"/>
    </format>
    <format dxfId="331">
      <pivotArea type="topRight" dataOnly="0" labelOnly="1" outline="0" fieldPosition="0"/>
    </format>
    <format dxfId="330">
      <pivotArea field="0" type="button" dataOnly="0" labelOnly="1" outline="0" axis="axisRow" fieldPosition="0"/>
    </format>
    <format dxfId="329">
      <pivotArea dataOnly="0" labelOnly="1" fieldPosition="0">
        <references count="1">
          <reference field="2" count="0"/>
        </references>
      </pivotArea>
    </format>
    <format dxfId="328">
      <pivotArea dataOnly="0" labelOnly="1" grandCol="1" outline="0" fieldPosition="0"/>
    </format>
    <format dxfId="327">
      <pivotArea type="origin" dataOnly="0" labelOnly="1" outline="0" fieldPosition="0"/>
    </format>
    <format dxfId="326">
      <pivotArea field="2" type="button" dataOnly="0" labelOnly="1" outline="0" axis="axisCol" fieldPosition="0"/>
    </format>
    <format dxfId="325">
      <pivotArea type="topRight" dataOnly="0" labelOnly="1" outline="0" fieldPosition="0"/>
    </format>
    <format dxfId="324">
      <pivotArea field="0" type="button" dataOnly="0" labelOnly="1" outline="0" axis="axisRow" fieldPosition="0"/>
    </format>
    <format dxfId="323">
      <pivotArea dataOnly="0" labelOnly="1" fieldPosition="0">
        <references count="1">
          <reference field="2" count="0"/>
        </references>
      </pivotArea>
    </format>
    <format dxfId="322">
      <pivotArea dataOnly="0" labelOnly="1" grandCol="1" outline="0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Fraud Rate by Incident Sever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CCF3C-569F-491E-9A49-EAF25AE8B3FF}" name="PivotTable39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raud Reported">
  <location ref="M29:N3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capital-gains" fld="1" subtotal="average" baseField="0" baseItem="0" numFmtId="165"/>
  </dataFields>
  <formats count="4">
    <format dxfId="337">
      <pivotArea field="0" type="button" dataOnly="0" labelOnly="1" outline="0" axis="axisRow" fieldPosition="0"/>
    </format>
    <format dxfId="336">
      <pivotArea dataOnly="0" labelOnly="1" outline="0" axis="axisValues" fieldPosition="0"/>
    </format>
    <format dxfId="335">
      <pivotArea outline="0" collapsedLevelsAreSubtotals="1" fieldPosition="0"/>
    </format>
    <format dxfId="334">
      <pivotArea dataOnly="0" labelOnly="1" outline="0" axis="axisValues" fieldPosition="0"/>
    </format>
  </format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apital-gains"/>
    <pivotHierarchy dragToData="1" caption="Average of capital-gain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drawing" Target="../drawings/drawing1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C87B-21BB-43E3-9982-7BA181AFB166}">
  <dimension ref="A3:AV84"/>
  <sheetViews>
    <sheetView showGridLines="0" tabSelected="1" topLeftCell="B66" workbookViewId="0">
      <selection activeCell="G80" sqref="G80"/>
    </sheetView>
  </sheetViews>
  <sheetFormatPr defaultRowHeight="15" x14ac:dyDescent="0.25"/>
  <cols>
    <col min="1" max="1" width="17.28515625" customWidth="1"/>
    <col min="2" max="2" width="18.85546875" customWidth="1"/>
    <col min="3" max="3" width="30.140625" customWidth="1"/>
    <col min="7" max="7" width="48.5703125" customWidth="1"/>
    <col min="8" max="8" width="24.85546875" customWidth="1"/>
    <col min="9" max="9" width="4" bestFit="1" customWidth="1"/>
    <col min="10" max="10" width="14.85546875" customWidth="1"/>
    <col min="11" max="11" width="14.42578125" customWidth="1"/>
    <col min="13" max="13" width="23.7109375" customWidth="1"/>
    <col min="14" max="14" width="39.5703125" customWidth="1"/>
    <col min="15" max="15" width="4" bestFit="1" customWidth="1"/>
    <col min="16" max="16" width="23" bestFit="1" customWidth="1"/>
    <col min="17" max="17" width="29.28515625" customWidth="1"/>
    <col min="18" max="18" width="34.5703125" customWidth="1"/>
    <col min="19" max="19" width="13.140625" bestFit="1" customWidth="1"/>
    <col min="20" max="20" width="42.28515625" customWidth="1"/>
    <col min="21" max="21" width="23" customWidth="1"/>
    <col min="22" max="22" width="11.28515625" bestFit="1" customWidth="1"/>
    <col min="23" max="23" width="23" bestFit="1" customWidth="1"/>
    <col min="24" max="24" width="16.28515625" bestFit="1" customWidth="1"/>
    <col min="25" max="25" width="4" bestFit="1" customWidth="1"/>
    <col min="26" max="26" width="11.28515625" bestFit="1" customWidth="1"/>
    <col min="27" max="27" width="35.42578125" customWidth="1"/>
    <col min="28" max="28" width="27.7109375" customWidth="1"/>
    <col min="29" max="29" width="4" bestFit="1" customWidth="1"/>
    <col min="30" max="30" width="17.5703125" customWidth="1"/>
    <col min="31" max="31" width="15.85546875" customWidth="1"/>
    <col min="32" max="32" width="23" bestFit="1" customWidth="1"/>
    <col min="33" max="33" width="40.5703125" customWidth="1"/>
    <col min="34" max="34" width="24.42578125" customWidth="1"/>
    <col min="35" max="35" width="11.28515625" bestFit="1" customWidth="1"/>
    <col min="36" max="36" width="16.85546875" customWidth="1"/>
    <col min="37" max="37" width="11" customWidth="1"/>
    <col min="38" max="38" width="23" bestFit="1" customWidth="1"/>
    <col min="39" max="39" width="16.28515625" bestFit="1" customWidth="1"/>
    <col min="40" max="40" width="4" bestFit="1" customWidth="1"/>
    <col min="41" max="41" width="11.28515625" bestFit="1" customWidth="1"/>
    <col min="44" max="44" width="23" bestFit="1" customWidth="1"/>
    <col min="45" max="45" width="16.28515625" bestFit="1" customWidth="1"/>
    <col min="46" max="46" width="4" bestFit="1" customWidth="1"/>
    <col min="47" max="47" width="11.28515625" bestFit="1" customWidth="1"/>
    <col min="50" max="50" width="22.7109375" bestFit="1" customWidth="1"/>
    <col min="51" max="51" width="16.28515625" bestFit="1" customWidth="1"/>
    <col min="52" max="52" width="4" bestFit="1" customWidth="1"/>
    <col min="53" max="53" width="11.28515625" bestFit="1" customWidth="1"/>
    <col min="54" max="54" width="33.140625" bestFit="1" customWidth="1"/>
    <col min="55" max="55" width="4" bestFit="1" customWidth="1"/>
    <col min="56" max="56" width="11.28515625" bestFit="1" customWidth="1"/>
    <col min="58" max="58" width="23" bestFit="1" customWidth="1"/>
    <col min="59" max="59" width="16.28515625" bestFit="1" customWidth="1"/>
    <col min="60" max="60" width="4" bestFit="1" customWidth="1"/>
    <col min="61" max="61" width="11.28515625" bestFit="1" customWidth="1"/>
    <col min="64" max="64" width="23" bestFit="1" customWidth="1"/>
    <col min="65" max="65" width="16.28515625" bestFit="1" customWidth="1"/>
    <col min="66" max="66" width="4" bestFit="1" customWidth="1"/>
    <col min="67" max="67" width="11.28515625" bestFit="1" customWidth="1"/>
  </cols>
  <sheetData>
    <row r="3" spans="1:37" ht="26.25" x14ac:dyDescent="0.4">
      <c r="B3" s="1" t="s">
        <v>0</v>
      </c>
      <c r="C3" s="1"/>
      <c r="G3" s="1" t="s">
        <v>1</v>
      </c>
      <c r="H3" s="2"/>
      <c r="M3" s="1" t="s">
        <v>2</v>
      </c>
      <c r="N3" s="1"/>
      <c r="Q3" s="1" t="s">
        <v>3</v>
      </c>
      <c r="R3" s="2"/>
      <c r="T3" s="1" t="s">
        <v>4</v>
      </c>
      <c r="U3" s="1"/>
      <c r="V3" s="1"/>
      <c r="W3" s="2"/>
      <c r="AA3" s="1" t="s">
        <v>5</v>
      </c>
      <c r="AB3" s="2"/>
      <c r="AG3" s="1" t="s">
        <v>6</v>
      </c>
      <c r="AH3" s="1"/>
      <c r="AI3" s="1"/>
    </row>
    <row r="5" spans="1:37" ht="21" x14ac:dyDescent="0.35">
      <c r="A5" s="3" t="s">
        <v>7</v>
      </c>
      <c r="B5" s="3" t="s">
        <v>8</v>
      </c>
      <c r="C5" s="3" t="s">
        <v>9</v>
      </c>
      <c r="G5" s="3" t="s">
        <v>10</v>
      </c>
      <c r="H5" s="3" t="s">
        <v>11</v>
      </c>
      <c r="I5" s="3"/>
      <c r="J5" s="3"/>
      <c r="K5" s="3"/>
      <c r="M5" s="4" t="s">
        <v>11</v>
      </c>
      <c r="N5" s="4" t="s">
        <v>12</v>
      </c>
      <c r="O5" s="4"/>
      <c r="Q5" s="4" t="s">
        <v>11</v>
      </c>
      <c r="R5" s="4" t="s">
        <v>13</v>
      </c>
      <c r="T5" s="3" t="s">
        <v>14</v>
      </c>
      <c r="U5" s="3" t="s">
        <v>11</v>
      </c>
      <c r="V5" s="3"/>
      <c r="W5" s="3"/>
      <c r="X5" s="5"/>
      <c r="AA5" s="3" t="s">
        <v>15</v>
      </c>
      <c r="AB5" s="3" t="s">
        <v>11</v>
      </c>
      <c r="AC5" s="3"/>
      <c r="AD5" s="3"/>
      <c r="AE5" s="3"/>
      <c r="AG5" s="3" t="s">
        <v>16</v>
      </c>
      <c r="AH5" s="3" t="s">
        <v>11</v>
      </c>
      <c r="AI5" s="3"/>
      <c r="AJ5" s="3"/>
      <c r="AK5" s="3"/>
    </row>
    <row r="6" spans="1:37" ht="21" x14ac:dyDescent="0.35">
      <c r="A6" t="s">
        <v>17</v>
      </c>
      <c r="B6">
        <f>COUNTIF('[1]Cleaned Insurance Claim Dataset'!AR2:AR1001, "N")</f>
        <v>753</v>
      </c>
      <c r="C6" s="6">
        <f>B6/1000*100</f>
        <v>75.3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9</v>
      </c>
      <c r="M6" s="7" t="s">
        <v>19</v>
      </c>
      <c r="N6" s="8">
        <v>50288.605577689246</v>
      </c>
      <c r="Q6" s="7" t="s">
        <v>19</v>
      </c>
      <c r="R6" s="9">
        <v>0</v>
      </c>
      <c r="T6" s="3" t="s">
        <v>22</v>
      </c>
      <c r="U6" s="3" t="s">
        <v>19</v>
      </c>
      <c r="V6" s="3" t="s">
        <v>20</v>
      </c>
      <c r="W6" s="3" t="s">
        <v>21</v>
      </c>
      <c r="X6" s="5" t="s">
        <v>9</v>
      </c>
      <c r="AA6" s="3" t="s">
        <v>23</v>
      </c>
      <c r="AB6" s="3" t="s">
        <v>19</v>
      </c>
      <c r="AC6" s="3" t="s">
        <v>20</v>
      </c>
      <c r="AD6" s="3" t="s">
        <v>21</v>
      </c>
      <c r="AE6" s="3" t="s">
        <v>9</v>
      </c>
      <c r="AG6" s="3" t="s">
        <v>24</v>
      </c>
      <c r="AH6" s="3" t="s">
        <v>19</v>
      </c>
      <c r="AI6" s="3" t="s">
        <v>20</v>
      </c>
      <c r="AJ6" s="3" t="s">
        <v>21</v>
      </c>
      <c r="AK6" s="3" t="s">
        <v>9</v>
      </c>
    </row>
    <row r="7" spans="1:37" x14ac:dyDescent="0.25">
      <c r="A7" t="s">
        <v>25</v>
      </c>
      <c r="B7">
        <f>COUNTIF('[1]Cleaned Insurance Claim Dataset'!AR2:AR1001, "Y")</f>
        <v>247</v>
      </c>
      <c r="C7" s="6">
        <f>B7/1000*100</f>
        <v>24.7</v>
      </c>
      <c r="G7" s="7" t="s">
        <v>26</v>
      </c>
      <c r="H7">
        <v>305</v>
      </c>
      <c r="I7">
        <v>114</v>
      </c>
      <c r="J7">
        <v>419</v>
      </c>
      <c r="K7" s="10">
        <f>I7/J7*100</f>
        <v>27.207637231503579</v>
      </c>
      <c r="M7" s="7" t="s">
        <v>20</v>
      </c>
      <c r="N7" s="8">
        <v>60302.105263157893</v>
      </c>
      <c r="Q7" s="7" t="s">
        <v>20</v>
      </c>
      <c r="R7" s="9">
        <v>0</v>
      </c>
      <c r="T7" s="7" t="s">
        <v>27</v>
      </c>
      <c r="U7">
        <v>411</v>
      </c>
      <c r="V7">
        <v>126</v>
      </c>
      <c r="W7">
        <v>537</v>
      </c>
      <c r="X7" s="10">
        <f>V7/W7*100</f>
        <v>23.463687150837988</v>
      </c>
      <c r="AA7" s="7" t="s">
        <v>28</v>
      </c>
      <c r="AB7">
        <v>108</v>
      </c>
      <c r="AC7">
        <v>44</v>
      </c>
      <c r="AD7">
        <v>152</v>
      </c>
      <c r="AE7" s="10">
        <f t="shared" ref="AE7:AE14" si="0">AC7/AD7*100</f>
        <v>28.947368421052634</v>
      </c>
      <c r="AG7" s="7" t="s">
        <v>29</v>
      </c>
      <c r="AH7">
        <v>259</v>
      </c>
      <c r="AI7">
        <v>90</v>
      </c>
      <c r="AJ7">
        <v>349</v>
      </c>
      <c r="AK7" s="10">
        <f>AI7/AJ7*100</f>
        <v>25.787965616045845</v>
      </c>
    </row>
    <row r="8" spans="1:37" x14ac:dyDescent="0.25">
      <c r="A8" t="s">
        <v>30</v>
      </c>
      <c r="B8">
        <f>B6+B7</f>
        <v>1000</v>
      </c>
      <c r="C8" s="6">
        <f>C6+C7</f>
        <v>100</v>
      </c>
      <c r="G8" s="7" t="s">
        <v>31</v>
      </c>
      <c r="H8">
        <v>76</v>
      </c>
      <c r="I8">
        <v>8</v>
      </c>
      <c r="J8">
        <v>84</v>
      </c>
      <c r="K8" s="10">
        <f t="shared" ref="K8:K20" si="1">I8/J8*100</f>
        <v>9.5238095238095237</v>
      </c>
      <c r="M8" s="7" t="s">
        <v>21</v>
      </c>
      <c r="N8" s="8">
        <v>52761.94</v>
      </c>
      <c r="Q8" s="7" t="s">
        <v>21</v>
      </c>
      <c r="R8" s="9">
        <v>0</v>
      </c>
      <c r="T8" s="7" t="s">
        <v>32</v>
      </c>
      <c r="U8">
        <v>342</v>
      </c>
      <c r="V8">
        <v>121</v>
      </c>
      <c r="W8">
        <v>463</v>
      </c>
      <c r="X8" s="10">
        <f>V8/W8*100</f>
        <v>26.133909287257019</v>
      </c>
      <c r="AA8" s="7" t="s">
        <v>33</v>
      </c>
      <c r="AB8">
        <v>110</v>
      </c>
      <c r="AC8">
        <v>39</v>
      </c>
      <c r="AD8">
        <v>149</v>
      </c>
      <c r="AE8" s="10">
        <f t="shared" si="0"/>
        <v>26.174496644295303</v>
      </c>
      <c r="AG8" s="7" t="s">
        <v>34</v>
      </c>
      <c r="AH8">
        <v>259</v>
      </c>
      <c r="AI8">
        <v>92</v>
      </c>
      <c r="AJ8">
        <v>351</v>
      </c>
      <c r="AK8" s="10">
        <f t="shared" ref="AK8:AK10" si="2">AI8/AJ8*100</f>
        <v>26.210826210826209</v>
      </c>
    </row>
    <row r="9" spans="1:37" x14ac:dyDescent="0.25">
      <c r="G9" s="7" t="s">
        <v>35</v>
      </c>
      <c r="H9">
        <v>286</v>
      </c>
      <c r="I9">
        <v>117</v>
      </c>
      <c r="J9">
        <v>403</v>
      </c>
      <c r="K9" s="10">
        <f t="shared" si="1"/>
        <v>29.032258064516132</v>
      </c>
      <c r="N9" s="8"/>
      <c r="R9" s="9"/>
      <c r="T9" s="7" t="s">
        <v>21</v>
      </c>
      <c r="U9">
        <v>753</v>
      </c>
      <c r="V9">
        <v>247</v>
      </c>
      <c r="W9">
        <v>1000</v>
      </c>
      <c r="X9" s="10">
        <f>V9/W9*100</f>
        <v>24.7</v>
      </c>
      <c r="AA9" s="7" t="s">
        <v>36</v>
      </c>
      <c r="AB9">
        <v>106</v>
      </c>
      <c r="AC9">
        <v>35</v>
      </c>
      <c r="AD9">
        <v>141</v>
      </c>
      <c r="AE9" s="10">
        <f t="shared" si="0"/>
        <v>24.822695035460992</v>
      </c>
      <c r="AG9" s="7" t="s">
        <v>37</v>
      </c>
      <c r="AH9">
        <v>235</v>
      </c>
      <c r="AI9">
        <v>65</v>
      </c>
      <c r="AJ9">
        <v>300</v>
      </c>
      <c r="AK9" s="10">
        <f t="shared" si="2"/>
        <v>21.666666666666668</v>
      </c>
    </row>
    <row r="10" spans="1:37" x14ac:dyDescent="0.25">
      <c r="G10" s="7" t="s">
        <v>38</v>
      </c>
      <c r="H10">
        <v>86</v>
      </c>
      <c r="I10">
        <v>8</v>
      </c>
      <c r="J10">
        <v>94</v>
      </c>
      <c r="K10" s="10">
        <f t="shared" si="1"/>
        <v>8.5106382978723403</v>
      </c>
      <c r="N10" s="8"/>
      <c r="R10" s="9"/>
      <c r="X10" s="10"/>
      <c r="AA10" s="7" t="s">
        <v>39</v>
      </c>
      <c r="AB10">
        <v>110</v>
      </c>
      <c r="AC10">
        <v>34</v>
      </c>
      <c r="AD10">
        <v>144</v>
      </c>
      <c r="AE10" s="10">
        <f t="shared" si="0"/>
        <v>23.611111111111111</v>
      </c>
      <c r="AG10" s="7" t="s">
        <v>21</v>
      </c>
      <c r="AH10">
        <v>753</v>
      </c>
      <c r="AI10">
        <v>247</v>
      </c>
      <c r="AJ10">
        <v>1000</v>
      </c>
      <c r="AK10" s="10">
        <f t="shared" si="2"/>
        <v>24.7</v>
      </c>
    </row>
    <row r="11" spans="1:37" ht="21" x14ac:dyDescent="0.35">
      <c r="G11" s="7" t="s">
        <v>21</v>
      </c>
      <c r="H11">
        <v>753</v>
      </c>
      <c r="I11">
        <v>247</v>
      </c>
      <c r="J11">
        <v>1000</v>
      </c>
      <c r="K11" s="10">
        <f t="shared" si="1"/>
        <v>24.7</v>
      </c>
      <c r="M11" s="4" t="s">
        <v>11</v>
      </c>
      <c r="N11" s="11" t="s">
        <v>40</v>
      </c>
      <c r="Q11" s="4" t="s">
        <v>11</v>
      </c>
      <c r="R11" s="12" t="s">
        <v>41</v>
      </c>
      <c r="T11" s="3" t="s">
        <v>42</v>
      </c>
      <c r="U11" s="3" t="s">
        <v>11</v>
      </c>
      <c r="V11" s="3"/>
      <c r="W11" s="3"/>
      <c r="X11" s="13"/>
      <c r="AA11" s="7" t="s">
        <v>43</v>
      </c>
      <c r="AB11">
        <v>95</v>
      </c>
      <c r="AC11">
        <v>27</v>
      </c>
      <c r="AD11">
        <v>122</v>
      </c>
      <c r="AE11" s="10">
        <f t="shared" si="0"/>
        <v>22.131147540983605</v>
      </c>
      <c r="AK11" s="10"/>
    </row>
    <row r="12" spans="1:37" ht="21" x14ac:dyDescent="0.35">
      <c r="K12" s="10"/>
      <c r="M12" s="7" t="s">
        <v>19</v>
      </c>
      <c r="N12" s="8">
        <v>7179.2297476759632</v>
      </c>
      <c r="Q12" s="7" t="s">
        <v>19</v>
      </c>
      <c r="R12" s="9">
        <v>21450</v>
      </c>
      <c r="T12" s="3" t="s">
        <v>44</v>
      </c>
      <c r="U12" s="3" t="s">
        <v>19</v>
      </c>
      <c r="V12" s="3" t="s">
        <v>20</v>
      </c>
      <c r="W12" s="3" t="s">
        <v>21</v>
      </c>
      <c r="X12" s="13" t="s">
        <v>9</v>
      </c>
      <c r="AA12" s="7" t="s">
        <v>45</v>
      </c>
      <c r="AB12">
        <v>104</v>
      </c>
      <c r="AC12">
        <v>30</v>
      </c>
      <c r="AD12">
        <v>134</v>
      </c>
      <c r="AE12" s="10">
        <f t="shared" si="0"/>
        <v>22.388059701492537</v>
      </c>
      <c r="AG12" s="3" t="s">
        <v>46</v>
      </c>
      <c r="AH12" s="3" t="s">
        <v>11</v>
      </c>
      <c r="AI12" s="3"/>
      <c r="AJ12" s="3"/>
      <c r="AK12" s="13"/>
    </row>
    <row r="13" spans="1:37" ht="21" x14ac:dyDescent="0.35">
      <c r="K13" s="10"/>
      <c r="M13" s="7" t="s">
        <v>20</v>
      </c>
      <c r="N13" s="8">
        <v>8208.3400809716604</v>
      </c>
      <c r="Q13" s="7" t="s">
        <v>20</v>
      </c>
      <c r="R13" s="9">
        <v>20700</v>
      </c>
      <c r="T13" s="7" t="s">
        <v>47</v>
      </c>
      <c r="U13">
        <v>28</v>
      </c>
      <c r="V13">
        <v>13</v>
      </c>
      <c r="W13">
        <v>41</v>
      </c>
      <c r="X13" s="10">
        <f>V13/W13*100</f>
        <v>31.707317073170731</v>
      </c>
      <c r="AA13" s="7" t="s">
        <v>48</v>
      </c>
      <c r="AB13">
        <v>120</v>
      </c>
      <c r="AC13">
        <v>38</v>
      </c>
      <c r="AD13">
        <v>158</v>
      </c>
      <c r="AE13" s="10">
        <f t="shared" si="0"/>
        <v>24.050632911392405</v>
      </c>
      <c r="AG13" s="3" t="s">
        <v>49</v>
      </c>
      <c r="AH13" s="3" t="s">
        <v>19</v>
      </c>
      <c r="AI13" s="3" t="s">
        <v>20</v>
      </c>
      <c r="AJ13" s="3" t="s">
        <v>21</v>
      </c>
      <c r="AK13" s="13" t="s">
        <v>9</v>
      </c>
    </row>
    <row r="14" spans="1:37" ht="21" x14ac:dyDescent="0.35">
      <c r="G14" s="3" t="s">
        <v>50</v>
      </c>
      <c r="H14" s="3" t="s">
        <v>11</v>
      </c>
      <c r="I14" s="3"/>
      <c r="J14" s="3"/>
      <c r="K14" s="13"/>
      <c r="M14" s="7" t="s">
        <v>21</v>
      </c>
      <c r="N14" s="8">
        <v>7433.42</v>
      </c>
      <c r="Q14" s="7" t="s">
        <v>21</v>
      </c>
      <c r="R14" s="9">
        <v>21450</v>
      </c>
      <c r="T14" s="7" t="s">
        <v>51</v>
      </c>
      <c r="U14">
        <v>178</v>
      </c>
      <c r="V14">
        <v>59</v>
      </c>
      <c r="W14">
        <v>237</v>
      </c>
      <c r="X14" s="10">
        <f t="shared" ref="X14:X19" si="3">V14/W14*100</f>
        <v>24.894514767932492</v>
      </c>
      <c r="AA14" s="7" t="s">
        <v>21</v>
      </c>
      <c r="AB14">
        <v>753</v>
      </c>
      <c r="AC14">
        <v>247</v>
      </c>
      <c r="AD14">
        <v>1000</v>
      </c>
      <c r="AE14" s="10">
        <f t="shared" si="0"/>
        <v>24.7</v>
      </c>
      <c r="AG14" s="7">
        <v>500</v>
      </c>
      <c r="AH14">
        <v>255</v>
      </c>
      <c r="AI14">
        <v>87</v>
      </c>
      <c r="AJ14">
        <v>342</v>
      </c>
      <c r="AK14" s="10">
        <f>AI14/AJ14*100</f>
        <v>25.438596491228072</v>
      </c>
    </row>
    <row r="15" spans="1:37" ht="21" x14ac:dyDescent="0.35">
      <c r="G15" s="3" t="s">
        <v>52</v>
      </c>
      <c r="H15" s="3" t="s">
        <v>19</v>
      </c>
      <c r="I15" s="3" t="s">
        <v>20</v>
      </c>
      <c r="J15" s="3" t="s">
        <v>21</v>
      </c>
      <c r="K15" s="13" t="s">
        <v>9</v>
      </c>
      <c r="N15" s="8"/>
      <c r="R15" s="9"/>
      <c r="T15" s="7" t="s">
        <v>53</v>
      </c>
      <c r="U15">
        <v>213</v>
      </c>
      <c r="V15">
        <v>65</v>
      </c>
      <c r="W15">
        <v>278</v>
      </c>
      <c r="X15" s="10">
        <f t="shared" si="3"/>
        <v>23.381294964028775</v>
      </c>
      <c r="AE15" s="10"/>
      <c r="AG15" s="7">
        <v>1000</v>
      </c>
      <c r="AH15">
        <v>272</v>
      </c>
      <c r="AI15">
        <v>79</v>
      </c>
      <c r="AJ15">
        <v>351</v>
      </c>
      <c r="AK15" s="10">
        <f>AI15/AJ15*100</f>
        <v>22.507122507122507</v>
      </c>
    </row>
    <row r="16" spans="1:37" x14ac:dyDescent="0.25">
      <c r="G16" s="7" t="s">
        <v>54</v>
      </c>
      <c r="H16">
        <v>109</v>
      </c>
      <c r="I16">
        <v>167</v>
      </c>
      <c r="J16">
        <v>276</v>
      </c>
      <c r="K16" s="10">
        <f t="shared" si="1"/>
        <v>60.507246376811594</v>
      </c>
      <c r="N16" s="8"/>
      <c r="R16" s="9"/>
      <c r="T16" s="7" t="s">
        <v>55</v>
      </c>
      <c r="U16">
        <v>195</v>
      </c>
      <c r="V16">
        <v>60</v>
      </c>
      <c r="W16">
        <v>255</v>
      </c>
      <c r="X16" s="10">
        <f t="shared" si="3"/>
        <v>23.52941176470588</v>
      </c>
      <c r="AE16" s="10"/>
      <c r="AG16" s="7">
        <v>2000</v>
      </c>
      <c r="AH16">
        <v>226</v>
      </c>
      <c r="AI16">
        <v>81</v>
      </c>
      <c r="AJ16">
        <v>307</v>
      </c>
      <c r="AK16" s="10">
        <f>AI16/AJ16*100</f>
        <v>26.384364820846905</v>
      </c>
    </row>
    <row r="17" spans="7:48" ht="21" x14ac:dyDescent="0.35">
      <c r="G17" s="7" t="s">
        <v>56</v>
      </c>
      <c r="H17">
        <v>316</v>
      </c>
      <c r="I17">
        <v>38</v>
      </c>
      <c r="J17">
        <v>354</v>
      </c>
      <c r="K17" s="10">
        <f t="shared" si="1"/>
        <v>10.734463276836157</v>
      </c>
      <c r="M17" s="4" t="s">
        <v>11</v>
      </c>
      <c r="N17" s="11" t="s">
        <v>57</v>
      </c>
      <c r="Q17" s="4" t="s">
        <v>11</v>
      </c>
      <c r="R17" s="12" t="s">
        <v>58</v>
      </c>
      <c r="T17" s="7" t="s">
        <v>59</v>
      </c>
      <c r="U17">
        <v>79</v>
      </c>
      <c r="V17">
        <v>22</v>
      </c>
      <c r="W17">
        <v>101</v>
      </c>
      <c r="X17" s="10">
        <f t="shared" si="3"/>
        <v>21.782178217821784</v>
      </c>
      <c r="AA17" s="3" t="s">
        <v>60</v>
      </c>
      <c r="AB17" s="3" t="s">
        <v>11</v>
      </c>
      <c r="AC17" s="3"/>
      <c r="AD17" s="3"/>
      <c r="AE17" s="13"/>
      <c r="AG17" s="7" t="s">
        <v>21</v>
      </c>
      <c r="AH17">
        <v>753</v>
      </c>
      <c r="AI17">
        <v>247</v>
      </c>
      <c r="AJ17">
        <v>1000</v>
      </c>
      <c r="AK17" s="10">
        <f>AI17/AJ17*100</f>
        <v>24.7</v>
      </c>
    </row>
    <row r="18" spans="7:48" ht="21" x14ac:dyDescent="0.35">
      <c r="G18" s="7" t="s">
        <v>61</v>
      </c>
      <c r="H18">
        <v>244</v>
      </c>
      <c r="I18">
        <v>36</v>
      </c>
      <c r="J18">
        <v>280</v>
      </c>
      <c r="K18" s="10">
        <f t="shared" si="1"/>
        <v>12.857142857142856</v>
      </c>
      <c r="M18" s="7" t="s">
        <v>19</v>
      </c>
      <c r="N18" s="8">
        <v>36090.491367861883</v>
      </c>
      <c r="Q18" s="7" t="s">
        <v>19</v>
      </c>
      <c r="R18" s="9">
        <v>100</v>
      </c>
      <c r="T18" s="7" t="s">
        <v>62</v>
      </c>
      <c r="U18">
        <v>60</v>
      </c>
      <c r="V18">
        <v>28</v>
      </c>
      <c r="W18">
        <v>88</v>
      </c>
      <c r="X18" s="10">
        <f t="shared" si="3"/>
        <v>31.818181818181817</v>
      </c>
      <c r="AA18" s="3" t="s">
        <v>63</v>
      </c>
      <c r="AB18" s="3" t="s">
        <v>19</v>
      </c>
      <c r="AC18" s="3" t="s">
        <v>20</v>
      </c>
      <c r="AD18" s="3" t="s">
        <v>21</v>
      </c>
      <c r="AE18" s="13" t="s">
        <v>9</v>
      </c>
      <c r="AK18" s="10"/>
    </row>
    <row r="19" spans="7:48" x14ac:dyDescent="0.25">
      <c r="G19" s="7" t="s">
        <v>64</v>
      </c>
      <c r="H19">
        <v>84</v>
      </c>
      <c r="I19">
        <v>6</v>
      </c>
      <c r="J19">
        <v>90</v>
      </c>
      <c r="K19" s="10">
        <f t="shared" si="1"/>
        <v>6.666666666666667</v>
      </c>
      <c r="M19" s="7" t="s">
        <v>20</v>
      </c>
      <c r="N19" s="8">
        <v>43533.643724696354</v>
      </c>
      <c r="Q19" s="7" t="s">
        <v>20</v>
      </c>
      <c r="R19" s="9">
        <v>2860</v>
      </c>
      <c r="T19" s="7" t="s">
        <v>21</v>
      </c>
      <c r="U19">
        <v>753</v>
      </c>
      <c r="V19">
        <v>247</v>
      </c>
      <c r="W19">
        <v>1000</v>
      </c>
      <c r="X19" s="10">
        <f t="shared" si="3"/>
        <v>24.7</v>
      </c>
      <c r="AA19" s="7" t="s">
        <v>65</v>
      </c>
      <c r="AB19">
        <v>261</v>
      </c>
      <c r="AC19">
        <v>77</v>
      </c>
      <c r="AD19">
        <v>338</v>
      </c>
      <c r="AE19" s="10">
        <f>AC19/AD19*100</f>
        <v>22.781065088757398</v>
      </c>
      <c r="AK19" s="10"/>
    </row>
    <row r="20" spans="7:48" ht="21" x14ac:dyDescent="0.35">
      <c r="G20" s="7" t="s">
        <v>21</v>
      </c>
      <c r="H20">
        <v>753</v>
      </c>
      <c r="I20">
        <v>247</v>
      </c>
      <c r="J20">
        <v>1000</v>
      </c>
      <c r="K20" s="10">
        <f t="shared" si="1"/>
        <v>24.7</v>
      </c>
      <c r="M20" s="7" t="s">
        <v>21</v>
      </c>
      <c r="N20" s="8">
        <v>37928.949999999997</v>
      </c>
      <c r="Q20" s="7" t="s">
        <v>21</v>
      </c>
      <c r="R20" s="9">
        <v>100</v>
      </c>
      <c r="X20" s="10"/>
      <c r="AA20" s="7" t="s">
        <v>66</v>
      </c>
      <c r="AB20">
        <v>231</v>
      </c>
      <c r="AC20">
        <v>79</v>
      </c>
      <c r="AD20">
        <v>310</v>
      </c>
      <c r="AE20" s="10">
        <f t="shared" ref="AE20:AE22" si="4">AC20/AD20*100</f>
        <v>25.483870967741932</v>
      </c>
      <c r="AG20" s="3" t="s">
        <v>67</v>
      </c>
      <c r="AH20" s="3" t="s">
        <v>11</v>
      </c>
      <c r="AI20" s="3"/>
      <c r="AJ20" s="3"/>
      <c r="AK20" s="13"/>
    </row>
    <row r="21" spans="7:48" ht="21" x14ac:dyDescent="0.35">
      <c r="K21" s="10"/>
      <c r="N21" s="8"/>
      <c r="R21" s="9"/>
      <c r="T21" s="3" t="s">
        <v>68</v>
      </c>
      <c r="U21" s="3" t="s">
        <v>69</v>
      </c>
      <c r="V21" s="3"/>
      <c r="W21" s="3"/>
      <c r="X21" s="13"/>
      <c r="AA21" s="7" t="s">
        <v>70</v>
      </c>
      <c r="AB21">
        <v>261</v>
      </c>
      <c r="AC21">
        <v>91</v>
      </c>
      <c r="AD21">
        <v>352</v>
      </c>
      <c r="AE21" s="10">
        <f t="shared" si="4"/>
        <v>25.85227272727273</v>
      </c>
      <c r="AG21" s="3" t="s">
        <v>71</v>
      </c>
      <c r="AH21" s="3" t="s">
        <v>19</v>
      </c>
      <c r="AI21" s="3" t="s">
        <v>20</v>
      </c>
      <c r="AJ21" s="3" t="s">
        <v>21</v>
      </c>
      <c r="AK21" s="13" t="s">
        <v>9</v>
      </c>
    </row>
    <row r="22" spans="7:48" ht="21" x14ac:dyDescent="0.35">
      <c r="K22" s="10"/>
      <c r="N22" s="8"/>
      <c r="R22" s="9"/>
      <c r="T22" s="3" t="s">
        <v>72</v>
      </c>
      <c r="U22" s="3" t="s">
        <v>19</v>
      </c>
      <c r="V22" s="3" t="s">
        <v>20</v>
      </c>
      <c r="W22" s="3" t="s">
        <v>21</v>
      </c>
      <c r="X22" s="13" t="s">
        <v>9</v>
      </c>
      <c r="AA22" s="7" t="s">
        <v>21</v>
      </c>
      <c r="AB22">
        <v>753</v>
      </c>
      <c r="AC22">
        <v>247</v>
      </c>
      <c r="AD22">
        <v>1000</v>
      </c>
      <c r="AE22" s="10">
        <f t="shared" si="4"/>
        <v>24.7</v>
      </c>
      <c r="AG22" s="7" t="s">
        <v>73</v>
      </c>
      <c r="AH22">
        <v>28</v>
      </c>
      <c r="AI22">
        <v>14</v>
      </c>
      <c r="AJ22">
        <v>42</v>
      </c>
      <c r="AK22" s="10">
        <f>AI22/AJ22*100</f>
        <v>33.333333333333329</v>
      </c>
    </row>
    <row r="23" spans="7:48" ht="21" x14ac:dyDescent="0.35">
      <c r="G23" s="3" t="s">
        <v>74</v>
      </c>
      <c r="H23" s="3" t="s">
        <v>11</v>
      </c>
      <c r="I23" s="3"/>
      <c r="J23" s="3"/>
      <c r="K23" s="13"/>
      <c r="M23" s="4" t="s">
        <v>11</v>
      </c>
      <c r="N23" s="11" t="s">
        <v>75</v>
      </c>
      <c r="Q23" s="4" t="s">
        <v>11</v>
      </c>
      <c r="R23" s="12" t="s">
        <v>76</v>
      </c>
      <c r="T23" s="7" t="s">
        <v>77</v>
      </c>
      <c r="U23">
        <v>54</v>
      </c>
      <c r="V23">
        <v>11</v>
      </c>
      <c r="W23">
        <v>65</v>
      </c>
      <c r="X23" s="10">
        <f t="shared" ref="X23:X37" si="5">V23/W23*100</f>
        <v>16.923076923076923</v>
      </c>
      <c r="AE23" s="10"/>
      <c r="AG23" s="7" t="s">
        <v>78</v>
      </c>
      <c r="AH23">
        <v>556</v>
      </c>
      <c r="AI23">
        <v>181</v>
      </c>
      <c r="AJ23">
        <v>737</v>
      </c>
      <c r="AK23" s="10">
        <f t="shared" ref="AK23:AK51" si="6">AI23/AJ23*100</f>
        <v>24.559023066485754</v>
      </c>
      <c r="AV23" s="14"/>
    </row>
    <row r="24" spans="7:48" ht="21" x14ac:dyDescent="0.35">
      <c r="G24" s="3" t="s">
        <v>79</v>
      </c>
      <c r="H24" s="3" t="s">
        <v>19</v>
      </c>
      <c r="I24" s="3" t="s">
        <v>20</v>
      </c>
      <c r="J24" s="3" t="s">
        <v>21</v>
      </c>
      <c r="K24" s="13" t="s">
        <v>9</v>
      </c>
      <c r="M24" s="7" t="s">
        <v>19</v>
      </c>
      <c r="N24" s="8">
        <v>7018.8844621513945</v>
      </c>
      <c r="Q24" s="7" t="s">
        <v>19</v>
      </c>
      <c r="R24" s="9">
        <v>114920</v>
      </c>
      <c r="T24" s="7" t="s">
        <v>80</v>
      </c>
      <c r="U24">
        <v>52</v>
      </c>
      <c r="V24">
        <v>17</v>
      </c>
      <c r="W24">
        <v>69</v>
      </c>
      <c r="X24" s="10">
        <f t="shared" si="5"/>
        <v>24.637681159420293</v>
      </c>
      <c r="AE24" s="10"/>
      <c r="AG24" s="7" t="s">
        <v>81</v>
      </c>
      <c r="AH24">
        <v>49</v>
      </c>
      <c r="AI24">
        <v>11</v>
      </c>
      <c r="AJ24">
        <v>60</v>
      </c>
      <c r="AK24" s="10">
        <f t="shared" si="6"/>
        <v>18.333333333333332</v>
      </c>
      <c r="AV24" s="14"/>
    </row>
    <row r="25" spans="7:48" ht="21" x14ac:dyDescent="0.35">
      <c r="G25" s="7" t="s">
        <v>82</v>
      </c>
      <c r="H25">
        <v>184</v>
      </c>
      <c r="I25">
        <v>70</v>
      </c>
      <c r="J25">
        <v>254</v>
      </c>
      <c r="K25" s="10">
        <f>I25/J25*100</f>
        <v>27.559055118110237</v>
      </c>
      <c r="M25" s="7" t="s">
        <v>20</v>
      </c>
      <c r="N25" s="8">
        <v>8560.1214574898786</v>
      </c>
      <c r="Q25" s="7" t="s">
        <v>20</v>
      </c>
      <c r="R25" s="9">
        <v>112320</v>
      </c>
      <c r="T25" s="7" t="s">
        <v>83</v>
      </c>
      <c r="U25">
        <v>52</v>
      </c>
      <c r="V25">
        <v>22</v>
      </c>
      <c r="W25">
        <v>74</v>
      </c>
      <c r="X25" s="10">
        <f t="shared" si="5"/>
        <v>29.72972972972973</v>
      </c>
      <c r="AA25" s="3" t="s">
        <v>84</v>
      </c>
      <c r="AB25" s="3" t="s">
        <v>11</v>
      </c>
      <c r="AC25" s="3"/>
      <c r="AD25" s="3"/>
      <c r="AE25" s="13"/>
      <c r="AG25" s="7" t="s">
        <v>85</v>
      </c>
      <c r="AH25">
        <v>120</v>
      </c>
      <c r="AI25">
        <v>41</v>
      </c>
      <c r="AJ25">
        <v>161</v>
      </c>
      <c r="AK25" s="10">
        <f t="shared" si="6"/>
        <v>25.465838509316768</v>
      </c>
    </row>
    <row r="26" spans="7:48" ht="21" x14ac:dyDescent="0.35">
      <c r="G26" s="7" t="s">
        <v>86</v>
      </c>
      <c r="H26">
        <v>201</v>
      </c>
      <c r="I26">
        <v>91</v>
      </c>
      <c r="J26">
        <v>292</v>
      </c>
      <c r="K26" s="10">
        <f t="shared" ref="K26:K29" si="7">I26/J26*100</f>
        <v>31.164383561643838</v>
      </c>
      <c r="M26" s="7" t="s">
        <v>21</v>
      </c>
      <c r="N26" s="8">
        <v>7399.57</v>
      </c>
      <c r="Q26" s="7" t="s">
        <v>21</v>
      </c>
      <c r="R26" s="9">
        <v>114920</v>
      </c>
      <c r="T26" s="7" t="s">
        <v>87</v>
      </c>
      <c r="U26">
        <v>48</v>
      </c>
      <c r="V26">
        <v>28</v>
      </c>
      <c r="W26">
        <v>76</v>
      </c>
      <c r="X26" s="10">
        <f t="shared" si="5"/>
        <v>36.84210526315789</v>
      </c>
      <c r="AA26" s="3" t="s">
        <v>88</v>
      </c>
      <c r="AB26" s="3" t="s">
        <v>19</v>
      </c>
      <c r="AC26" s="3" t="s">
        <v>20</v>
      </c>
      <c r="AD26" s="3" t="s">
        <v>21</v>
      </c>
      <c r="AE26" s="13" t="s">
        <v>9</v>
      </c>
      <c r="AG26" s="7" t="s">
        <v>21</v>
      </c>
      <c r="AH26">
        <v>753</v>
      </c>
      <c r="AI26">
        <v>247</v>
      </c>
      <c r="AJ26">
        <v>1000</v>
      </c>
      <c r="AK26" s="10">
        <f t="shared" si="6"/>
        <v>24.7</v>
      </c>
    </row>
    <row r="27" spans="7:48" x14ac:dyDescent="0.25">
      <c r="G27" s="7" t="s">
        <v>89</v>
      </c>
      <c r="H27">
        <v>206</v>
      </c>
      <c r="I27">
        <v>70</v>
      </c>
      <c r="J27">
        <v>276</v>
      </c>
      <c r="K27" s="10">
        <f t="shared" si="7"/>
        <v>25.362318840579711</v>
      </c>
      <c r="N27" s="8"/>
      <c r="R27" s="9"/>
      <c r="T27" s="7" t="s">
        <v>90</v>
      </c>
      <c r="U27">
        <v>37</v>
      </c>
      <c r="V27">
        <v>16</v>
      </c>
      <c r="W27">
        <v>53</v>
      </c>
      <c r="X27" s="10">
        <f t="shared" si="5"/>
        <v>30.188679245283019</v>
      </c>
      <c r="AA27" s="7" t="s">
        <v>91</v>
      </c>
      <c r="AB27">
        <v>76</v>
      </c>
      <c r="AC27">
        <v>34</v>
      </c>
      <c r="AD27">
        <v>110</v>
      </c>
      <c r="AE27" s="10">
        <f t="shared" ref="AE27:AE34" si="8">AC27/AD27*100</f>
        <v>30.909090909090907</v>
      </c>
      <c r="AK27" s="10"/>
    </row>
    <row r="28" spans="7:48" ht="21" x14ac:dyDescent="0.35">
      <c r="G28" s="7" t="s">
        <v>92</v>
      </c>
      <c r="H28">
        <v>162</v>
      </c>
      <c r="I28">
        <v>16</v>
      </c>
      <c r="J28">
        <v>178</v>
      </c>
      <c r="K28" s="10">
        <f t="shared" si="7"/>
        <v>8.9887640449438209</v>
      </c>
      <c r="N28" s="8"/>
      <c r="R28" s="9"/>
      <c r="T28" s="7" t="s">
        <v>93</v>
      </c>
      <c r="U28">
        <v>43</v>
      </c>
      <c r="V28">
        <v>11</v>
      </c>
      <c r="W28">
        <v>54</v>
      </c>
      <c r="X28" s="10">
        <f t="shared" si="5"/>
        <v>20.37037037037037</v>
      </c>
      <c r="AA28" s="7" t="s">
        <v>94</v>
      </c>
      <c r="AB28">
        <v>204</v>
      </c>
      <c r="AC28">
        <v>58</v>
      </c>
      <c r="AD28">
        <v>262</v>
      </c>
      <c r="AE28" s="10">
        <f t="shared" si="8"/>
        <v>22.137404580152673</v>
      </c>
      <c r="AG28" s="3" t="s">
        <v>95</v>
      </c>
      <c r="AH28" s="3" t="s">
        <v>11</v>
      </c>
      <c r="AI28" s="3"/>
      <c r="AJ28" s="3"/>
      <c r="AK28" s="13"/>
    </row>
    <row r="29" spans="7:48" ht="21" x14ac:dyDescent="0.35">
      <c r="G29" s="7" t="s">
        <v>21</v>
      </c>
      <c r="H29">
        <v>753</v>
      </c>
      <c r="I29">
        <v>247</v>
      </c>
      <c r="J29">
        <v>1000</v>
      </c>
      <c r="K29" s="10">
        <f t="shared" si="7"/>
        <v>24.7</v>
      </c>
      <c r="M29" s="4" t="s">
        <v>11</v>
      </c>
      <c r="N29" s="11" t="s">
        <v>96</v>
      </c>
      <c r="Q29" s="4" t="s">
        <v>11</v>
      </c>
      <c r="R29" s="12" t="s">
        <v>97</v>
      </c>
      <c r="T29" s="7" t="s">
        <v>98</v>
      </c>
      <c r="U29">
        <v>71</v>
      </c>
      <c r="V29">
        <v>22</v>
      </c>
      <c r="W29">
        <v>93</v>
      </c>
      <c r="X29" s="10">
        <f t="shared" si="5"/>
        <v>23.655913978494624</v>
      </c>
      <c r="AA29" s="7" t="s">
        <v>70</v>
      </c>
      <c r="AB29">
        <v>13</v>
      </c>
      <c r="AC29">
        <v>10</v>
      </c>
      <c r="AD29">
        <v>23</v>
      </c>
      <c r="AE29" s="10">
        <f t="shared" si="8"/>
        <v>43.478260869565219</v>
      </c>
      <c r="AG29" s="3" t="s">
        <v>99</v>
      </c>
      <c r="AH29" s="3" t="s">
        <v>19</v>
      </c>
      <c r="AI29" s="3" t="s">
        <v>20</v>
      </c>
      <c r="AJ29" s="3" t="s">
        <v>21</v>
      </c>
      <c r="AK29" s="13" t="s">
        <v>9</v>
      </c>
      <c r="AP29" s="14"/>
    </row>
    <row r="30" spans="7:48" x14ac:dyDescent="0.25">
      <c r="K30" s="10"/>
      <c r="M30" s="7" t="s">
        <v>19</v>
      </c>
      <c r="N30" s="8">
        <v>25432.005312084992</v>
      </c>
      <c r="Q30" s="7" t="s">
        <v>19</v>
      </c>
      <c r="R30" s="9">
        <v>0</v>
      </c>
      <c r="T30" s="7" t="s">
        <v>100</v>
      </c>
      <c r="U30">
        <v>59</v>
      </c>
      <c r="V30">
        <v>12</v>
      </c>
      <c r="W30">
        <v>71</v>
      </c>
      <c r="X30" s="10">
        <f t="shared" si="5"/>
        <v>16.901408450704224</v>
      </c>
      <c r="AA30" s="7" t="s">
        <v>101</v>
      </c>
      <c r="AB30">
        <v>22</v>
      </c>
      <c r="AC30">
        <v>8</v>
      </c>
      <c r="AD30">
        <v>30</v>
      </c>
      <c r="AE30" s="10">
        <f t="shared" si="8"/>
        <v>26.666666666666668</v>
      </c>
      <c r="AG30" s="7">
        <v>0</v>
      </c>
      <c r="AH30">
        <v>36</v>
      </c>
      <c r="AI30">
        <v>11</v>
      </c>
      <c r="AJ30">
        <v>47</v>
      </c>
      <c r="AK30" s="10">
        <f t="shared" si="6"/>
        <v>23.404255319148938</v>
      </c>
      <c r="AP30" s="14"/>
    </row>
    <row r="31" spans="7:48" ht="21" x14ac:dyDescent="0.35">
      <c r="G31" s="3" t="s">
        <v>102</v>
      </c>
      <c r="H31" s="3" t="s">
        <v>11</v>
      </c>
      <c r="I31" s="3"/>
      <c r="J31" s="3"/>
      <c r="K31" s="13"/>
      <c r="M31" s="7" t="s">
        <v>20</v>
      </c>
      <c r="N31" s="8">
        <v>24193.522267206477</v>
      </c>
      <c r="Q31" s="7" t="s">
        <v>20</v>
      </c>
      <c r="R31" s="9">
        <v>0</v>
      </c>
      <c r="T31" s="7" t="s">
        <v>103</v>
      </c>
      <c r="U31">
        <v>59</v>
      </c>
      <c r="V31">
        <v>12</v>
      </c>
      <c r="W31">
        <v>71</v>
      </c>
      <c r="X31" s="10">
        <f t="shared" si="5"/>
        <v>16.901408450704224</v>
      </c>
      <c r="AA31" s="7" t="s">
        <v>104</v>
      </c>
      <c r="AB31">
        <v>175</v>
      </c>
      <c r="AC31">
        <v>73</v>
      </c>
      <c r="AD31">
        <v>248</v>
      </c>
      <c r="AE31" s="10">
        <f t="shared" si="8"/>
        <v>29.435483870967744</v>
      </c>
      <c r="AG31" s="7">
        <v>1</v>
      </c>
      <c r="AH31">
        <v>32</v>
      </c>
      <c r="AI31">
        <v>12</v>
      </c>
      <c r="AJ31">
        <v>44</v>
      </c>
      <c r="AK31" s="10">
        <f t="shared" si="6"/>
        <v>27.27272727272727</v>
      </c>
    </row>
    <row r="32" spans="7:48" ht="21" x14ac:dyDescent="0.35">
      <c r="G32" s="3" t="s">
        <v>105</v>
      </c>
      <c r="H32" s="3" t="s">
        <v>19</v>
      </c>
      <c r="I32" s="3" t="s">
        <v>20</v>
      </c>
      <c r="J32" s="3" t="s">
        <v>21</v>
      </c>
      <c r="K32" s="13" t="s">
        <v>9</v>
      </c>
      <c r="M32" s="7" t="s">
        <v>21</v>
      </c>
      <c r="N32" s="8">
        <v>25126.1</v>
      </c>
      <c r="Q32" s="7" t="s">
        <v>21</v>
      </c>
      <c r="R32" s="9">
        <v>0</v>
      </c>
      <c r="T32" s="7" t="s">
        <v>106</v>
      </c>
      <c r="U32">
        <v>67</v>
      </c>
      <c r="V32">
        <v>18</v>
      </c>
      <c r="W32">
        <v>85</v>
      </c>
      <c r="X32" s="10">
        <f t="shared" si="5"/>
        <v>21.176470588235293</v>
      </c>
      <c r="AA32" s="7" t="s">
        <v>107</v>
      </c>
      <c r="AB32">
        <v>85</v>
      </c>
      <c r="AC32">
        <v>25</v>
      </c>
      <c r="AD32">
        <v>110</v>
      </c>
      <c r="AE32" s="10">
        <f t="shared" si="8"/>
        <v>22.727272727272727</v>
      </c>
      <c r="AG32" s="7">
        <v>2</v>
      </c>
      <c r="AH32">
        <v>34</v>
      </c>
      <c r="AI32">
        <v>15</v>
      </c>
      <c r="AJ32">
        <v>49</v>
      </c>
      <c r="AK32" s="10">
        <f t="shared" si="6"/>
        <v>30.612244897959183</v>
      </c>
    </row>
    <row r="33" spans="7:37" x14ac:dyDescent="0.25">
      <c r="G33" s="7">
        <v>1</v>
      </c>
      <c r="H33">
        <v>448</v>
      </c>
      <c r="I33">
        <v>133</v>
      </c>
      <c r="J33">
        <v>581</v>
      </c>
      <c r="K33" s="10">
        <f>I33/J33*100</f>
        <v>22.891566265060241</v>
      </c>
      <c r="N33" s="8"/>
      <c r="R33" s="9"/>
      <c r="T33" s="7" t="s">
        <v>108</v>
      </c>
      <c r="U33">
        <v>49</v>
      </c>
      <c r="V33">
        <v>14</v>
      </c>
      <c r="W33">
        <v>63</v>
      </c>
      <c r="X33" s="10">
        <f t="shared" si="5"/>
        <v>22.222222222222221</v>
      </c>
      <c r="AA33" s="7" t="s">
        <v>109</v>
      </c>
      <c r="AB33">
        <v>178</v>
      </c>
      <c r="AC33">
        <v>39</v>
      </c>
      <c r="AD33">
        <v>217</v>
      </c>
      <c r="AE33" s="10">
        <f t="shared" si="8"/>
        <v>17.972350230414747</v>
      </c>
      <c r="AG33" s="7">
        <v>3</v>
      </c>
      <c r="AH33">
        <v>37</v>
      </c>
      <c r="AI33">
        <v>9</v>
      </c>
      <c r="AJ33">
        <v>46</v>
      </c>
      <c r="AK33" s="10">
        <f t="shared" si="6"/>
        <v>19.565217391304348</v>
      </c>
    </row>
    <row r="34" spans="7:37" ht="21" x14ac:dyDescent="0.35">
      <c r="G34" s="7">
        <v>2</v>
      </c>
      <c r="H34">
        <v>21</v>
      </c>
      <c r="I34">
        <v>9</v>
      </c>
      <c r="J34">
        <v>30</v>
      </c>
      <c r="K34" s="10">
        <f>I34/J34*100</f>
        <v>30</v>
      </c>
      <c r="N34" s="8"/>
      <c r="Q34" s="4" t="s">
        <v>11</v>
      </c>
      <c r="R34" s="12" t="s">
        <v>110</v>
      </c>
      <c r="T34" s="7" t="s">
        <v>111</v>
      </c>
      <c r="U34">
        <v>55</v>
      </c>
      <c r="V34">
        <v>21</v>
      </c>
      <c r="W34">
        <v>76</v>
      </c>
      <c r="X34" s="10">
        <f t="shared" si="5"/>
        <v>27.631578947368425</v>
      </c>
      <c r="AA34" s="7" t="s">
        <v>21</v>
      </c>
      <c r="AB34">
        <v>753</v>
      </c>
      <c r="AC34">
        <v>247</v>
      </c>
      <c r="AD34">
        <v>1000</v>
      </c>
      <c r="AE34" s="10">
        <f t="shared" si="8"/>
        <v>24.7</v>
      </c>
      <c r="AG34" s="7">
        <v>4</v>
      </c>
      <c r="AH34">
        <v>36</v>
      </c>
      <c r="AI34">
        <v>17</v>
      </c>
      <c r="AJ34">
        <v>53</v>
      </c>
      <c r="AK34" s="10">
        <f t="shared" si="6"/>
        <v>32.075471698113205</v>
      </c>
    </row>
    <row r="35" spans="7:37" ht="21" x14ac:dyDescent="0.35">
      <c r="G35" s="7">
        <v>3</v>
      </c>
      <c r="H35">
        <v>264</v>
      </c>
      <c r="I35">
        <v>94</v>
      </c>
      <c r="J35">
        <v>358</v>
      </c>
      <c r="K35" s="10">
        <f>I35/J35*100</f>
        <v>26.256983240223462</v>
      </c>
      <c r="M35" s="4" t="s">
        <v>11</v>
      </c>
      <c r="N35" s="11" t="s">
        <v>112</v>
      </c>
      <c r="Q35" s="7" t="s">
        <v>19</v>
      </c>
      <c r="R35" s="9">
        <v>23670</v>
      </c>
      <c r="T35" s="7" t="s">
        <v>113</v>
      </c>
      <c r="U35">
        <v>56</v>
      </c>
      <c r="V35">
        <v>22</v>
      </c>
      <c r="W35">
        <v>78</v>
      </c>
      <c r="X35" s="10">
        <f t="shared" si="5"/>
        <v>28.205128205128204</v>
      </c>
      <c r="AG35" s="7">
        <v>5</v>
      </c>
      <c r="AH35">
        <v>43</v>
      </c>
      <c r="AI35">
        <v>7</v>
      </c>
      <c r="AJ35">
        <v>50</v>
      </c>
      <c r="AK35" s="10">
        <f t="shared" si="6"/>
        <v>14.000000000000002</v>
      </c>
    </row>
    <row r="36" spans="7:37" x14ac:dyDescent="0.25">
      <c r="G36" s="7">
        <v>4</v>
      </c>
      <c r="H36">
        <v>20</v>
      </c>
      <c r="I36">
        <v>11</v>
      </c>
      <c r="J36">
        <v>31</v>
      </c>
      <c r="K36" s="10">
        <f>I36/J36*100</f>
        <v>35.483870967741936</v>
      </c>
      <c r="M36" s="7" t="s">
        <v>19</v>
      </c>
      <c r="N36" s="8">
        <v>-26554.581673306773</v>
      </c>
      <c r="Q36" s="7" t="s">
        <v>20</v>
      </c>
      <c r="R36" s="9">
        <v>21810</v>
      </c>
      <c r="T36" s="7" t="s">
        <v>114</v>
      </c>
      <c r="U36">
        <v>51</v>
      </c>
      <c r="V36">
        <v>21</v>
      </c>
      <c r="W36">
        <v>72</v>
      </c>
      <c r="X36" s="10">
        <f t="shared" si="5"/>
        <v>29.166666666666668</v>
      </c>
      <c r="AG36" s="7">
        <v>6</v>
      </c>
      <c r="AH36">
        <v>39</v>
      </c>
      <c r="AI36">
        <v>11</v>
      </c>
      <c r="AJ36">
        <v>50</v>
      </c>
      <c r="AK36" s="10">
        <f t="shared" si="6"/>
        <v>22</v>
      </c>
    </row>
    <row r="37" spans="7:37" x14ac:dyDescent="0.25">
      <c r="G37" s="7" t="s">
        <v>21</v>
      </c>
      <c r="H37">
        <v>753</v>
      </c>
      <c r="I37">
        <v>247</v>
      </c>
      <c r="J37">
        <v>1000</v>
      </c>
      <c r="K37" s="10">
        <f>I37/J37*100</f>
        <v>24.7</v>
      </c>
      <c r="M37" s="7" t="s">
        <v>20</v>
      </c>
      <c r="N37" s="8">
        <v>-27522.672064777329</v>
      </c>
      <c r="Q37" s="7" t="s">
        <v>21</v>
      </c>
      <c r="R37" s="9">
        <v>23670</v>
      </c>
      <c r="T37" s="7" t="s">
        <v>21</v>
      </c>
      <c r="U37">
        <v>753</v>
      </c>
      <c r="V37">
        <v>247</v>
      </c>
      <c r="W37">
        <v>1000</v>
      </c>
      <c r="X37" s="10">
        <f t="shared" si="5"/>
        <v>24.7</v>
      </c>
      <c r="AG37" s="7">
        <v>7</v>
      </c>
      <c r="AH37">
        <v>35</v>
      </c>
      <c r="AI37">
        <v>10</v>
      </c>
      <c r="AJ37">
        <v>45</v>
      </c>
      <c r="AK37" s="10">
        <f t="shared" si="6"/>
        <v>22.222222222222221</v>
      </c>
    </row>
    <row r="38" spans="7:37" x14ac:dyDescent="0.25">
      <c r="K38" s="10"/>
      <c r="M38" s="7" t="s">
        <v>21</v>
      </c>
      <c r="N38" s="8">
        <v>-26793.7</v>
      </c>
      <c r="R38" s="9"/>
      <c r="X38" s="10"/>
      <c r="AG38" s="7">
        <v>8</v>
      </c>
      <c r="AH38">
        <v>34</v>
      </c>
      <c r="AI38">
        <v>18</v>
      </c>
      <c r="AJ38">
        <v>52</v>
      </c>
      <c r="AK38" s="10">
        <f t="shared" si="6"/>
        <v>34.615384615384613</v>
      </c>
    </row>
    <row r="39" spans="7:37" ht="21" x14ac:dyDescent="0.35">
      <c r="G39" s="3" t="s">
        <v>115</v>
      </c>
      <c r="H39" s="3" t="s">
        <v>11</v>
      </c>
      <c r="I39" s="3"/>
      <c r="J39" s="3"/>
      <c r="K39" s="13"/>
      <c r="N39" s="8"/>
      <c r="R39" s="9"/>
      <c r="X39" s="10"/>
      <c r="AG39" s="7">
        <v>9</v>
      </c>
      <c r="AH39">
        <v>39</v>
      </c>
      <c r="AI39">
        <v>14</v>
      </c>
      <c r="AJ39">
        <v>53</v>
      </c>
      <c r="AK39" s="10">
        <f t="shared" si="6"/>
        <v>26.415094339622641</v>
      </c>
    </row>
    <row r="40" spans="7:37" ht="21" x14ac:dyDescent="0.35">
      <c r="G40" s="3" t="s">
        <v>116</v>
      </c>
      <c r="H40" s="3" t="s">
        <v>19</v>
      </c>
      <c r="I40" s="3" t="s">
        <v>20</v>
      </c>
      <c r="J40" s="3" t="s">
        <v>21</v>
      </c>
      <c r="K40" s="13" t="s">
        <v>9</v>
      </c>
      <c r="N40" s="8"/>
      <c r="Q40" s="4" t="s">
        <v>11</v>
      </c>
      <c r="R40" s="12" t="s">
        <v>117</v>
      </c>
      <c r="T40" s="3" t="s">
        <v>118</v>
      </c>
      <c r="U40" s="3" t="s">
        <v>11</v>
      </c>
      <c r="V40" s="3"/>
      <c r="W40" s="3"/>
      <c r="X40" s="13"/>
      <c r="AG40" s="7">
        <v>10</v>
      </c>
      <c r="AH40">
        <v>42</v>
      </c>
      <c r="AI40">
        <v>12</v>
      </c>
      <c r="AJ40">
        <v>54</v>
      </c>
      <c r="AK40" s="10">
        <f t="shared" si="6"/>
        <v>22.222222222222221</v>
      </c>
    </row>
    <row r="41" spans="7:37" ht="21" x14ac:dyDescent="0.35">
      <c r="G41" s="7" t="s">
        <v>17</v>
      </c>
      <c r="H41">
        <v>257</v>
      </c>
      <c r="I41">
        <v>86</v>
      </c>
      <c r="J41">
        <v>343</v>
      </c>
      <c r="K41" s="10">
        <f>I41/J41*100</f>
        <v>25.072886297376094</v>
      </c>
      <c r="M41" s="4" t="s">
        <v>11</v>
      </c>
      <c r="N41" s="11" t="s">
        <v>119</v>
      </c>
      <c r="O41" s="4"/>
      <c r="Q41" s="7" t="s">
        <v>19</v>
      </c>
      <c r="R41" s="9">
        <v>79560</v>
      </c>
      <c r="T41" s="3" t="s">
        <v>120</v>
      </c>
      <c r="U41" s="3" t="s">
        <v>19</v>
      </c>
      <c r="V41" s="3" t="s">
        <v>20</v>
      </c>
      <c r="W41" s="3" t="s">
        <v>21</v>
      </c>
      <c r="X41" s="13" t="s">
        <v>9</v>
      </c>
      <c r="AG41" s="7">
        <v>11</v>
      </c>
      <c r="AH41">
        <v>23</v>
      </c>
      <c r="AI41">
        <v>16</v>
      </c>
      <c r="AJ41">
        <v>39</v>
      </c>
      <c r="AK41" s="10">
        <f t="shared" si="6"/>
        <v>41.025641025641022</v>
      </c>
    </row>
    <row r="42" spans="7:37" x14ac:dyDescent="0.25">
      <c r="G42" s="7" t="s">
        <v>92</v>
      </c>
      <c r="H42">
        <v>254</v>
      </c>
      <c r="I42">
        <v>89</v>
      </c>
      <c r="J42">
        <v>343</v>
      </c>
      <c r="K42" s="10">
        <f>I42/J42*100</f>
        <v>25.947521865889211</v>
      </c>
      <c r="M42" s="7" t="s">
        <v>19</v>
      </c>
      <c r="N42" s="8">
        <v>1258.43</v>
      </c>
      <c r="Q42" s="7" t="s">
        <v>20</v>
      </c>
      <c r="R42" s="9">
        <v>77760</v>
      </c>
      <c r="T42" s="7" t="s">
        <v>121</v>
      </c>
      <c r="U42">
        <v>135</v>
      </c>
      <c r="V42">
        <v>35</v>
      </c>
      <c r="W42">
        <v>170</v>
      </c>
      <c r="X42" s="10">
        <f t="shared" ref="X42:X48" si="9">V42/W42*100</f>
        <v>20.588235294117645</v>
      </c>
      <c r="AG42" s="7">
        <v>12</v>
      </c>
      <c r="AH42">
        <v>42</v>
      </c>
      <c r="AI42">
        <v>9</v>
      </c>
      <c r="AJ42">
        <v>51</v>
      </c>
      <c r="AK42" s="10">
        <f t="shared" si="6"/>
        <v>17.647058823529413</v>
      </c>
    </row>
    <row r="43" spans="7:37" x14ac:dyDescent="0.25">
      <c r="G43" s="7" t="s">
        <v>25</v>
      </c>
      <c r="H43">
        <v>242</v>
      </c>
      <c r="I43">
        <v>72</v>
      </c>
      <c r="J43">
        <v>314</v>
      </c>
      <c r="K43" s="10">
        <f>I43/J43*100</f>
        <v>22.929936305732486</v>
      </c>
      <c r="M43" s="7" t="s">
        <v>20</v>
      </c>
      <c r="N43" s="8">
        <v>1250.2362753036437</v>
      </c>
      <c r="Q43" s="7" t="s">
        <v>21</v>
      </c>
      <c r="R43" s="9">
        <v>79560</v>
      </c>
      <c r="T43" s="7" t="s">
        <v>122</v>
      </c>
      <c r="U43">
        <v>129</v>
      </c>
      <c r="V43">
        <v>45</v>
      </c>
      <c r="W43">
        <v>174</v>
      </c>
      <c r="X43" s="10">
        <f t="shared" si="9"/>
        <v>25.862068965517242</v>
      </c>
      <c r="AG43" s="7">
        <v>13</v>
      </c>
      <c r="AH43">
        <v>39</v>
      </c>
      <c r="AI43">
        <v>10</v>
      </c>
      <c r="AJ43">
        <v>49</v>
      </c>
      <c r="AK43" s="10">
        <f t="shared" si="6"/>
        <v>20.408163265306122</v>
      </c>
    </row>
    <row r="44" spans="7:37" x14ac:dyDescent="0.25">
      <c r="G44" s="7" t="s">
        <v>21</v>
      </c>
      <c r="H44">
        <v>753</v>
      </c>
      <c r="I44">
        <v>247</v>
      </c>
      <c r="J44">
        <v>1000</v>
      </c>
      <c r="K44" s="10">
        <f>I44/J44*100</f>
        <v>24.7</v>
      </c>
      <c r="M44" s="7" t="s">
        <v>21</v>
      </c>
      <c r="N44" s="8">
        <v>1256.4061499999998</v>
      </c>
      <c r="R44" s="9"/>
      <c r="T44" s="7" t="s">
        <v>123</v>
      </c>
      <c r="U44">
        <v>125</v>
      </c>
      <c r="V44">
        <v>52</v>
      </c>
      <c r="W44">
        <v>177</v>
      </c>
      <c r="X44" s="10">
        <f t="shared" si="9"/>
        <v>29.378531073446329</v>
      </c>
      <c r="AG44" s="7">
        <v>14</v>
      </c>
      <c r="AH44">
        <v>33</v>
      </c>
      <c r="AI44">
        <v>9</v>
      </c>
      <c r="AJ44">
        <v>42</v>
      </c>
      <c r="AK44" s="10">
        <f t="shared" si="6"/>
        <v>21.428571428571427</v>
      </c>
    </row>
    <row r="45" spans="7:37" x14ac:dyDescent="0.25">
      <c r="K45" s="10"/>
      <c r="R45" s="9"/>
      <c r="T45" s="7" t="s">
        <v>124</v>
      </c>
      <c r="U45">
        <v>144</v>
      </c>
      <c r="V45">
        <v>39</v>
      </c>
      <c r="W45">
        <v>183</v>
      </c>
      <c r="X45" s="10">
        <f t="shared" si="9"/>
        <v>21.311475409836063</v>
      </c>
      <c r="AG45" s="7">
        <v>15</v>
      </c>
      <c r="AH45">
        <v>31</v>
      </c>
      <c r="AI45">
        <v>11</v>
      </c>
      <c r="AJ45">
        <v>42</v>
      </c>
      <c r="AK45" s="10">
        <f t="shared" si="6"/>
        <v>26.190476190476193</v>
      </c>
    </row>
    <row r="46" spans="7:37" ht="21" x14ac:dyDescent="0.35">
      <c r="K46" s="10"/>
      <c r="Q46" s="4" t="s">
        <v>11</v>
      </c>
      <c r="R46" s="12" t="s">
        <v>125</v>
      </c>
      <c r="T46" s="7" t="s">
        <v>126</v>
      </c>
      <c r="U46">
        <v>107</v>
      </c>
      <c r="V46">
        <v>34</v>
      </c>
      <c r="W46">
        <v>141</v>
      </c>
      <c r="X46" s="10">
        <f t="shared" si="9"/>
        <v>24.113475177304963</v>
      </c>
      <c r="AG46" s="7">
        <v>16</v>
      </c>
      <c r="AH46">
        <v>45</v>
      </c>
      <c r="AI46">
        <v>10</v>
      </c>
      <c r="AJ46">
        <v>55</v>
      </c>
      <c r="AK46" s="10">
        <f t="shared" si="6"/>
        <v>18.181818181818183</v>
      </c>
    </row>
    <row r="47" spans="7:37" ht="21" x14ac:dyDescent="0.35">
      <c r="G47" s="3" t="s">
        <v>127</v>
      </c>
      <c r="H47" s="3" t="s">
        <v>11</v>
      </c>
      <c r="I47" s="3"/>
      <c r="J47" s="3"/>
      <c r="K47" s="13"/>
      <c r="Q47" s="7" t="s">
        <v>19</v>
      </c>
      <c r="R47" s="9">
        <v>70</v>
      </c>
      <c r="T47" s="7" t="s">
        <v>128</v>
      </c>
      <c r="U47">
        <v>113</v>
      </c>
      <c r="V47">
        <v>42</v>
      </c>
      <c r="W47">
        <v>155</v>
      </c>
      <c r="X47" s="10">
        <f t="shared" si="9"/>
        <v>27.096774193548391</v>
      </c>
      <c r="AG47" s="7">
        <v>17</v>
      </c>
      <c r="AH47">
        <v>33</v>
      </c>
      <c r="AI47">
        <v>7</v>
      </c>
      <c r="AJ47">
        <v>40</v>
      </c>
      <c r="AK47" s="10">
        <f t="shared" si="6"/>
        <v>17.5</v>
      </c>
    </row>
    <row r="48" spans="7:37" ht="21" x14ac:dyDescent="0.35">
      <c r="G48" s="3" t="s">
        <v>129</v>
      </c>
      <c r="H48" s="3" t="s">
        <v>19</v>
      </c>
      <c r="I48" s="3" t="s">
        <v>20</v>
      </c>
      <c r="J48" s="3" t="s">
        <v>21</v>
      </c>
      <c r="K48" s="13" t="s">
        <v>9</v>
      </c>
      <c r="Q48" s="7" t="s">
        <v>20</v>
      </c>
      <c r="R48" s="9">
        <v>2080</v>
      </c>
      <c r="T48" s="7" t="s">
        <v>21</v>
      </c>
      <c r="U48">
        <v>753</v>
      </c>
      <c r="V48">
        <v>247</v>
      </c>
      <c r="W48">
        <v>1000</v>
      </c>
      <c r="X48" s="10">
        <f t="shared" si="9"/>
        <v>24.7</v>
      </c>
      <c r="AG48" s="7">
        <v>18</v>
      </c>
      <c r="AH48">
        <v>34</v>
      </c>
      <c r="AI48">
        <v>12</v>
      </c>
      <c r="AJ48">
        <v>46</v>
      </c>
      <c r="AK48" s="10">
        <f t="shared" si="6"/>
        <v>26.086956521739129</v>
      </c>
    </row>
    <row r="49" spans="7:37" x14ac:dyDescent="0.25">
      <c r="G49" s="7">
        <v>0</v>
      </c>
      <c r="H49">
        <v>260</v>
      </c>
      <c r="I49">
        <v>80</v>
      </c>
      <c r="J49">
        <v>340</v>
      </c>
      <c r="K49" s="10">
        <f>I49/J49*100</f>
        <v>23.52941176470588</v>
      </c>
      <c r="Q49" s="7" t="s">
        <v>21</v>
      </c>
      <c r="R49" s="9">
        <v>70</v>
      </c>
      <c r="X49" s="10"/>
      <c r="AG49" s="7">
        <v>19</v>
      </c>
      <c r="AH49">
        <v>23</v>
      </c>
      <c r="AI49">
        <v>14</v>
      </c>
      <c r="AJ49">
        <v>37</v>
      </c>
      <c r="AK49" s="10">
        <f t="shared" si="6"/>
        <v>37.837837837837839</v>
      </c>
    </row>
    <row r="50" spans="7:37" x14ac:dyDescent="0.25">
      <c r="G50" s="7">
        <v>1</v>
      </c>
      <c r="H50">
        <v>251</v>
      </c>
      <c r="I50">
        <v>77</v>
      </c>
      <c r="J50">
        <v>328</v>
      </c>
      <c r="K50" s="10">
        <f>I50/J50*100</f>
        <v>23.475609756097558</v>
      </c>
      <c r="X50" s="10"/>
      <c r="AG50" s="7">
        <v>20</v>
      </c>
      <c r="AH50">
        <v>43</v>
      </c>
      <c r="AI50">
        <v>13</v>
      </c>
      <c r="AJ50">
        <v>56</v>
      </c>
      <c r="AK50" s="10">
        <f t="shared" si="6"/>
        <v>23.214285714285715</v>
      </c>
    </row>
    <row r="51" spans="7:37" ht="21" x14ac:dyDescent="0.35">
      <c r="G51" s="7">
        <v>2</v>
      </c>
      <c r="H51">
        <v>242</v>
      </c>
      <c r="I51">
        <v>90</v>
      </c>
      <c r="J51">
        <v>332</v>
      </c>
      <c r="K51" s="10">
        <f>I51/J51*100</f>
        <v>27.108433734939759</v>
      </c>
      <c r="T51" s="3" t="s">
        <v>130</v>
      </c>
      <c r="U51" s="3" t="s">
        <v>11</v>
      </c>
      <c r="V51" s="3"/>
      <c r="W51" s="3"/>
      <c r="X51" s="13"/>
      <c r="AG51" s="7" t="s">
        <v>21</v>
      </c>
      <c r="AH51">
        <v>753</v>
      </c>
      <c r="AI51">
        <v>247</v>
      </c>
      <c r="AJ51">
        <v>1000</v>
      </c>
      <c r="AK51" s="10">
        <f t="shared" si="6"/>
        <v>24.7</v>
      </c>
    </row>
    <row r="52" spans="7:37" ht="21" x14ac:dyDescent="0.35">
      <c r="G52" s="7" t="s">
        <v>21</v>
      </c>
      <c r="H52">
        <v>753</v>
      </c>
      <c r="I52">
        <v>247</v>
      </c>
      <c r="J52">
        <v>1000</v>
      </c>
      <c r="K52" s="10">
        <f>I52/J52*100</f>
        <v>24.7</v>
      </c>
      <c r="T52" s="3" t="s">
        <v>131</v>
      </c>
      <c r="U52" s="3" t="s">
        <v>19</v>
      </c>
      <c r="V52" s="3" t="s">
        <v>20</v>
      </c>
      <c r="W52" s="3" t="s">
        <v>21</v>
      </c>
      <c r="X52" s="13" t="s">
        <v>9</v>
      </c>
    </row>
    <row r="53" spans="7:37" x14ac:dyDescent="0.25">
      <c r="K53" s="10"/>
      <c r="T53" s="7" t="s">
        <v>132</v>
      </c>
      <c r="U53">
        <v>111</v>
      </c>
      <c r="V53">
        <v>34</v>
      </c>
      <c r="W53">
        <v>145</v>
      </c>
      <c r="X53" s="10">
        <f t="shared" ref="X53:X60" si="10">V53/W53*100</f>
        <v>23.448275862068964</v>
      </c>
    </row>
    <row r="54" spans="7:37" ht="21" x14ac:dyDescent="0.35">
      <c r="G54" s="3" t="s">
        <v>133</v>
      </c>
      <c r="H54" s="3" t="s">
        <v>11</v>
      </c>
      <c r="I54" s="3"/>
      <c r="J54" s="3"/>
      <c r="K54" s="13"/>
      <c r="T54" s="7" t="s">
        <v>134</v>
      </c>
      <c r="U54">
        <v>90</v>
      </c>
      <c r="V54">
        <v>32</v>
      </c>
      <c r="W54">
        <v>122</v>
      </c>
      <c r="X54" s="10">
        <f t="shared" si="10"/>
        <v>26.229508196721312</v>
      </c>
    </row>
    <row r="55" spans="7:37" ht="21" x14ac:dyDescent="0.35">
      <c r="G55" s="3" t="s">
        <v>135</v>
      </c>
      <c r="H55" s="3" t="s">
        <v>19</v>
      </c>
      <c r="I55" s="3" t="s">
        <v>20</v>
      </c>
      <c r="J55" s="3" t="s">
        <v>21</v>
      </c>
      <c r="K55" s="13" t="s">
        <v>9</v>
      </c>
      <c r="T55" s="7" t="s">
        <v>136</v>
      </c>
      <c r="U55">
        <v>124</v>
      </c>
      <c r="V55">
        <v>36</v>
      </c>
      <c r="W55">
        <v>160</v>
      </c>
      <c r="X55" s="10">
        <f t="shared" si="10"/>
        <v>22.5</v>
      </c>
    </row>
    <row r="56" spans="7:37" x14ac:dyDescent="0.25">
      <c r="G56" s="7">
        <v>0</v>
      </c>
      <c r="H56">
        <v>199</v>
      </c>
      <c r="I56">
        <v>50</v>
      </c>
      <c r="J56">
        <v>249</v>
      </c>
      <c r="K56" s="10">
        <f>I56/J56*100</f>
        <v>20.080321285140563</v>
      </c>
      <c r="T56" s="7" t="s">
        <v>137</v>
      </c>
      <c r="U56">
        <v>119</v>
      </c>
      <c r="V56">
        <v>42</v>
      </c>
      <c r="W56">
        <v>161</v>
      </c>
      <c r="X56" s="10">
        <f t="shared" si="10"/>
        <v>26.086956521739129</v>
      </c>
    </row>
    <row r="57" spans="7:37" x14ac:dyDescent="0.25">
      <c r="G57" s="7">
        <v>1</v>
      </c>
      <c r="H57">
        <v>195</v>
      </c>
      <c r="I57">
        <v>63</v>
      </c>
      <c r="J57">
        <v>258</v>
      </c>
      <c r="K57" s="10">
        <f>I57/J57*100</f>
        <v>24.418604651162788</v>
      </c>
      <c r="T57" s="7" t="s">
        <v>138</v>
      </c>
      <c r="U57">
        <v>111</v>
      </c>
      <c r="V57">
        <v>32</v>
      </c>
      <c r="W57">
        <v>143</v>
      </c>
      <c r="X57" s="10">
        <f t="shared" si="10"/>
        <v>22.377622377622377</v>
      </c>
    </row>
    <row r="58" spans="7:37" x14ac:dyDescent="0.25">
      <c r="G58" s="7">
        <v>2</v>
      </c>
      <c r="H58">
        <v>176</v>
      </c>
      <c r="I58">
        <v>74</v>
      </c>
      <c r="J58">
        <v>250</v>
      </c>
      <c r="K58" s="10">
        <f>I58/J58*100</f>
        <v>29.599999999999998</v>
      </c>
      <c r="T58" s="7" t="s">
        <v>139</v>
      </c>
      <c r="U58">
        <v>106</v>
      </c>
      <c r="V58">
        <v>38</v>
      </c>
      <c r="W58">
        <v>144</v>
      </c>
      <c r="X58" s="10">
        <f t="shared" si="10"/>
        <v>26.388888888888889</v>
      </c>
    </row>
    <row r="59" spans="7:37" x14ac:dyDescent="0.25">
      <c r="G59" s="7">
        <v>3</v>
      </c>
      <c r="H59">
        <v>183</v>
      </c>
      <c r="I59">
        <v>60</v>
      </c>
      <c r="J59">
        <v>243</v>
      </c>
      <c r="K59" s="10">
        <f>I59/J59*100</f>
        <v>24.691358024691358</v>
      </c>
      <c r="T59" s="7" t="s">
        <v>140</v>
      </c>
      <c r="U59">
        <v>92</v>
      </c>
      <c r="V59">
        <v>33</v>
      </c>
      <c r="W59">
        <v>125</v>
      </c>
      <c r="X59" s="10">
        <f t="shared" si="10"/>
        <v>26.400000000000002</v>
      </c>
    </row>
    <row r="60" spans="7:37" x14ac:dyDescent="0.25">
      <c r="G60" s="7" t="s">
        <v>21</v>
      </c>
      <c r="H60">
        <v>753</v>
      </c>
      <c r="I60">
        <v>247</v>
      </c>
      <c r="J60">
        <v>1000</v>
      </c>
      <c r="K60" s="10">
        <f>I60/J60*100</f>
        <v>24.7</v>
      </c>
      <c r="T60" s="7" t="s">
        <v>21</v>
      </c>
      <c r="U60">
        <v>753</v>
      </c>
      <c r="V60">
        <v>247</v>
      </c>
      <c r="W60">
        <v>1000</v>
      </c>
      <c r="X60" s="10">
        <f t="shared" si="10"/>
        <v>24.7</v>
      </c>
    </row>
    <row r="61" spans="7:37" x14ac:dyDescent="0.25">
      <c r="K61" s="10"/>
    </row>
    <row r="62" spans="7:37" ht="21" x14ac:dyDescent="0.35">
      <c r="G62" s="3" t="s">
        <v>141</v>
      </c>
      <c r="H62" s="3" t="s">
        <v>11</v>
      </c>
      <c r="I62" s="3"/>
      <c r="J62" s="3"/>
      <c r="K62" s="13"/>
    </row>
    <row r="63" spans="7:37" ht="21" x14ac:dyDescent="0.35">
      <c r="G63" s="3" t="s">
        <v>142</v>
      </c>
      <c r="H63" s="3" t="s">
        <v>19</v>
      </c>
      <c r="I63" s="3" t="s">
        <v>20</v>
      </c>
      <c r="J63" s="3" t="s">
        <v>21</v>
      </c>
      <c r="K63" s="13" t="s">
        <v>9</v>
      </c>
    </row>
    <row r="64" spans="7:37" x14ac:dyDescent="0.25">
      <c r="G64" s="7" t="s">
        <v>143</v>
      </c>
      <c r="H64">
        <v>139</v>
      </c>
      <c r="I64">
        <v>57</v>
      </c>
      <c r="J64">
        <v>196</v>
      </c>
      <c r="K64" s="10">
        <f t="shared" ref="K64:K69" si="11">I64/J64*100</f>
        <v>29.081632653061224</v>
      </c>
    </row>
    <row r="65" spans="7:11" x14ac:dyDescent="0.25">
      <c r="G65" s="7" t="s">
        <v>144</v>
      </c>
      <c r="H65">
        <v>163</v>
      </c>
      <c r="I65">
        <v>60</v>
      </c>
      <c r="J65">
        <v>223</v>
      </c>
      <c r="K65" s="10">
        <f t="shared" si="11"/>
        <v>26.905829596412556</v>
      </c>
    </row>
    <row r="66" spans="7:11" x14ac:dyDescent="0.25">
      <c r="G66" s="7" t="s">
        <v>145</v>
      </c>
      <c r="H66">
        <v>85</v>
      </c>
      <c r="I66">
        <v>6</v>
      </c>
      <c r="J66">
        <v>91</v>
      </c>
      <c r="K66" s="10">
        <f t="shared" si="11"/>
        <v>6.593406593406594</v>
      </c>
    </row>
    <row r="67" spans="7:11" x14ac:dyDescent="0.25">
      <c r="G67" s="7" t="s">
        <v>146</v>
      </c>
      <c r="H67">
        <v>135</v>
      </c>
      <c r="I67">
        <v>63</v>
      </c>
      <c r="J67">
        <v>198</v>
      </c>
      <c r="K67" s="10">
        <f t="shared" si="11"/>
        <v>31.818181818181817</v>
      </c>
    </row>
    <row r="68" spans="7:11" x14ac:dyDescent="0.25">
      <c r="G68" s="7" t="s">
        <v>147</v>
      </c>
      <c r="H68">
        <v>231</v>
      </c>
      <c r="I68">
        <v>61</v>
      </c>
      <c r="J68">
        <v>292</v>
      </c>
      <c r="K68" s="10">
        <f t="shared" si="11"/>
        <v>20.890410958904109</v>
      </c>
    </row>
    <row r="69" spans="7:11" x14ac:dyDescent="0.25">
      <c r="G69" s="7" t="s">
        <v>21</v>
      </c>
      <c r="H69">
        <v>753</v>
      </c>
      <c r="I69">
        <v>247</v>
      </c>
      <c r="J69">
        <v>1000</v>
      </c>
      <c r="K69" s="10">
        <f t="shared" si="11"/>
        <v>24.7</v>
      </c>
    </row>
    <row r="70" spans="7:11" x14ac:dyDescent="0.25">
      <c r="K70" s="10"/>
    </row>
    <row r="71" spans="7:11" ht="21" x14ac:dyDescent="0.35">
      <c r="G71" s="3" t="s">
        <v>148</v>
      </c>
      <c r="H71" s="3" t="s">
        <v>11</v>
      </c>
      <c r="I71" s="3"/>
      <c r="J71" s="3"/>
      <c r="K71" s="13"/>
    </row>
    <row r="72" spans="7:11" ht="21" x14ac:dyDescent="0.35">
      <c r="G72" s="3" t="s">
        <v>149</v>
      </c>
      <c r="H72" s="3" t="s">
        <v>19</v>
      </c>
      <c r="I72" s="3" t="s">
        <v>20</v>
      </c>
      <c r="J72" s="3" t="s">
        <v>21</v>
      </c>
      <c r="K72" s="13" t="s">
        <v>9</v>
      </c>
    </row>
    <row r="73" spans="7:11" x14ac:dyDescent="0.25">
      <c r="G73" s="7" t="s">
        <v>17</v>
      </c>
      <c r="H73">
        <v>272</v>
      </c>
      <c r="I73">
        <v>66</v>
      </c>
      <c r="J73">
        <v>338</v>
      </c>
      <c r="K73" s="10">
        <f>I73/J73*100</f>
        <v>19.526627218934912</v>
      </c>
    </row>
    <row r="74" spans="7:11" x14ac:dyDescent="0.25">
      <c r="G74" s="7" t="s">
        <v>92</v>
      </c>
      <c r="H74">
        <v>257</v>
      </c>
      <c r="I74">
        <v>103</v>
      </c>
      <c r="J74">
        <v>360</v>
      </c>
      <c r="K74" s="10">
        <f t="shared" ref="K74:K76" si="12">I74/J74*100</f>
        <v>28.611111111111111</v>
      </c>
    </row>
    <row r="75" spans="7:11" x14ac:dyDescent="0.25">
      <c r="G75" s="7" t="s">
        <v>25</v>
      </c>
      <c r="H75">
        <v>224</v>
      </c>
      <c r="I75">
        <v>78</v>
      </c>
      <c r="J75">
        <v>302</v>
      </c>
      <c r="K75" s="10">
        <f t="shared" si="12"/>
        <v>25.827814569536422</v>
      </c>
    </row>
    <row r="76" spans="7:11" x14ac:dyDescent="0.25">
      <c r="G76" s="7" t="s">
        <v>21</v>
      </c>
      <c r="H76">
        <v>753</v>
      </c>
      <c r="I76">
        <v>247</v>
      </c>
      <c r="J76">
        <v>1000</v>
      </c>
      <c r="K76" s="10">
        <f t="shared" si="12"/>
        <v>24.7</v>
      </c>
    </row>
    <row r="78" spans="7:11" ht="21" x14ac:dyDescent="0.35">
      <c r="G78" s="3" t="s">
        <v>150</v>
      </c>
      <c r="H78" s="3" t="s">
        <v>11</v>
      </c>
      <c r="I78" s="3"/>
      <c r="J78" s="3"/>
      <c r="K78" s="3"/>
    </row>
    <row r="79" spans="7:11" ht="21" x14ac:dyDescent="0.35">
      <c r="G79" s="3" t="s">
        <v>155</v>
      </c>
      <c r="H79" s="3" t="s">
        <v>19</v>
      </c>
      <c r="I79" s="3" t="s">
        <v>20</v>
      </c>
      <c r="J79" s="3" t="s">
        <v>21</v>
      </c>
      <c r="K79" s="3" t="s">
        <v>9</v>
      </c>
    </row>
    <row r="80" spans="7:11" x14ac:dyDescent="0.25">
      <c r="G80" s="7" t="s">
        <v>151</v>
      </c>
      <c r="H80">
        <v>203</v>
      </c>
      <c r="I80">
        <v>68</v>
      </c>
      <c r="J80">
        <v>271</v>
      </c>
      <c r="K80" s="14">
        <f>I80/J80*100</f>
        <v>25.092250922509223</v>
      </c>
    </row>
    <row r="81" spans="7:11" x14ac:dyDescent="0.25">
      <c r="G81" s="7" t="s">
        <v>152</v>
      </c>
      <c r="H81">
        <v>185</v>
      </c>
      <c r="I81">
        <v>61</v>
      </c>
      <c r="J81">
        <v>246</v>
      </c>
      <c r="K81" s="14">
        <f t="shared" ref="K81:K84" si="13">I81/J81*100</f>
        <v>24.796747967479675</v>
      </c>
    </row>
    <row r="82" spans="7:11" x14ac:dyDescent="0.25">
      <c r="G82" s="7" t="s">
        <v>153</v>
      </c>
      <c r="H82">
        <v>180</v>
      </c>
      <c r="I82">
        <v>59</v>
      </c>
      <c r="J82">
        <v>239</v>
      </c>
      <c r="K82" s="14">
        <f t="shared" si="13"/>
        <v>24.686192468619247</v>
      </c>
    </row>
    <row r="83" spans="7:11" x14ac:dyDescent="0.25">
      <c r="G83" s="7" t="s">
        <v>154</v>
      </c>
      <c r="H83">
        <v>185</v>
      </c>
      <c r="I83">
        <v>59</v>
      </c>
      <c r="J83">
        <v>244</v>
      </c>
      <c r="K83" s="14">
        <f t="shared" si="13"/>
        <v>24.180327868852459</v>
      </c>
    </row>
    <row r="84" spans="7:11" x14ac:dyDescent="0.25">
      <c r="G84" s="7" t="s">
        <v>21</v>
      </c>
      <c r="H84">
        <v>753</v>
      </c>
      <c r="I84">
        <v>247</v>
      </c>
      <c r="J84">
        <v>1000</v>
      </c>
      <c r="K84" s="14">
        <f t="shared" si="13"/>
        <v>24.7</v>
      </c>
    </row>
  </sheetData>
  <pageMargins left="0.7" right="0.7" top="0.75" bottom="0.75" header="0.3" footer="0.3"/>
  <pageSetup paperSize="9" orientation="portrait" r:id="rId38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2026-09-24T06:03:33Z</dcterms:created>
  <dcterms:modified xsi:type="dcterms:W3CDTF">2026-09-24T06:23:07Z</dcterms:modified>
</cp:coreProperties>
</file>