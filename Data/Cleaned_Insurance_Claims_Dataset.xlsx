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Insurance Claim Fraud Analysis\Data\"/>
    </mc:Choice>
  </mc:AlternateContent>
  <xr:revisionPtr revIDLastSave="0" documentId="8_{D8F94B7A-0831-4164-94F2-A119B15844E8}" xr6:coauthVersionLast="47" xr6:coauthVersionMax="47" xr10:uidLastSave="{00000000-0000-0000-0000-000000000000}"/>
  <bookViews>
    <workbookView xWindow="-120" yWindow="-120" windowWidth="20730" windowHeight="11160" xr2:uid="{B07F4542-18FF-43B6-A756-928BC7B13C0E}"/>
  </bookViews>
  <sheets>
    <sheet name="Cleaned Insurance Claim Dataset" sheetId="1" r:id="rId1"/>
  </sheets>
  <definedNames>
    <definedName name="_xlnm._FilterDatabase" localSheetId="0" hidden="1">'Cleaned Insurance Claim Dataset'!$G$1:$AR$1001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001" i="1" l="1"/>
  <c r="D1001" i="1" a="1"/>
  <c r="D1001" i="1" s="1"/>
  <c r="B1001" i="1"/>
  <c r="AC1000" i="1"/>
  <c r="D1000" i="1"/>
  <c r="D1000" i="1" a="1"/>
  <c r="B1000" i="1"/>
  <c r="AC999" i="1"/>
  <c r="D999" i="1" a="1"/>
  <c r="D999" i="1" s="1"/>
  <c r="B999" i="1"/>
  <c r="AC998" i="1"/>
  <c r="D998" i="1" a="1"/>
  <c r="D998" i="1" s="1"/>
  <c r="B998" i="1"/>
  <c r="AC997" i="1"/>
  <c r="D997" i="1"/>
  <c r="D997" i="1" a="1"/>
  <c r="B997" i="1"/>
  <c r="AC996" i="1"/>
  <c r="D996" i="1"/>
  <c r="D996" i="1" a="1"/>
  <c r="B996" i="1"/>
  <c r="AC995" i="1"/>
  <c r="D995" i="1" a="1"/>
  <c r="D995" i="1" s="1"/>
  <c r="B995" i="1"/>
  <c r="AC994" i="1"/>
  <c r="D994" i="1" a="1"/>
  <c r="D994" i="1" s="1"/>
  <c r="B994" i="1"/>
  <c r="AC993" i="1"/>
  <c r="D993" i="1"/>
  <c r="D993" i="1" a="1"/>
  <c r="B993" i="1"/>
  <c r="AC992" i="1"/>
  <c r="D992" i="1"/>
  <c r="D992" i="1" a="1"/>
  <c r="B992" i="1"/>
  <c r="AC991" i="1"/>
  <c r="D991" i="1" a="1"/>
  <c r="D991" i="1" s="1"/>
  <c r="B991" i="1"/>
  <c r="AC990" i="1"/>
  <c r="D990" i="1" a="1"/>
  <c r="D990" i="1" s="1"/>
  <c r="B990" i="1"/>
  <c r="AC989" i="1"/>
  <c r="D989" i="1"/>
  <c r="D989" i="1" a="1"/>
  <c r="B989" i="1"/>
  <c r="AC988" i="1"/>
  <c r="D988" i="1"/>
  <c r="D988" i="1" a="1"/>
  <c r="B988" i="1"/>
  <c r="AC987" i="1"/>
  <c r="D987" i="1" a="1"/>
  <c r="D987" i="1" s="1"/>
  <c r="B987" i="1"/>
  <c r="AC986" i="1"/>
  <c r="D986" i="1" a="1"/>
  <c r="D986" i="1" s="1"/>
  <c r="B986" i="1"/>
  <c r="AC985" i="1"/>
  <c r="D985" i="1"/>
  <c r="D985" i="1" a="1"/>
  <c r="B985" i="1"/>
  <c r="AC984" i="1"/>
  <c r="D984" i="1"/>
  <c r="D984" i="1" a="1"/>
  <c r="B984" i="1"/>
  <c r="AC983" i="1"/>
  <c r="D983" i="1" a="1"/>
  <c r="D983" i="1" s="1"/>
  <c r="B983" i="1"/>
  <c r="AC982" i="1"/>
  <c r="D982" i="1" a="1"/>
  <c r="D982" i="1" s="1"/>
  <c r="B982" i="1"/>
  <c r="AC981" i="1"/>
  <c r="D981" i="1"/>
  <c r="D981" i="1" a="1"/>
  <c r="B981" i="1"/>
  <c r="AC980" i="1"/>
  <c r="D980" i="1"/>
  <c r="D980" i="1" a="1"/>
  <c r="B980" i="1"/>
  <c r="AC979" i="1"/>
  <c r="D979" i="1" a="1"/>
  <c r="D979" i="1" s="1"/>
  <c r="B979" i="1"/>
  <c r="AC978" i="1"/>
  <c r="D978" i="1" a="1"/>
  <c r="D978" i="1" s="1"/>
  <c r="B978" i="1"/>
  <c r="AC977" i="1"/>
  <c r="D977" i="1"/>
  <c r="D977" i="1" a="1"/>
  <c r="B977" i="1"/>
  <c r="AC976" i="1"/>
  <c r="D976" i="1" a="1"/>
  <c r="D976" i="1" s="1"/>
  <c r="B976" i="1"/>
  <c r="AC975" i="1"/>
  <c r="D975" i="1" a="1"/>
  <c r="D975" i="1" s="1"/>
  <c r="B975" i="1"/>
  <c r="AC974" i="1"/>
  <c r="D974" i="1" a="1"/>
  <c r="D974" i="1" s="1"/>
  <c r="B974" i="1"/>
  <c r="AC973" i="1"/>
  <c r="D973" i="1"/>
  <c r="D973" i="1" a="1"/>
  <c r="B973" i="1"/>
  <c r="AC972" i="1"/>
  <c r="D972" i="1" a="1"/>
  <c r="D972" i="1" s="1"/>
  <c r="B972" i="1"/>
  <c r="AC971" i="1"/>
  <c r="D971" i="1"/>
  <c r="D971" i="1" a="1"/>
  <c r="B971" i="1"/>
  <c r="AC970" i="1"/>
  <c r="D970" i="1" a="1"/>
  <c r="D970" i="1" s="1"/>
  <c r="B970" i="1"/>
  <c r="AC969" i="1"/>
  <c r="D969" i="1"/>
  <c r="D969" i="1" a="1"/>
  <c r="B969" i="1"/>
  <c r="AC968" i="1"/>
  <c r="D968" i="1" a="1"/>
  <c r="D968" i="1" s="1"/>
  <c r="B968" i="1"/>
  <c r="AC967" i="1"/>
  <c r="D967" i="1"/>
  <c r="D967" i="1" a="1"/>
  <c r="B967" i="1"/>
  <c r="AC966" i="1"/>
  <c r="D966" i="1" a="1"/>
  <c r="D966" i="1" s="1"/>
  <c r="B966" i="1"/>
  <c r="AC965" i="1"/>
  <c r="D965" i="1"/>
  <c r="D965" i="1" a="1"/>
  <c r="B965" i="1"/>
  <c r="AC964" i="1"/>
  <c r="D964" i="1" a="1"/>
  <c r="D964" i="1" s="1"/>
  <c r="B964" i="1"/>
  <c r="AC963" i="1"/>
  <c r="D963" i="1"/>
  <c r="D963" i="1" a="1"/>
  <c r="B963" i="1"/>
  <c r="AC962" i="1"/>
  <c r="D962" i="1" a="1"/>
  <c r="D962" i="1" s="1"/>
  <c r="B962" i="1"/>
  <c r="AC961" i="1"/>
  <c r="D961" i="1"/>
  <c r="D961" i="1" a="1"/>
  <c r="B961" i="1"/>
  <c r="AC960" i="1"/>
  <c r="D960" i="1" a="1"/>
  <c r="D960" i="1" s="1"/>
  <c r="B960" i="1"/>
  <c r="AC959" i="1"/>
  <c r="D959" i="1"/>
  <c r="D959" i="1" a="1"/>
  <c r="B959" i="1"/>
  <c r="AC958" i="1"/>
  <c r="D958" i="1" a="1"/>
  <c r="D958" i="1" s="1"/>
  <c r="B958" i="1"/>
  <c r="AC957" i="1"/>
  <c r="D957" i="1"/>
  <c r="D957" i="1" a="1"/>
  <c r="B957" i="1"/>
  <c r="AC956" i="1"/>
  <c r="D956" i="1" a="1"/>
  <c r="D956" i="1" s="1"/>
  <c r="B956" i="1"/>
  <c r="AC955" i="1"/>
  <c r="D955" i="1"/>
  <c r="D955" i="1" a="1"/>
  <c r="B955" i="1"/>
  <c r="AC954" i="1"/>
  <c r="D954" i="1" a="1"/>
  <c r="D954" i="1" s="1"/>
  <c r="B954" i="1"/>
  <c r="AC953" i="1"/>
  <c r="D953" i="1"/>
  <c r="D953" i="1" a="1"/>
  <c r="B953" i="1"/>
  <c r="AC952" i="1"/>
  <c r="D952" i="1" a="1"/>
  <c r="D952" i="1" s="1"/>
  <c r="B952" i="1"/>
  <c r="AC951" i="1"/>
  <c r="D951" i="1"/>
  <c r="D951" i="1" a="1"/>
  <c r="B951" i="1"/>
  <c r="AC950" i="1"/>
  <c r="D950" i="1" a="1"/>
  <c r="D950" i="1" s="1"/>
  <c r="B950" i="1"/>
  <c r="AC949" i="1"/>
  <c r="D949" i="1"/>
  <c r="D949" i="1" a="1"/>
  <c r="B949" i="1"/>
  <c r="AC948" i="1"/>
  <c r="D948" i="1" a="1"/>
  <c r="D948" i="1" s="1"/>
  <c r="B948" i="1"/>
  <c r="AC947" i="1"/>
  <c r="D947" i="1"/>
  <c r="D947" i="1" a="1"/>
  <c r="B947" i="1"/>
  <c r="AC946" i="1"/>
  <c r="D946" i="1" a="1"/>
  <c r="D946" i="1" s="1"/>
  <c r="B946" i="1"/>
  <c r="AC945" i="1"/>
  <c r="D945" i="1"/>
  <c r="D945" i="1" a="1"/>
  <c r="B945" i="1"/>
  <c r="AC944" i="1"/>
  <c r="D944" i="1" a="1"/>
  <c r="D944" i="1" s="1"/>
  <c r="B944" i="1"/>
  <c r="AC943" i="1"/>
  <c r="D943" i="1"/>
  <c r="D943" i="1" a="1"/>
  <c r="B943" i="1"/>
  <c r="AC942" i="1"/>
  <c r="D942" i="1" a="1"/>
  <c r="D942" i="1" s="1"/>
  <c r="B942" i="1"/>
  <c r="AC941" i="1"/>
  <c r="D941" i="1"/>
  <c r="D941" i="1" a="1"/>
  <c r="B941" i="1"/>
  <c r="AC940" i="1"/>
  <c r="D940" i="1" a="1"/>
  <c r="D940" i="1" s="1"/>
  <c r="B940" i="1"/>
  <c r="AC939" i="1"/>
  <c r="D939" i="1"/>
  <c r="D939" i="1" a="1"/>
  <c r="B939" i="1"/>
  <c r="AC938" i="1"/>
  <c r="D938" i="1" a="1"/>
  <c r="D938" i="1" s="1"/>
  <c r="B938" i="1"/>
  <c r="AC937" i="1"/>
  <c r="D937" i="1"/>
  <c r="D937" i="1" a="1"/>
  <c r="B937" i="1"/>
  <c r="AC936" i="1"/>
  <c r="D936" i="1" a="1"/>
  <c r="D936" i="1" s="1"/>
  <c r="B936" i="1"/>
  <c r="AC935" i="1"/>
  <c r="D935" i="1"/>
  <c r="D935" i="1" a="1"/>
  <c r="B935" i="1"/>
  <c r="AC934" i="1"/>
  <c r="D934" i="1" a="1"/>
  <c r="D934" i="1" s="1"/>
  <c r="B934" i="1"/>
  <c r="AC933" i="1"/>
  <c r="D933" i="1"/>
  <c r="D933" i="1" a="1"/>
  <c r="B933" i="1"/>
  <c r="AC932" i="1"/>
  <c r="D932" i="1" a="1"/>
  <c r="D932" i="1" s="1"/>
  <c r="B932" i="1"/>
  <c r="AC931" i="1"/>
  <c r="D931" i="1"/>
  <c r="D931" i="1" a="1"/>
  <c r="B931" i="1"/>
  <c r="AC930" i="1"/>
  <c r="D930" i="1" a="1"/>
  <c r="D930" i="1" s="1"/>
  <c r="B930" i="1"/>
  <c r="AC929" i="1"/>
  <c r="D929" i="1"/>
  <c r="D929" i="1" a="1"/>
  <c r="B929" i="1"/>
  <c r="AC928" i="1"/>
  <c r="D928" i="1" a="1"/>
  <c r="D928" i="1" s="1"/>
  <c r="B928" i="1"/>
  <c r="AC927" i="1"/>
  <c r="D927" i="1"/>
  <c r="D927" i="1" a="1"/>
  <c r="B927" i="1"/>
  <c r="AC926" i="1"/>
  <c r="D926" i="1" a="1"/>
  <c r="D926" i="1" s="1"/>
  <c r="B926" i="1"/>
  <c r="AC925" i="1"/>
  <c r="D925" i="1"/>
  <c r="D925" i="1" a="1"/>
  <c r="B925" i="1"/>
  <c r="AC924" i="1"/>
  <c r="D924" i="1" a="1"/>
  <c r="D924" i="1" s="1"/>
  <c r="B924" i="1"/>
  <c r="AC923" i="1"/>
  <c r="D923" i="1"/>
  <c r="D923" i="1" a="1"/>
  <c r="B923" i="1"/>
  <c r="AC922" i="1"/>
  <c r="D922" i="1" a="1"/>
  <c r="D922" i="1" s="1"/>
  <c r="B922" i="1"/>
  <c r="AC921" i="1"/>
  <c r="D921" i="1"/>
  <c r="D921" i="1" a="1"/>
  <c r="B921" i="1"/>
  <c r="AC920" i="1"/>
  <c r="D920" i="1" a="1"/>
  <c r="D920" i="1" s="1"/>
  <c r="B920" i="1"/>
  <c r="AC919" i="1"/>
  <c r="D919" i="1"/>
  <c r="D919" i="1" a="1"/>
  <c r="B919" i="1"/>
  <c r="AC918" i="1"/>
  <c r="D918" i="1" a="1"/>
  <c r="D918" i="1" s="1"/>
  <c r="B918" i="1"/>
  <c r="AC917" i="1"/>
  <c r="D917" i="1"/>
  <c r="D917" i="1" a="1"/>
  <c r="B917" i="1"/>
  <c r="AC916" i="1"/>
  <c r="D916" i="1" a="1"/>
  <c r="D916" i="1" s="1"/>
  <c r="B916" i="1"/>
  <c r="AC915" i="1"/>
  <c r="D915" i="1" a="1"/>
  <c r="D915" i="1" s="1"/>
  <c r="B915" i="1"/>
  <c r="AC914" i="1"/>
  <c r="D914" i="1" a="1"/>
  <c r="D914" i="1" s="1"/>
  <c r="B914" i="1"/>
  <c r="AC913" i="1"/>
  <c r="D913" i="1"/>
  <c r="D913" i="1" a="1"/>
  <c r="B913" i="1"/>
  <c r="AC912" i="1"/>
  <c r="D912" i="1"/>
  <c r="D912" i="1" a="1"/>
  <c r="B912" i="1"/>
  <c r="AC911" i="1"/>
  <c r="D911" i="1" a="1"/>
  <c r="D911" i="1" s="1"/>
  <c r="B911" i="1"/>
  <c r="AC910" i="1"/>
  <c r="D910" i="1" a="1"/>
  <c r="D910" i="1" s="1"/>
  <c r="B910" i="1"/>
  <c r="AC909" i="1"/>
  <c r="D909" i="1"/>
  <c r="D909" i="1" a="1"/>
  <c r="B909" i="1"/>
  <c r="AC908" i="1"/>
  <c r="D908" i="1"/>
  <c r="D908" i="1" a="1"/>
  <c r="B908" i="1"/>
  <c r="AC907" i="1"/>
  <c r="D907" i="1" a="1"/>
  <c r="D907" i="1" s="1"/>
  <c r="B907" i="1"/>
  <c r="AC906" i="1"/>
  <c r="D906" i="1" a="1"/>
  <c r="D906" i="1" s="1"/>
  <c r="B906" i="1"/>
  <c r="AC905" i="1"/>
  <c r="D905" i="1"/>
  <c r="D905" i="1" a="1"/>
  <c r="B905" i="1"/>
  <c r="AC904" i="1"/>
  <c r="D904" i="1"/>
  <c r="D904" i="1" a="1"/>
  <c r="B904" i="1"/>
  <c r="AC903" i="1"/>
  <c r="D903" i="1" a="1"/>
  <c r="D903" i="1" s="1"/>
  <c r="B903" i="1"/>
  <c r="AC902" i="1"/>
  <c r="D902" i="1" a="1"/>
  <c r="D902" i="1" s="1"/>
  <c r="B902" i="1"/>
  <c r="AC901" i="1"/>
  <c r="D901" i="1"/>
  <c r="D901" i="1" a="1"/>
  <c r="B901" i="1"/>
  <c r="AC900" i="1"/>
  <c r="D900" i="1"/>
  <c r="D900" i="1" a="1"/>
  <c r="B900" i="1"/>
  <c r="AC899" i="1"/>
  <c r="D899" i="1" a="1"/>
  <c r="D899" i="1" s="1"/>
  <c r="B899" i="1"/>
  <c r="AC898" i="1"/>
  <c r="D898" i="1" a="1"/>
  <c r="D898" i="1" s="1"/>
  <c r="B898" i="1"/>
  <c r="AC897" i="1"/>
  <c r="D897" i="1"/>
  <c r="D897" i="1" a="1"/>
  <c r="B897" i="1"/>
  <c r="AC896" i="1"/>
  <c r="D896" i="1"/>
  <c r="D896" i="1" a="1"/>
  <c r="B896" i="1"/>
  <c r="AC895" i="1"/>
  <c r="D895" i="1" a="1"/>
  <c r="D895" i="1" s="1"/>
  <c r="B895" i="1"/>
  <c r="AC894" i="1"/>
  <c r="D894" i="1" a="1"/>
  <c r="D894" i="1" s="1"/>
  <c r="B894" i="1"/>
  <c r="AC893" i="1"/>
  <c r="D893" i="1"/>
  <c r="D893" i="1" a="1"/>
  <c r="B893" i="1"/>
  <c r="AC892" i="1"/>
  <c r="D892" i="1"/>
  <c r="D892" i="1" a="1"/>
  <c r="B892" i="1"/>
  <c r="AC891" i="1"/>
  <c r="D891" i="1" a="1"/>
  <c r="D891" i="1" s="1"/>
  <c r="B891" i="1"/>
  <c r="AC890" i="1"/>
  <c r="D890" i="1" a="1"/>
  <c r="D890" i="1" s="1"/>
  <c r="B890" i="1"/>
  <c r="AC889" i="1"/>
  <c r="D889" i="1"/>
  <c r="D889" i="1" a="1"/>
  <c r="B889" i="1"/>
  <c r="AC888" i="1"/>
  <c r="D888" i="1"/>
  <c r="D888" i="1" a="1"/>
  <c r="B888" i="1"/>
  <c r="AC887" i="1"/>
  <c r="D887" i="1" a="1"/>
  <c r="D887" i="1" s="1"/>
  <c r="B887" i="1"/>
  <c r="AC886" i="1"/>
  <c r="D886" i="1" a="1"/>
  <c r="D886" i="1" s="1"/>
  <c r="B886" i="1"/>
  <c r="AC885" i="1"/>
  <c r="D885" i="1"/>
  <c r="D885" i="1" a="1"/>
  <c r="B885" i="1"/>
  <c r="AC884" i="1"/>
  <c r="D884" i="1"/>
  <c r="D884" i="1" a="1"/>
  <c r="B884" i="1"/>
  <c r="AC883" i="1"/>
  <c r="D883" i="1" a="1"/>
  <c r="D883" i="1" s="1"/>
  <c r="B883" i="1"/>
  <c r="AC882" i="1"/>
  <c r="D882" i="1" a="1"/>
  <c r="D882" i="1" s="1"/>
  <c r="B882" i="1"/>
  <c r="AC881" i="1"/>
  <c r="D881" i="1"/>
  <c r="D881" i="1" a="1"/>
  <c r="B881" i="1"/>
  <c r="AC880" i="1"/>
  <c r="D880" i="1"/>
  <c r="D880" i="1" a="1"/>
  <c r="B880" i="1"/>
  <c r="AC879" i="1"/>
  <c r="D879" i="1" a="1"/>
  <c r="D879" i="1" s="1"/>
  <c r="B879" i="1"/>
  <c r="AC878" i="1"/>
  <c r="D878" i="1" a="1"/>
  <c r="D878" i="1" s="1"/>
  <c r="B878" i="1"/>
  <c r="AC877" i="1"/>
  <c r="D877" i="1"/>
  <c r="D877" i="1" a="1"/>
  <c r="B877" i="1"/>
  <c r="AC876" i="1"/>
  <c r="D876" i="1"/>
  <c r="D876" i="1" a="1"/>
  <c r="B876" i="1"/>
  <c r="AC875" i="1"/>
  <c r="D875" i="1" a="1"/>
  <c r="D875" i="1" s="1"/>
  <c r="B875" i="1"/>
  <c r="AC874" i="1"/>
  <c r="D874" i="1" a="1"/>
  <c r="D874" i="1" s="1"/>
  <c r="B874" i="1"/>
  <c r="AC873" i="1"/>
  <c r="D873" i="1"/>
  <c r="D873" i="1" a="1"/>
  <c r="B873" i="1"/>
  <c r="AC872" i="1"/>
  <c r="D872" i="1"/>
  <c r="D872" i="1" a="1"/>
  <c r="B872" i="1"/>
  <c r="AC871" i="1"/>
  <c r="D871" i="1" a="1"/>
  <c r="D871" i="1" s="1"/>
  <c r="B871" i="1"/>
  <c r="AC870" i="1"/>
  <c r="D870" i="1" a="1"/>
  <c r="D870" i="1" s="1"/>
  <c r="B870" i="1"/>
  <c r="AC869" i="1"/>
  <c r="D869" i="1"/>
  <c r="D869" i="1" a="1"/>
  <c r="B869" i="1"/>
  <c r="AC868" i="1"/>
  <c r="D868" i="1"/>
  <c r="D868" i="1" a="1"/>
  <c r="B868" i="1"/>
  <c r="AC867" i="1"/>
  <c r="D867" i="1" a="1"/>
  <c r="D867" i="1" s="1"/>
  <c r="B867" i="1"/>
  <c r="AC866" i="1"/>
  <c r="D866" i="1" a="1"/>
  <c r="D866" i="1" s="1"/>
  <c r="B866" i="1"/>
  <c r="AC865" i="1"/>
  <c r="D865" i="1"/>
  <c r="D865" i="1" a="1"/>
  <c r="B865" i="1"/>
  <c r="AC864" i="1"/>
  <c r="D864" i="1"/>
  <c r="D864" i="1" a="1"/>
  <c r="B864" i="1"/>
  <c r="AC863" i="1"/>
  <c r="D863" i="1" a="1"/>
  <c r="D863" i="1" s="1"/>
  <c r="B863" i="1"/>
  <c r="AC862" i="1"/>
  <c r="D862" i="1" a="1"/>
  <c r="D862" i="1" s="1"/>
  <c r="B862" i="1"/>
  <c r="AC861" i="1"/>
  <c r="D861" i="1"/>
  <c r="D861" i="1" a="1"/>
  <c r="B861" i="1"/>
  <c r="AC860" i="1"/>
  <c r="D860" i="1"/>
  <c r="D860" i="1" a="1"/>
  <c r="B860" i="1"/>
  <c r="AC859" i="1"/>
  <c r="D859" i="1" a="1"/>
  <c r="D859" i="1" s="1"/>
  <c r="B859" i="1"/>
  <c r="AC858" i="1"/>
  <c r="D858" i="1" a="1"/>
  <c r="D858" i="1" s="1"/>
  <c r="B858" i="1"/>
  <c r="AC857" i="1"/>
  <c r="D857" i="1"/>
  <c r="D857" i="1" a="1"/>
  <c r="B857" i="1"/>
  <c r="AC856" i="1"/>
  <c r="D856" i="1"/>
  <c r="D856" i="1" a="1"/>
  <c r="B856" i="1"/>
  <c r="AC855" i="1"/>
  <c r="D855" i="1" a="1"/>
  <c r="D855" i="1" s="1"/>
  <c r="B855" i="1"/>
  <c r="AC854" i="1"/>
  <c r="D854" i="1" a="1"/>
  <c r="D854" i="1" s="1"/>
  <c r="B854" i="1"/>
  <c r="AC853" i="1"/>
  <c r="D853" i="1"/>
  <c r="D853" i="1" a="1"/>
  <c r="B853" i="1"/>
  <c r="AC852" i="1"/>
  <c r="D852" i="1"/>
  <c r="D852" i="1" a="1"/>
  <c r="B852" i="1"/>
  <c r="AC851" i="1"/>
  <c r="D851" i="1" a="1"/>
  <c r="D851" i="1" s="1"/>
  <c r="B851" i="1"/>
  <c r="AC850" i="1"/>
  <c r="D850" i="1" a="1"/>
  <c r="D850" i="1" s="1"/>
  <c r="B850" i="1"/>
  <c r="AC849" i="1"/>
  <c r="D849" i="1"/>
  <c r="D849" i="1" a="1"/>
  <c r="B849" i="1"/>
  <c r="AC848" i="1"/>
  <c r="D848" i="1"/>
  <c r="D848" i="1" a="1"/>
  <c r="B848" i="1"/>
  <c r="AC847" i="1"/>
  <c r="D847" i="1" a="1"/>
  <c r="D847" i="1" s="1"/>
  <c r="B847" i="1"/>
  <c r="AC846" i="1"/>
  <c r="D846" i="1" a="1"/>
  <c r="D846" i="1" s="1"/>
  <c r="B846" i="1"/>
  <c r="AC845" i="1"/>
  <c r="D845" i="1"/>
  <c r="D845" i="1" a="1"/>
  <c r="B845" i="1"/>
  <c r="AC844" i="1"/>
  <c r="D844" i="1"/>
  <c r="D844" i="1" a="1"/>
  <c r="B844" i="1"/>
  <c r="AC843" i="1"/>
  <c r="D843" i="1" a="1"/>
  <c r="D843" i="1" s="1"/>
  <c r="B843" i="1"/>
  <c r="AC842" i="1"/>
  <c r="D842" i="1" a="1"/>
  <c r="D842" i="1" s="1"/>
  <c r="B842" i="1"/>
  <c r="AC841" i="1"/>
  <c r="D841" i="1"/>
  <c r="D841" i="1" a="1"/>
  <c r="B841" i="1"/>
  <c r="AC840" i="1"/>
  <c r="D840" i="1"/>
  <c r="D840" i="1" a="1"/>
  <c r="B840" i="1"/>
  <c r="AC839" i="1"/>
  <c r="D839" i="1" a="1"/>
  <c r="D839" i="1" s="1"/>
  <c r="B839" i="1"/>
  <c r="AC838" i="1"/>
  <c r="D838" i="1" a="1"/>
  <c r="D838" i="1" s="1"/>
  <c r="B838" i="1"/>
  <c r="AC837" i="1"/>
  <c r="D837" i="1"/>
  <c r="D837" i="1" a="1"/>
  <c r="B837" i="1"/>
  <c r="AC836" i="1"/>
  <c r="D836" i="1"/>
  <c r="D836" i="1" a="1"/>
  <c r="B836" i="1"/>
  <c r="AC835" i="1"/>
  <c r="D835" i="1" a="1"/>
  <c r="D835" i="1" s="1"/>
  <c r="B835" i="1"/>
  <c r="AC834" i="1"/>
  <c r="D834" i="1" a="1"/>
  <c r="D834" i="1" s="1"/>
  <c r="B834" i="1"/>
  <c r="AC833" i="1"/>
  <c r="D833" i="1"/>
  <c r="D833" i="1" a="1"/>
  <c r="B833" i="1"/>
  <c r="AC832" i="1"/>
  <c r="D832" i="1"/>
  <c r="D832" i="1" a="1"/>
  <c r="B832" i="1"/>
  <c r="AC831" i="1"/>
  <c r="D831" i="1" a="1"/>
  <c r="D831" i="1" s="1"/>
  <c r="B831" i="1"/>
  <c r="AC830" i="1"/>
  <c r="D830" i="1" a="1"/>
  <c r="D830" i="1" s="1"/>
  <c r="B830" i="1"/>
  <c r="AC829" i="1"/>
  <c r="D829" i="1" a="1"/>
  <c r="D829" i="1" s="1"/>
  <c r="B829" i="1"/>
  <c r="AC828" i="1"/>
  <c r="D828" i="1"/>
  <c r="D828" i="1" a="1"/>
  <c r="B828" i="1"/>
  <c r="AC827" i="1"/>
  <c r="D827" i="1" a="1"/>
  <c r="D827" i="1" s="1"/>
  <c r="B827" i="1"/>
  <c r="AC826" i="1"/>
  <c r="D826" i="1"/>
  <c r="D826" i="1" a="1"/>
  <c r="B826" i="1"/>
  <c r="AC825" i="1"/>
  <c r="D825" i="1"/>
  <c r="D825" i="1" a="1"/>
  <c r="B825" i="1"/>
  <c r="AC824" i="1"/>
  <c r="D824" i="1"/>
  <c r="D824" i="1" a="1"/>
  <c r="B824" i="1"/>
  <c r="AC823" i="1"/>
  <c r="D823" i="1" a="1"/>
  <c r="D823" i="1" s="1"/>
  <c r="B823" i="1"/>
  <c r="AC822" i="1"/>
  <c r="D822" i="1" a="1"/>
  <c r="D822" i="1" s="1"/>
  <c r="B822" i="1"/>
  <c r="AC821" i="1"/>
  <c r="D821" i="1" a="1"/>
  <c r="D821" i="1" s="1"/>
  <c r="B821" i="1"/>
  <c r="AC820" i="1"/>
  <c r="D820" i="1"/>
  <c r="D820" i="1" a="1"/>
  <c r="B820" i="1"/>
  <c r="AC819" i="1"/>
  <c r="D819" i="1" a="1"/>
  <c r="D819" i="1" s="1"/>
  <c r="B819" i="1"/>
  <c r="AC818" i="1"/>
  <c r="D818" i="1"/>
  <c r="D818" i="1" a="1"/>
  <c r="B818" i="1"/>
  <c r="AC817" i="1"/>
  <c r="D817" i="1"/>
  <c r="D817" i="1" a="1"/>
  <c r="B817" i="1"/>
  <c r="AC816" i="1"/>
  <c r="D816" i="1"/>
  <c r="D816" i="1" a="1"/>
  <c r="B816" i="1"/>
  <c r="AC815" i="1"/>
  <c r="D815" i="1" a="1"/>
  <c r="D815" i="1" s="1"/>
  <c r="B815" i="1"/>
  <c r="AC814" i="1"/>
  <c r="D814" i="1"/>
  <c r="D814" i="1" a="1"/>
  <c r="B814" i="1"/>
  <c r="AC813" i="1"/>
  <c r="D813" i="1"/>
  <c r="D813" i="1" a="1"/>
  <c r="B813" i="1"/>
  <c r="AC812" i="1"/>
  <c r="D812" i="1"/>
  <c r="D812" i="1" a="1"/>
  <c r="B812" i="1"/>
  <c r="AC811" i="1"/>
  <c r="D811" i="1" a="1"/>
  <c r="D811" i="1" s="1"/>
  <c r="B811" i="1"/>
  <c r="AC810" i="1"/>
  <c r="D810" i="1"/>
  <c r="D810" i="1" a="1"/>
  <c r="B810" i="1"/>
  <c r="AC809" i="1"/>
  <c r="D809" i="1"/>
  <c r="D809" i="1" a="1"/>
  <c r="B809" i="1"/>
  <c r="AC808" i="1"/>
  <c r="D808" i="1"/>
  <c r="D808" i="1" a="1"/>
  <c r="B808" i="1"/>
  <c r="AC807" i="1"/>
  <c r="D807" i="1" a="1"/>
  <c r="D807" i="1" s="1"/>
  <c r="B807" i="1"/>
  <c r="AC806" i="1"/>
  <c r="D806" i="1"/>
  <c r="D806" i="1" a="1"/>
  <c r="B806" i="1"/>
  <c r="AC805" i="1"/>
  <c r="D805" i="1"/>
  <c r="D805" i="1" a="1"/>
  <c r="B805" i="1"/>
  <c r="AC804" i="1"/>
  <c r="D804" i="1"/>
  <c r="D804" i="1" a="1"/>
  <c r="B804" i="1"/>
  <c r="AC803" i="1"/>
  <c r="D803" i="1" a="1"/>
  <c r="D803" i="1" s="1"/>
  <c r="B803" i="1"/>
  <c r="AC802" i="1"/>
  <c r="D802" i="1"/>
  <c r="D802" i="1" a="1"/>
  <c r="B802" i="1"/>
  <c r="AC801" i="1"/>
  <c r="D801" i="1"/>
  <c r="D801" i="1" a="1"/>
  <c r="B801" i="1"/>
  <c r="AC800" i="1"/>
  <c r="D800" i="1"/>
  <c r="D800" i="1" a="1"/>
  <c r="B800" i="1"/>
  <c r="AC799" i="1"/>
  <c r="D799" i="1" a="1"/>
  <c r="D799" i="1" s="1"/>
  <c r="B799" i="1"/>
  <c r="AC798" i="1"/>
  <c r="D798" i="1"/>
  <c r="D798" i="1" a="1"/>
  <c r="B798" i="1"/>
  <c r="AC797" i="1"/>
  <c r="D797" i="1"/>
  <c r="D797" i="1" a="1"/>
  <c r="B797" i="1"/>
  <c r="AC796" i="1"/>
  <c r="D796" i="1"/>
  <c r="D796" i="1" a="1"/>
  <c r="B796" i="1"/>
  <c r="AC795" i="1"/>
  <c r="D795" i="1" a="1"/>
  <c r="D795" i="1" s="1"/>
  <c r="B795" i="1"/>
  <c r="AC794" i="1"/>
  <c r="D794" i="1"/>
  <c r="D794" i="1" a="1"/>
  <c r="B794" i="1"/>
  <c r="AC793" i="1"/>
  <c r="D793" i="1"/>
  <c r="D793" i="1" a="1"/>
  <c r="B793" i="1"/>
  <c r="AC792" i="1"/>
  <c r="D792" i="1"/>
  <c r="D792" i="1" a="1"/>
  <c r="B792" i="1"/>
  <c r="AC791" i="1"/>
  <c r="D791" i="1" a="1"/>
  <c r="D791" i="1" s="1"/>
  <c r="B791" i="1"/>
  <c r="AC790" i="1"/>
  <c r="D790" i="1"/>
  <c r="D790" i="1" a="1"/>
  <c r="B790" i="1"/>
  <c r="AC789" i="1"/>
  <c r="D789" i="1"/>
  <c r="D789" i="1" a="1"/>
  <c r="B789" i="1"/>
  <c r="AC788" i="1"/>
  <c r="D788" i="1" a="1"/>
  <c r="D788" i="1" s="1"/>
  <c r="B788" i="1"/>
  <c r="AC787" i="1"/>
  <c r="D787" i="1" a="1"/>
  <c r="D787" i="1" s="1"/>
  <c r="B787" i="1"/>
  <c r="AC786" i="1"/>
  <c r="D786" i="1"/>
  <c r="D786" i="1" a="1"/>
  <c r="B786" i="1"/>
  <c r="AC785" i="1"/>
  <c r="D785" i="1"/>
  <c r="D785" i="1" a="1"/>
  <c r="B785" i="1"/>
  <c r="AC784" i="1"/>
  <c r="D784" i="1" a="1"/>
  <c r="D784" i="1" s="1"/>
  <c r="B784" i="1"/>
  <c r="AC783" i="1"/>
  <c r="D783" i="1" a="1"/>
  <c r="D783" i="1" s="1"/>
  <c r="B783" i="1"/>
  <c r="AC782" i="1"/>
  <c r="D782" i="1"/>
  <c r="D782" i="1" a="1"/>
  <c r="B782" i="1"/>
  <c r="AC781" i="1"/>
  <c r="D781" i="1"/>
  <c r="D781" i="1" a="1"/>
  <c r="B781" i="1"/>
  <c r="AC780" i="1"/>
  <c r="D780" i="1" a="1"/>
  <c r="D780" i="1" s="1"/>
  <c r="B780" i="1"/>
  <c r="AC779" i="1"/>
  <c r="D779" i="1" a="1"/>
  <c r="D779" i="1" s="1"/>
  <c r="B779" i="1"/>
  <c r="AC778" i="1"/>
  <c r="D778" i="1"/>
  <c r="D778" i="1" a="1"/>
  <c r="B778" i="1"/>
  <c r="AC777" i="1"/>
  <c r="D777" i="1"/>
  <c r="D777" i="1" a="1"/>
  <c r="B777" i="1"/>
  <c r="AC776" i="1"/>
  <c r="D776" i="1" a="1"/>
  <c r="D776" i="1" s="1"/>
  <c r="B776" i="1"/>
  <c r="AC775" i="1"/>
  <c r="D775" i="1" a="1"/>
  <c r="D775" i="1" s="1"/>
  <c r="B775" i="1"/>
  <c r="AC774" i="1"/>
  <c r="D774" i="1"/>
  <c r="D774" i="1" a="1"/>
  <c r="B774" i="1"/>
  <c r="AC773" i="1"/>
  <c r="D773" i="1"/>
  <c r="D773" i="1" a="1"/>
  <c r="B773" i="1"/>
  <c r="AC772" i="1"/>
  <c r="D772" i="1" a="1"/>
  <c r="D772" i="1" s="1"/>
  <c r="B772" i="1"/>
  <c r="AC771" i="1"/>
  <c r="D771" i="1" a="1"/>
  <c r="D771" i="1" s="1"/>
  <c r="B771" i="1"/>
  <c r="AC770" i="1"/>
  <c r="D770" i="1"/>
  <c r="D770" i="1" a="1"/>
  <c r="B770" i="1"/>
  <c r="AC769" i="1"/>
  <c r="D769" i="1"/>
  <c r="D769" i="1" a="1"/>
  <c r="B769" i="1"/>
  <c r="AC768" i="1"/>
  <c r="D768" i="1" a="1"/>
  <c r="D768" i="1" s="1"/>
  <c r="B768" i="1"/>
  <c r="AC767" i="1"/>
  <c r="D767" i="1" a="1"/>
  <c r="D767" i="1" s="1"/>
  <c r="B767" i="1"/>
  <c r="AC766" i="1"/>
  <c r="D766" i="1"/>
  <c r="D766" i="1" a="1"/>
  <c r="B766" i="1"/>
  <c r="AC765" i="1"/>
  <c r="D765" i="1"/>
  <c r="D765" i="1" a="1"/>
  <c r="B765" i="1"/>
  <c r="AC764" i="1"/>
  <c r="D764" i="1" a="1"/>
  <c r="D764" i="1" s="1"/>
  <c r="B764" i="1"/>
  <c r="AC763" i="1"/>
  <c r="D763" i="1" a="1"/>
  <c r="D763" i="1" s="1"/>
  <c r="B763" i="1"/>
  <c r="AC762" i="1"/>
  <c r="D762" i="1"/>
  <c r="D762" i="1" a="1"/>
  <c r="B762" i="1"/>
  <c r="AC761" i="1"/>
  <c r="D761" i="1"/>
  <c r="D761" i="1" a="1"/>
  <c r="B761" i="1"/>
  <c r="AC760" i="1"/>
  <c r="D760" i="1" a="1"/>
  <c r="D760" i="1" s="1"/>
  <c r="B760" i="1"/>
  <c r="AC759" i="1"/>
  <c r="D759" i="1" a="1"/>
  <c r="D759" i="1" s="1"/>
  <c r="B759" i="1"/>
  <c r="AC758" i="1"/>
  <c r="D758" i="1" a="1"/>
  <c r="D758" i="1" s="1"/>
  <c r="B758" i="1"/>
  <c r="AC757" i="1"/>
  <c r="D757" i="1"/>
  <c r="D757" i="1" a="1"/>
  <c r="B757" i="1"/>
  <c r="AC756" i="1"/>
  <c r="D756" i="1" a="1"/>
  <c r="D756" i="1" s="1"/>
  <c r="B756" i="1"/>
  <c r="AC755" i="1"/>
  <c r="D755" i="1" a="1"/>
  <c r="D755" i="1" s="1"/>
  <c r="B755" i="1"/>
  <c r="AC754" i="1"/>
  <c r="D754" i="1" a="1"/>
  <c r="D754" i="1" s="1"/>
  <c r="B754" i="1"/>
  <c r="AC753" i="1"/>
  <c r="D753" i="1"/>
  <c r="D753" i="1" a="1"/>
  <c r="B753" i="1"/>
  <c r="AC752" i="1"/>
  <c r="D752" i="1" a="1"/>
  <c r="D752" i="1" s="1"/>
  <c r="B752" i="1"/>
  <c r="AC751" i="1"/>
  <c r="D751" i="1" a="1"/>
  <c r="D751" i="1" s="1"/>
  <c r="B751" i="1"/>
  <c r="AC750" i="1"/>
  <c r="D750" i="1"/>
  <c r="D750" i="1" a="1"/>
  <c r="B750" i="1"/>
  <c r="AC749" i="1"/>
  <c r="D749" i="1"/>
  <c r="D749" i="1" a="1"/>
  <c r="B749" i="1"/>
  <c r="AC748" i="1"/>
  <c r="D748" i="1" a="1"/>
  <c r="D748" i="1" s="1"/>
  <c r="B748" i="1"/>
  <c r="AC747" i="1"/>
  <c r="D747" i="1" a="1"/>
  <c r="D747" i="1" s="1"/>
  <c r="B747" i="1"/>
  <c r="AC746" i="1"/>
  <c r="D746" i="1"/>
  <c r="D746" i="1" a="1"/>
  <c r="B746" i="1"/>
  <c r="AC745" i="1"/>
  <c r="D745" i="1"/>
  <c r="D745" i="1" a="1"/>
  <c r="B745" i="1"/>
  <c r="AC744" i="1"/>
  <c r="D744" i="1" a="1"/>
  <c r="D744" i="1" s="1"/>
  <c r="B744" i="1"/>
  <c r="AC743" i="1"/>
  <c r="D743" i="1" a="1"/>
  <c r="D743" i="1" s="1"/>
  <c r="B743" i="1"/>
  <c r="AC742" i="1"/>
  <c r="D742" i="1"/>
  <c r="D742" i="1" a="1"/>
  <c r="B742" i="1"/>
  <c r="AC741" i="1"/>
  <c r="D741" i="1"/>
  <c r="D741" i="1" a="1"/>
  <c r="B741" i="1"/>
  <c r="AC740" i="1"/>
  <c r="D740" i="1" a="1"/>
  <c r="D740" i="1" s="1"/>
  <c r="B740" i="1"/>
  <c r="AC739" i="1"/>
  <c r="D739" i="1" a="1"/>
  <c r="D739" i="1" s="1"/>
  <c r="B739" i="1"/>
  <c r="AC738" i="1"/>
  <c r="D738" i="1" a="1"/>
  <c r="D738" i="1" s="1"/>
  <c r="B738" i="1"/>
  <c r="AC737" i="1"/>
  <c r="D737" i="1"/>
  <c r="D737" i="1" a="1"/>
  <c r="B737" i="1"/>
  <c r="AC736" i="1"/>
  <c r="D736" i="1" a="1"/>
  <c r="D736" i="1" s="1"/>
  <c r="B736" i="1"/>
  <c r="AC735" i="1"/>
  <c r="D735" i="1" a="1"/>
  <c r="D735" i="1" s="1"/>
  <c r="B735" i="1"/>
  <c r="AC734" i="1"/>
  <c r="D734" i="1"/>
  <c r="D734" i="1" a="1"/>
  <c r="B734" i="1"/>
  <c r="AC733" i="1"/>
  <c r="D733" i="1"/>
  <c r="D733" i="1" a="1"/>
  <c r="B733" i="1"/>
  <c r="AC732" i="1"/>
  <c r="D732" i="1" a="1"/>
  <c r="D732" i="1" s="1"/>
  <c r="B732" i="1"/>
  <c r="AC731" i="1"/>
  <c r="D731" i="1" a="1"/>
  <c r="D731" i="1" s="1"/>
  <c r="B731" i="1"/>
  <c r="AC730" i="1"/>
  <c r="D730" i="1"/>
  <c r="D730" i="1" a="1"/>
  <c r="B730" i="1"/>
  <c r="AC729" i="1"/>
  <c r="D729" i="1"/>
  <c r="D729" i="1" a="1"/>
  <c r="B729" i="1"/>
  <c r="AC728" i="1"/>
  <c r="D728" i="1" a="1"/>
  <c r="D728" i="1" s="1"/>
  <c r="B728" i="1"/>
  <c r="AC727" i="1"/>
  <c r="D727" i="1" a="1"/>
  <c r="D727" i="1" s="1"/>
  <c r="B727" i="1"/>
  <c r="AC726" i="1"/>
  <c r="D726" i="1"/>
  <c r="D726" i="1" a="1"/>
  <c r="B726" i="1"/>
  <c r="AC725" i="1"/>
  <c r="D725" i="1"/>
  <c r="D725" i="1" a="1"/>
  <c r="B725" i="1"/>
  <c r="AC724" i="1"/>
  <c r="D724" i="1" a="1"/>
  <c r="D724" i="1" s="1"/>
  <c r="B724" i="1"/>
  <c r="AC723" i="1"/>
  <c r="D723" i="1" a="1"/>
  <c r="D723" i="1" s="1"/>
  <c r="B723" i="1"/>
  <c r="AC722" i="1"/>
  <c r="D722" i="1" a="1"/>
  <c r="D722" i="1" s="1"/>
  <c r="B722" i="1"/>
  <c r="AC721" i="1"/>
  <c r="D721" i="1"/>
  <c r="D721" i="1" a="1"/>
  <c r="B721" i="1"/>
  <c r="AC720" i="1"/>
  <c r="D720" i="1" a="1"/>
  <c r="D720" i="1" s="1"/>
  <c r="B720" i="1"/>
  <c r="AC719" i="1"/>
  <c r="D719" i="1" a="1"/>
  <c r="D719" i="1" s="1"/>
  <c r="B719" i="1"/>
  <c r="AC718" i="1"/>
  <c r="D718" i="1" a="1"/>
  <c r="D718" i="1" s="1"/>
  <c r="B718" i="1"/>
  <c r="AC717" i="1"/>
  <c r="D717" i="1"/>
  <c r="D717" i="1" a="1"/>
  <c r="B717" i="1"/>
  <c r="AC716" i="1"/>
  <c r="D716" i="1" a="1"/>
  <c r="D716" i="1" s="1"/>
  <c r="B716" i="1"/>
  <c r="AC715" i="1"/>
  <c r="D715" i="1" a="1"/>
  <c r="D715" i="1" s="1"/>
  <c r="B715" i="1"/>
  <c r="AC714" i="1"/>
  <c r="D714" i="1" a="1"/>
  <c r="D714" i="1" s="1"/>
  <c r="B714" i="1"/>
  <c r="AC713" i="1"/>
  <c r="D713" i="1"/>
  <c r="D713" i="1" a="1"/>
  <c r="B713" i="1"/>
  <c r="AC712" i="1"/>
  <c r="D712" i="1" a="1"/>
  <c r="D712" i="1" s="1"/>
  <c r="B712" i="1"/>
  <c r="AC711" i="1"/>
  <c r="D711" i="1" a="1"/>
  <c r="D711" i="1" s="1"/>
  <c r="B711" i="1"/>
  <c r="AC710" i="1"/>
  <c r="D710" i="1" a="1"/>
  <c r="D710" i="1" s="1"/>
  <c r="B710" i="1"/>
  <c r="AC709" i="1"/>
  <c r="D709" i="1"/>
  <c r="D709" i="1" a="1"/>
  <c r="B709" i="1"/>
  <c r="AC708" i="1"/>
  <c r="D708" i="1" a="1"/>
  <c r="D708" i="1" s="1"/>
  <c r="B708" i="1"/>
  <c r="AC707" i="1"/>
  <c r="D707" i="1" a="1"/>
  <c r="D707" i="1" s="1"/>
  <c r="B707" i="1"/>
  <c r="AC706" i="1"/>
  <c r="D706" i="1" a="1"/>
  <c r="D706" i="1" s="1"/>
  <c r="B706" i="1"/>
  <c r="AC705" i="1"/>
  <c r="D705" i="1"/>
  <c r="D705" i="1" a="1"/>
  <c r="B705" i="1"/>
  <c r="AC704" i="1"/>
  <c r="D704" i="1" a="1"/>
  <c r="D704" i="1" s="1"/>
  <c r="B704" i="1"/>
  <c r="AC703" i="1"/>
  <c r="D703" i="1" a="1"/>
  <c r="D703" i="1" s="1"/>
  <c r="B703" i="1"/>
  <c r="AC702" i="1"/>
  <c r="D702" i="1" a="1"/>
  <c r="D702" i="1" s="1"/>
  <c r="B702" i="1"/>
  <c r="AC701" i="1"/>
  <c r="D701" i="1"/>
  <c r="D701" i="1" a="1"/>
  <c r="B701" i="1"/>
  <c r="AC700" i="1"/>
  <c r="D700" i="1" a="1"/>
  <c r="D700" i="1" s="1"/>
  <c r="B700" i="1"/>
  <c r="AC699" i="1"/>
  <c r="D699" i="1" a="1"/>
  <c r="D699" i="1" s="1"/>
  <c r="B699" i="1"/>
  <c r="AC698" i="1"/>
  <c r="D698" i="1" a="1"/>
  <c r="D698" i="1" s="1"/>
  <c r="B698" i="1"/>
  <c r="AC697" i="1"/>
  <c r="D697" i="1"/>
  <c r="D697" i="1" a="1"/>
  <c r="B697" i="1"/>
  <c r="AC696" i="1"/>
  <c r="D696" i="1" a="1"/>
  <c r="D696" i="1" s="1"/>
  <c r="B696" i="1"/>
  <c r="AC695" i="1"/>
  <c r="D695" i="1" a="1"/>
  <c r="D695" i="1" s="1"/>
  <c r="B695" i="1"/>
  <c r="AC694" i="1"/>
  <c r="D694" i="1" a="1"/>
  <c r="D694" i="1" s="1"/>
  <c r="B694" i="1"/>
  <c r="AC693" i="1"/>
  <c r="D693" i="1"/>
  <c r="D693" i="1" a="1"/>
  <c r="B693" i="1"/>
  <c r="AC692" i="1"/>
  <c r="D692" i="1" a="1"/>
  <c r="D692" i="1" s="1"/>
  <c r="B692" i="1"/>
  <c r="AC691" i="1"/>
  <c r="D691" i="1" a="1"/>
  <c r="D691" i="1" s="1"/>
  <c r="B691" i="1"/>
  <c r="AC690" i="1"/>
  <c r="D690" i="1" a="1"/>
  <c r="D690" i="1" s="1"/>
  <c r="B690" i="1"/>
  <c r="AC689" i="1"/>
  <c r="D689" i="1"/>
  <c r="D689" i="1" a="1"/>
  <c r="B689" i="1"/>
  <c r="AC688" i="1"/>
  <c r="D688" i="1" a="1"/>
  <c r="D688" i="1" s="1"/>
  <c r="B688" i="1"/>
  <c r="AC687" i="1"/>
  <c r="D687" i="1" a="1"/>
  <c r="D687" i="1" s="1"/>
  <c r="B687" i="1"/>
  <c r="AC686" i="1"/>
  <c r="D686" i="1" a="1"/>
  <c r="D686" i="1" s="1"/>
  <c r="B686" i="1"/>
  <c r="AC685" i="1"/>
  <c r="D685" i="1"/>
  <c r="D685" i="1" a="1"/>
  <c r="B685" i="1"/>
  <c r="AC684" i="1"/>
  <c r="D684" i="1" a="1"/>
  <c r="D684" i="1" s="1"/>
  <c r="B684" i="1"/>
  <c r="AC683" i="1"/>
  <c r="D683" i="1" a="1"/>
  <c r="D683" i="1" s="1"/>
  <c r="B683" i="1"/>
  <c r="AC682" i="1"/>
  <c r="D682" i="1" a="1"/>
  <c r="D682" i="1" s="1"/>
  <c r="B682" i="1"/>
  <c r="AC681" i="1"/>
  <c r="D681" i="1"/>
  <c r="D681" i="1" a="1"/>
  <c r="B681" i="1"/>
  <c r="AC680" i="1"/>
  <c r="D680" i="1" a="1"/>
  <c r="D680" i="1" s="1"/>
  <c r="B680" i="1"/>
  <c r="AC679" i="1"/>
  <c r="D679" i="1" a="1"/>
  <c r="D679" i="1" s="1"/>
  <c r="B679" i="1"/>
  <c r="AC678" i="1"/>
  <c r="D678" i="1" a="1"/>
  <c r="D678" i="1" s="1"/>
  <c r="B678" i="1"/>
  <c r="AC677" i="1"/>
  <c r="D677" i="1"/>
  <c r="D677" i="1" a="1"/>
  <c r="B677" i="1"/>
  <c r="AC676" i="1"/>
  <c r="D676" i="1" a="1"/>
  <c r="D676" i="1" s="1"/>
  <c r="B676" i="1"/>
  <c r="AC675" i="1"/>
  <c r="D675" i="1" a="1"/>
  <c r="D675" i="1" s="1"/>
  <c r="B675" i="1"/>
  <c r="AC674" i="1"/>
  <c r="D674" i="1"/>
  <c r="D674" i="1" a="1"/>
  <c r="B674" i="1"/>
  <c r="AC673" i="1"/>
  <c r="D673" i="1"/>
  <c r="D673" i="1" a="1"/>
  <c r="B673" i="1"/>
  <c r="AC672" i="1"/>
  <c r="D672" i="1" a="1"/>
  <c r="D672" i="1" s="1"/>
  <c r="B672" i="1"/>
  <c r="AC671" i="1"/>
  <c r="D671" i="1" a="1"/>
  <c r="D671" i="1" s="1"/>
  <c r="B671" i="1"/>
  <c r="AC670" i="1"/>
  <c r="D670" i="1"/>
  <c r="D670" i="1" a="1"/>
  <c r="B670" i="1"/>
  <c r="AC669" i="1"/>
  <c r="D669" i="1"/>
  <c r="D669" i="1" a="1"/>
  <c r="B669" i="1"/>
  <c r="AC668" i="1"/>
  <c r="D668" i="1"/>
  <c r="D668" i="1" a="1"/>
  <c r="B668" i="1"/>
  <c r="AC667" i="1"/>
  <c r="D667" i="1" a="1"/>
  <c r="D667" i="1" s="1"/>
  <c r="B667" i="1"/>
  <c r="AC666" i="1"/>
  <c r="D666" i="1"/>
  <c r="D666" i="1" a="1"/>
  <c r="B666" i="1"/>
  <c r="AC665" i="1"/>
  <c r="D665" i="1" a="1"/>
  <c r="D665" i="1" s="1"/>
  <c r="B665" i="1"/>
  <c r="AC664" i="1"/>
  <c r="D664" i="1"/>
  <c r="D664" i="1" a="1"/>
  <c r="B664" i="1"/>
  <c r="AC663" i="1"/>
  <c r="D663" i="1" a="1"/>
  <c r="D663" i="1" s="1"/>
  <c r="B663" i="1"/>
  <c r="AC662" i="1"/>
  <c r="D662" i="1"/>
  <c r="D662" i="1" a="1"/>
  <c r="B662" i="1"/>
  <c r="AC661" i="1"/>
  <c r="D661" i="1" a="1"/>
  <c r="D661" i="1" s="1"/>
  <c r="B661" i="1"/>
  <c r="AC660" i="1"/>
  <c r="D660" i="1"/>
  <c r="D660" i="1" a="1"/>
  <c r="B660" i="1"/>
  <c r="AC659" i="1"/>
  <c r="D659" i="1" a="1"/>
  <c r="D659" i="1" s="1"/>
  <c r="B659" i="1"/>
  <c r="AC658" i="1"/>
  <c r="D658" i="1"/>
  <c r="D658" i="1" a="1"/>
  <c r="B658" i="1"/>
  <c r="AC657" i="1"/>
  <c r="D657" i="1" a="1"/>
  <c r="D657" i="1" s="1"/>
  <c r="B657" i="1"/>
  <c r="AC656" i="1"/>
  <c r="D656" i="1"/>
  <c r="D656" i="1" a="1"/>
  <c r="B656" i="1"/>
  <c r="AC655" i="1"/>
  <c r="D655" i="1" a="1"/>
  <c r="D655" i="1" s="1"/>
  <c r="B655" i="1"/>
  <c r="AC654" i="1"/>
  <c r="D654" i="1"/>
  <c r="D654" i="1" a="1"/>
  <c r="B654" i="1"/>
  <c r="AC653" i="1"/>
  <c r="D653" i="1" a="1"/>
  <c r="D653" i="1" s="1"/>
  <c r="B653" i="1"/>
  <c r="AC652" i="1"/>
  <c r="D652" i="1"/>
  <c r="D652" i="1" a="1"/>
  <c r="B652" i="1"/>
  <c r="AC651" i="1"/>
  <c r="D651" i="1" a="1"/>
  <c r="D651" i="1" s="1"/>
  <c r="B651" i="1"/>
  <c r="AC650" i="1"/>
  <c r="D650" i="1"/>
  <c r="D650" i="1" a="1"/>
  <c r="B650" i="1"/>
  <c r="AC649" i="1"/>
  <c r="D649" i="1" a="1"/>
  <c r="D649" i="1" s="1"/>
  <c r="B649" i="1"/>
  <c r="AC648" i="1"/>
  <c r="D648" i="1"/>
  <c r="D648" i="1" a="1"/>
  <c r="B648" i="1"/>
  <c r="AC647" i="1"/>
  <c r="D647" i="1" a="1"/>
  <c r="D647" i="1" s="1"/>
  <c r="B647" i="1"/>
  <c r="AC646" i="1"/>
  <c r="D646" i="1"/>
  <c r="D646" i="1" a="1"/>
  <c r="B646" i="1"/>
  <c r="AC645" i="1"/>
  <c r="D645" i="1" a="1"/>
  <c r="D645" i="1" s="1"/>
  <c r="B645" i="1"/>
  <c r="AC644" i="1"/>
  <c r="D644" i="1"/>
  <c r="D644" i="1" a="1"/>
  <c r="B644" i="1"/>
  <c r="AC643" i="1"/>
  <c r="D643" i="1" a="1"/>
  <c r="D643" i="1" s="1"/>
  <c r="B643" i="1"/>
  <c r="AC642" i="1"/>
  <c r="D642" i="1"/>
  <c r="D642" i="1" a="1"/>
  <c r="B642" i="1"/>
  <c r="AC641" i="1"/>
  <c r="D641" i="1" a="1"/>
  <c r="D641" i="1" s="1"/>
  <c r="B641" i="1"/>
  <c r="AC640" i="1"/>
  <c r="D640" i="1"/>
  <c r="D640" i="1" a="1"/>
  <c r="B640" i="1"/>
  <c r="AC639" i="1"/>
  <c r="D639" i="1" a="1"/>
  <c r="D639" i="1" s="1"/>
  <c r="B639" i="1"/>
  <c r="AC638" i="1"/>
  <c r="D638" i="1"/>
  <c r="D638" i="1" a="1"/>
  <c r="B638" i="1"/>
  <c r="AC637" i="1"/>
  <c r="D637" i="1" a="1"/>
  <c r="D637" i="1" s="1"/>
  <c r="B637" i="1"/>
  <c r="AC636" i="1"/>
  <c r="D636" i="1"/>
  <c r="D636" i="1" a="1"/>
  <c r="B636" i="1"/>
  <c r="AC635" i="1"/>
  <c r="D635" i="1" a="1"/>
  <c r="D635" i="1" s="1"/>
  <c r="B635" i="1"/>
  <c r="AC634" i="1"/>
  <c r="D634" i="1"/>
  <c r="D634" i="1" a="1"/>
  <c r="B634" i="1"/>
  <c r="AC633" i="1"/>
  <c r="D633" i="1" a="1"/>
  <c r="D633" i="1" s="1"/>
  <c r="B633" i="1"/>
  <c r="AC632" i="1"/>
  <c r="D632" i="1"/>
  <c r="D632" i="1" a="1"/>
  <c r="B632" i="1"/>
  <c r="AC631" i="1"/>
  <c r="D631" i="1" a="1"/>
  <c r="D631" i="1" s="1"/>
  <c r="B631" i="1"/>
  <c r="AC630" i="1"/>
  <c r="D630" i="1"/>
  <c r="D630" i="1" a="1"/>
  <c r="B630" i="1"/>
  <c r="AC629" i="1"/>
  <c r="D629" i="1" a="1"/>
  <c r="D629" i="1" s="1"/>
  <c r="B629" i="1"/>
  <c r="AC628" i="1"/>
  <c r="D628" i="1"/>
  <c r="D628" i="1" a="1"/>
  <c r="B628" i="1"/>
  <c r="AC627" i="1"/>
  <c r="D627" i="1" a="1"/>
  <c r="D627" i="1" s="1"/>
  <c r="B627" i="1"/>
  <c r="AC626" i="1"/>
  <c r="D626" i="1"/>
  <c r="D626" i="1" a="1"/>
  <c r="B626" i="1"/>
  <c r="AC625" i="1"/>
  <c r="D625" i="1" a="1"/>
  <c r="D625" i="1" s="1"/>
  <c r="B625" i="1"/>
  <c r="AC624" i="1"/>
  <c r="D624" i="1"/>
  <c r="D624" i="1" a="1"/>
  <c r="B624" i="1"/>
  <c r="AC623" i="1"/>
  <c r="D623" i="1" a="1"/>
  <c r="D623" i="1" s="1"/>
  <c r="B623" i="1"/>
  <c r="AC622" i="1"/>
  <c r="D622" i="1"/>
  <c r="D622" i="1" a="1"/>
  <c r="B622" i="1"/>
  <c r="AC621" i="1"/>
  <c r="D621" i="1" a="1"/>
  <c r="D621" i="1" s="1"/>
  <c r="B621" i="1"/>
  <c r="AC620" i="1"/>
  <c r="D620" i="1"/>
  <c r="D620" i="1" a="1"/>
  <c r="B620" i="1"/>
  <c r="AC619" i="1"/>
  <c r="D619" i="1" a="1"/>
  <c r="D619" i="1" s="1"/>
  <c r="B619" i="1"/>
  <c r="AC618" i="1"/>
  <c r="D618" i="1"/>
  <c r="D618" i="1" a="1"/>
  <c r="B618" i="1"/>
  <c r="AC617" i="1"/>
  <c r="D617" i="1" a="1"/>
  <c r="D617" i="1" s="1"/>
  <c r="B617" i="1"/>
  <c r="AC616" i="1"/>
  <c r="D616" i="1"/>
  <c r="D616" i="1" a="1"/>
  <c r="B616" i="1"/>
  <c r="AC615" i="1"/>
  <c r="D615" i="1" a="1"/>
  <c r="D615" i="1" s="1"/>
  <c r="B615" i="1"/>
  <c r="AC614" i="1"/>
  <c r="D614" i="1"/>
  <c r="D614" i="1" a="1"/>
  <c r="B614" i="1"/>
  <c r="AC613" i="1"/>
  <c r="D613" i="1" a="1"/>
  <c r="D613" i="1" s="1"/>
  <c r="B613" i="1"/>
  <c r="AC612" i="1"/>
  <c r="D612" i="1"/>
  <c r="D612" i="1" a="1"/>
  <c r="B612" i="1"/>
  <c r="AC611" i="1"/>
  <c r="D611" i="1" a="1"/>
  <c r="D611" i="1" s="1"/>
  <c r="B611" i="1"/>
  <c r="AC610" i="1"/>
  <c r="D610" i="1"/>
  <c r="D610" i="1" a="1"/>
  <c r="B610" i="1"/>
  <c r="AC609" i="1"/>
  <c r="D609" i="1" a="1"/>
  <c r="D609" i="1" s="1"/>
  <c r="B609" i="1"/>
  <c r="AC608" i="1"/>
  <c r="D608" i="1"/>
  <c r="D608" i="1" a="1"/>
  <c r="B608" i="1"/>
  <c r="AC607" i="1"/>
  <c r="D607" i="1" a="1"/>
  <c r="D607" i="1" s="1"/>
  <c r="B607" i="1"/>
  <c r="AC606" i="1"/>
  <c r="D606" i="1"/>
  <c r="D606" i="1" a="1"/>
  <c r="B606" i="1"/>
  <c r="AC605" i="1"/>
  <c r="D605" i="1" a="1"/>
  <c r="D605" i="1" s="1"/>
  <c r="B605" i="1"/>
  <c r="AC604" i="1"/>
  <c r="D604" i="1"/>
  <c r="D604" i="1" a="1"/>
  <c r="B604" i="1"/>
  <c r="AC603" i="1"/>
  <c r="D603" i="1" a="1"/>
  <c r="D603" i="1" s="1"/>
  <c r="B603" i="1"/>
  <c r="AC602" i="1"/>
  <c r="D602" i="1"/>
  <c r="D602" i="1" a="1"/>
  <c r="B602" i="1"/>
  <c r="AC601" i="1"/>
  <c r="D601" i="1" a="1"/>
  <c r="D601" i="1" s="1"/>
  <c r="B601" i="1"/>
  <c r="AC600" i="1"/>
  <c r="D600" i="1"/>
  <c r="D600" i="1" a="1"/>
  <c r="B600" i="1"/>
  <c r="AC599" i="1"/>
  <c r="D599" i="1" a="1"/>
  <c r="D599" i="1" s="1"/>
  <c r="B599" i="1"/>
  <c r="AC598" i="1"/>
  <c r="D598" i="1"/>
  <c r="D598" i="1" a="1"/>
  <c r="B598" i="1"/>
  <c r="AC597" i="1"/>
  <c r="D597" i="1" a="1"/>
  <c r="D597" i="1" s="1"/>
  <c r="B597" i="1"/>
  <c r="AC596" i="1"/>
  <c r="D596" i="1"/>
  <c r="D596" i="1" a="1"/>
  <c r="B596" i="1"/>
  <c r="AC595" i="1"/>
  <c r="D595" i="1" a="1"/>
  <c r="D595" i="1" s="1"/>
  <c r="B595" i="1"/>
  <c r="AC594" i="1"/>
  <c r="D594" i="1"/>
  <c r="D594" i="1" a="1"/>
  <c r="B594" i="1"/>
  <c r="AC593" i="1"/>
  <c r="D593" i="1" a="1"/>
  <c r="D593" i="1" s="1"/>
  <c r="B593" i="1"/>
  <c r="AC592" i="1"/>
  <c r="D592" i="1"/>
  <c r="D592" i="1" a="1"/>
  <c r="B592" i="1"/>
  <c r="AC591" i="1"/>
  <c r="D591" i="1" a="1"/>
  <c r="D591" i="1" s="1"/>
  <c r="B591" i="1"/>
  <c r="AC590" i="1"/>
  <c r="D590" i="1"/>
  <c r="D590" i="1" a="1"/>
  <c r="B590" i="1"/>
  <c r="AC589" i="1"/>
  <c r="D589" i="1" a="1"/>
  <c r="D589" i="1" s="1"/>
  <c r="B589" i="1"/>
  <c r="AC588" i="1"/>
  <c r="D588" i="1"/>
  <c r="D588" i="1" a="1"/>
  <c r="B588" i="1"/>
  <c r="AC587" i="1"/>
  <c r="D587" i="1" a="1"/>
  <c r="D587" i="1" s="1"/>
  <c r="B587" i="1"/>
  <c r="AC586" i="1"/>
  <c r="D586" i="1"/>
  <c r="D586" i="1" a="1"/>
  <c r="B586" i="1"/>
  <c r="AC585" i="1"/>
  <c r="D585" i="1" a="1"/>
  <c r="D585" i="1" s="1"/>
  <c r="B585" i="1"/>
  <c r="AC584" i="1"/>
  <c r="D584" i="1"/>
  <c r="D584" i="1" a="1"/>
  <c r="B584" i="1"/>
  <c r="AC583" i="1"/>
  <c r="D583" i="1" a="1"/>
  <c r="D583" i="1" s="1"/>
  <c r="B583" i="1"/>
  <c r="AC582" i="1"/>
  <c r="D582" i="1"/>
  <c r="D582" i="1" a="1"/>
  <c r="B582" i="1"/>
  <c r="AC581" i="1"/>
  <c r="D581" i="1" a="1"/>
  <c r="D581" i="1" s="1"/>
  <c r="B581" i="1"/>
  <c r="AC580" i="1"/>
  <c r="D580" i="1"/>
  <c r="D580" i="1" a="1"/>
  <c r="B580" i="1"/>
  <c r="AC579" i="1"/>
  <c r="D579" i="1" a="1"/>
  <c r="D579" i="1" s="1"/>
  <c r="B579" i="1"/>
  <c r="AC578" i="1"/>
  <c r="D578" i="1"/>
  <c r="D578" i="1" a="1"/>
  <c r="B578" i="1"/>
  <c r="AC577" i="1"/>
  <c r="D577" i="1" a="1"/>
  <c r="D577" i="1" s="1"/>
  <c r="B577" i="1"/>
  <c r="AC576" i="1"/>
  <c r="D576" i="1"/>
  <c r="D576" i="1" a="1"/>
  <c r="B576" i="1"/>
  <c r="AC575" i="1"/>
  <c r="D575" i="1" a="1"/>
  <c r="D575" i="1" s="1"/>
  <c r="B575" i="1"/>
  <c r="AC574" i="1"/>
  <c r="D574" i="1"/>
  <c r="D574" i="1" a="1"/>
  <c r="B574" i="1"/>
  <c r="AC573" i="1"/>
  <c r="D573" i="1" a="1"/>
  <c r="D573" i="1" s="1"/>
  <c r="B573" i="1"/>
  <c r="AC572" i="1"/>
  <c r="D572" i="1"/>
  <c r="D572" i="1" a="1"/>
  <c r="B572" i="1"/>
  <c r="AC571" i="1"/>
  <c r="D571" i="1" a="1"/>
  <c r="D571" i="1" s="1"/>
  <c r="B571" i="1"/>
  <c r="AC570" i="1"/>
  <c r="D570" i="1"/>
  <c r="D570" i="1" a="1"/>
  <c r="B570" i="1"/>
  <c r="AC569" i="1"/>
  <c r="D569" i="1" a="1"/>
  <c r="D569" i="1" s="1"/>
  <c r="B569" i="1"/>
  <c r="AC568" i="1"/>
  <c r="D568" i="1"/>
  <c r="D568" i="1" a="1"/>
  <c r="B568" i="1"/>
  <c r="AC567" i="1"/>
  <c r="D567" i="1" a="1"/>
  <c r="D567" i="1" s="1"/>
  <c r="B567" i="1"/>
  <c r="AC566" i="1"/>
  <c r="D566" i="1"/>
  <c r="D566" i="1" a="1"/>
  <c r="B566" i="1"/>
  <c r="AC565" i="1"/>
  <c r="D565" i="1" a="1"/>
  <c r="D565" i="1" s="1"/>
  <c r="B565" i="1"/>
  <c r="AC564" i="1"/>
  <c r="D564" i="1"/>
  <c r="D564" i="1" a="1"/>
  <c r="B564" i="1"/>
  <c r="AC563" i="1"/>
  <c r="D563" i="1" a="1"/>
  <c r="D563" i="1" s="1"/>
  <c r="B563" i="1"/>
  <c r="AC562" i="1"/>
  <c r="D562" i="1"/>
  <c r="D562" i="1" a="1"/>
  <c r="B562" i="1"/>
  <c r="AC561" i="1"/>
  <c r="D561" i="1" a="1"/>
  <c r="D561" i="1" s="1"/>
  <c r="B561" i="1"/>
  <c r="AC560" i="1"/>
  <c r="D560" i="1"/>
  <c r="D560" i="1" a="1"/>
  <c r="B560" i="1"/>
  <c r="AC559" i="1"/>
  <c r="D559" i="1" a="1"/>
  <c r="D559" i="1" s="1"/>
  <c r="B559" i="1"/>
  <c r="AC558" i="1"/>
  <c r="D558" i="1"/>
  <c r="D558" i="1" a="1"/>
  <c r="B558" i="1"/>
  <c r="AC557" i="1"/>
  <c r="D557" i="1" a="1"/>
  <c r="D557" i="1" s="1"/>
  <c r="B557" i="1"/>
  <c r="AC556" i="1"/>
  <c r="D556" i="1"/>
  <c r="D556" i="1" a="1"/>
  <c r="B556" i="1"/>
  <c r="AC555" i="1"/>
  <c r="D555" i="1" a="1"/>
  <c r="D555" i="1" s="1"/>
  <c r="B555" i="1"/>
  <c r="AC554" i="1"/>
  <c r="D554" i="1"/>
  <c r="D554" i="1" a="1"/>
  <c r="B554" i="1"/>
  <c r="AC553" i="1"/>
  <c r="D553" i="1" a="1"/>
  <c r="D553" i="1" s="1"/>
  <c r="B553" i="1"/>
  <c r="AC552" i="1"/>
  <c r="D552" i="1"/>
  <c r="D552" i="1" a="1"/>
  <c r="B552" i="1"/>
  <c r="AC551" i="1"/>
  <c r="D551" i="1" a="1"/>
  <c r="D551" i="1" s="1"/>
  <c r="B551" i="1"/>
  <c r="AC550" i="1"/>
  <c r="D550" i="1"/>
  <c r="D550" i="1" a="1"/>
  <c r="B550" i="1"/>
  <c r="AC549" i="1"/>
  <c r="D549" i="1" a="1"/>
  <c r="D549" i="1" s="1"/>
  <c r="B549" i="1"/>
  <c r="AC548" i="1"/>
  <c r="D548" i="1"/>
  <c r="D548" i="1" a="1"/>
  <c r="B548" i="1"/>
  <c r="AC547" i="1"/>
  <c r="D547" i="1" a="1"/>
  <c r="D547" i="1" s="1"/>
  <c r="B547" i="1"/>
  <c r="AC546" i="1"/>
  <c r="D546" i="1"/>
  <c r="D546" i="1" a="1"/>
  <c r="B546" i="1"/>
  <c r="AC545" i="1"/>
  <c r="D545" i="1" a="1"/>
  <c r="D545" i="1" s="1"/>
  <c r="B545" i="1"/>
  <c r="AC544" i="1"/>
  <c r="D544" i="1"/>
  <c r="D544" i="1" a="1"/>
  <c r="B544" i="1"/>
  <c r="AC543" i="1"/>
  <c r="D543" i="1" a="1"/>
  <c r="D543" i="1" s="1"/>
  <c r="B543" i="1"/>
  <c r="AC542" i="1"/>
  <c r="D542" i="1"/>
  <c r="D542" i="1" a="1"/>
  <c r="B542" i="1"/>
  <c r="AC541" i="1"/>
  <c r="D541" i="1" a="1"/>
  <c r="D541" i="1" s="1"/>
  <c r="B541" i="1"/>
  <c r="AC540" i="1"/>
  <c r="D540" i="1"/>
  <c r="D540" i="1" a="1"/>
  <c r="B540" i="1"/>
  <c r="AC539" i="1"/>
  <c r="D539" i="1" a="1"/>
  <c r="D539" i="1" s="1"/>
  <c r="B539" i="1"/>
  <c r="AC538" i="1"/>
  <c r="D538" i="1"/>
  <c r="D538" i="1" a="1"/>
  <c r="B538" i="1"/>
  <c r="AC537" i="1"/>
  <c r="D537" i="1" a="1"/>
  <c r="D537" i="1" s="1"/>
  <c r="B537" i="1"/>
  <c r="AC536" i="1"/>
  <c r="D536" i="1"/>
  <c r="D536" i="1" a="1"/>
  <c r="B536" i="1"/>
  <c r="AC535" i="1"/>
  <c r="D535" i="1" a="1"/>
  <c r="D535" i="1" s="1"/>
  <c r="B535" i="1"/>
  <c r="AC534" i="1"/>
  <c r="D534" i="1"/>
  <c r="D534" i="1" a="1"/>
  <c r="B534" i="1"/>
  <c r="AC533" i="1"/>
  <c r="D533" i="1" a="1"/>
  <c r="D533" i="1" s="1"/>
  <c r="B533" i="1"/>
  <c r="AC532" i="1"/>
  <c r="D532" i="1"/>
  <c r="D532" i="1" a="1"/>
  <c r="B532" i="1"/>
  <c r="AC531" i="1"/>
  <c r="D531" i="1" a="1"/>
  <c r="D531" i="1" s="1"/>
  <c r="B531" i="1"/>
  <c r="AC530" i="1"/>
  <c r="D530" i="1"/>
  <c r="D530" i="1" a="1"/>
  <c r="B530" i="1"/>
  <c r="AC529" i="1"/>
  <c r="D529" i="1" a="1"/>
  <c r="D529" i="1" s="1"/>
  <c r="B529" i="1"/>
  <c r="AC528" i="1"/>
  <c r="D528" i="1"/>
  <c r="D528" i="1" a="1"/>
  <c r="B528" i="1"/>
  <c r="AC527" i="1"/>
  <c r="D527" i="1" a="1"/>
  <c r="D527" i="1" s="1"/>
  <c r="B527" i="1"/>
  <c r="AC526" i="1"/>
  <c r="D526" i="1"/>
  <c r="D526" i="1" a="1"/>
  <c r="B526" i="1"/>
  <c r="AC525" i="1"/>
  <c r="D525" i="1" a="1"/>
  <c r="D525" i="1" s="1"/>
  <c r="B525" i="1"/>
  <c r="AC524" i="1"/>
  <c r="D524" i="1"/>
  <c r="D524" i="1" a="1"/>
  <c r="B524" i="1"/>
  <c r="AC523" i="1"/>
  <c r="D523" i="1" a="1"/>
  <c r="D523" i="1" s="1"/>
  <c r="B523" i="1"/>
  <c r="AC522" i="1"/>
  <c r="D522" i="1"/>
  <c r="D522" i="1" a="1"/>
  <c r="B522" i="1"/>
  <c r="AC521" i="1"/>
  <c r="D521" i="1" a="1"/>
  <c r="D521" i="1" s="1"/>
  <c r="B521" i="1"/>
  <c r="AC520" i="1"/>
  <c r="D520" i="1"/>
  <c r="D520" i="1" a="1"/>
  <c r="B520" i="1"/>
  <c r="AC519" i="1"/>
  <c r="D519" i="1" a="1"/>
  <c r="D519" i="1" s="1"/>
  <c r="B519" i="1"/>
  <c r="AC518" i="1"/>
  <c r="D518" i="1"/>
  <c r="D518" i="1" a="1"/>
  <c r="B518" i="1"/>
  <c r="AC517" i="1"/>
  <c r="D517" i="1" a="1"/>
  <c r="D517" i="1" s="1"/>
  <c r="B517" i="1"/>
  <c r="AC516" i="1"/>
  <c r="D516" i="1"/>
  <c r="D516" i="1" a="1"/>
  <c r="B516" i="1"/>
  <c r="AC515" i="1"/>
  <c r="D515" i="1" a="1"/>
  <c r="D515" i="1" s="1"/>
  <c r="B515" i="1"/>
  <c r="AC514" i="1"/>
  <c r="D514" i="1"/>
  <c r="D514" i="1" a="1"/>
  <c r="B514" i="1"/>
  <c r="AC513" i="1"/>
  <c r="D513" i="1" a="1"/>
  <c r="D513" i="1" s="1"/>
  <c r="B513" i="1"/>
  <c r="AC512" i="1"/>
  <c r="D512" i="1"/>
  <c r="D512" i="1" a="1"/>
  <c r="B512" i="1"/>
  <c r="AC511" i="1"/>
  <c r="D511" i="1" a="1"/>
  <c r="D511" i="1" s="1"/>
  <c r="B511" i="1"/>
  <c r="AC510" i="1"/>
  <c r="D510" i="1"/>
  <c r="D510" i="1" a="1"/>
  <c r="B510" i="1"/>
  <c r="AC509" i="1"/>
  <c r="D509" i="1" a="1"/>
  <c r="D509" i="1" s="1"/>
  <c r="B509" i="1"/>
  <c r="AC508" i="1"/>
  <c r="D508" i="1"/>
  <c r="D508" i="1" a="1"/>
  <c r="B508" i="1"/>
  <c r="AC507" i="1"/>
  <c r="D507" i="1" a="1"/>
  <c r="D507" i="1" s="1"/>
  <c r="B507" i="1"/>
  <c r="AC506" i="1"/>
  <c r="D506" i="1"/>
  <c r="D506" i="1" a="1"/>
  <c r="B506" i="1"/>
  <c r="AC505" i="1"/>
  <c r="D505" i="1" a="1"/>
  <c r="D505" i="1" s="1"/>
  <c r="B505" i="1"/>
  <c r="AC504" i="1"/>
  <c r="D504" i="1"/>
  <c r="D504" i="1" a="1"/>
  <c r="B504" i="1"/>
  <c r="AC503" i="1"/>
  <c r="D503" i="1" a="1"/>
  <c r="D503" i="1" s="1"/>
  <c r="B503" i="1"/>
  <c r="AC502" i="1"/>
  <c r="D502" i="1"/>
  <c r="D502" i="1" a="1"/>
  <c r="B502" i="1"/>
  <c r="AC501" i="1"/>
  <c r="D501" i="1" a="1"/>
  <c r="D501" i="1" s="1"/>
  <c r="B501" i="1"/>
  <c r="AC500" i="1"/>
  <c r="D500" i="1"/>
  <c r="D500" i="1" a="1"/>
  <c r="B500" i="1"/>
  <c r="AC499" i="1"/>
  <c r="D499" i="1" a="1"/>
  <c r="D499" i="1" s="1"/>
  <c r="B499" i="1"/>
  <c r="AC498" i="1"/>
  <c r="D498" i="1"/>
  <c r="D498" i="1" a="1"/>
  <c r="B498" i="1"/>
  <c r="AC497" i="1"/>
  <c r="D497" i="1" a="1"/>
  <c r="D497" i="1" s="1"/>
  <c r="B497" i="1"/>
  <c r="AC496" i="1"/>
  <c r="D496" i="1"/>
  <c r="D496" i="1" a="1"/>
  <c r="B496" i="1"/>
  <c r="AC495" i="1"/>
  <c r="D495" i="1" a="1"/>
  <c r="D495" i="1" s="1"/>
  <c r="B495" i="1"/>
  <c r="AC494" i="1"/>
  <c r="D494" i="1"/>
  <c r="D494" i="1" a="1"/>
  <c r="B494" i="1"/>
  <c r="AC493" i="1"/>
  <c r="D493" i="1" a="1"/>
  <c r="D493" i="1" s="1"/>
  <c r="B493" i="1"/>
  <c r="AC492" i="1"/>
  <c r="D492" i="1"/>
  <c r="D492" i="1" a="1"/>
  <c r="B492" i="1"/>
  <c r="AC491" i="1"/>
  <c r="D491" i="1" a="1"/>
  <c r="D491" i="1" s="1"/>
  <c r="B491" i="1"/>
  <c r="AC490" i="1"/>
  <c r="D490" i="1"/>
  <c r="D490" i="1" a="1"/>
  <c r="B490" i="1"/>
  <c r="AC489" i="1"/>
  <c r="D489" i="1" a="1"/>
  <c r="D489" i="1" s="1"/>
  <c r="B489" i="1"/>
  <c r="AC488" i="1"/>
  <c r="D488" i="1"/>
  <c r="D488" i="1" a="1"/>
  <c r="B488" i="1"/>
  <c r="AC487" i="1"/>
  <c r="D487" i="1" a="1"/>
  <c r="D487" i="1" s="1"/>
  <c r="B487" i="1"/>
  <c r="AC486" i="1"/>
  <c r="D486" i="1"/>
  <c r="D486" i="1" a="1"/>
  <c r="B486" i="1"/>
  <c r="AC485" i="1"/>
  <c r="D485" i="1" a="1"/>
  <c r="D485" i="1" s="1"/>
  <c r="B485" i="1"/>
  <c r="AC484" i="1"/>
  <c r="D484" i="1"/>
  <c r="D484" i="1" a="1"/>
  <c r="B484" i="1"/>
  <c r="AC483" i="1"/>
  <c r="D483" i="1" a="1"/>
  <c r="D483" i="1" s="1"/>
  <c r="B483" i="1"/>
  <c r="AC482" i="1"/>
  <c r="D482" i="1"/>
  <c r="D482" i="1" a="1"/>
  <c r="B482" i="1"/>
  <c r="AC481" i="1"/>
  <c r="D481" i="1" a="1"/>
  <c r="D481" i="1" s="1"/>
  <c r="B481" i="1"/>
  <c r="AC480" i="1"/>
  <c r="D480" i="1"/>
  <c r="D480" i="1" a="1"/>
  <c r="B480" i="1"/>
  <c r="AC479" i="1"/>
  <c r="D479" i="1" a="1"/>
  <c r="D479" i="1" s="1"/>
  <c r="B479" i="1"/>
  <c r="AC478" i="1"/>
  <c r="D478" i="1"/>
  <c r="D478" i="1" a="1"/>
  <c r="B478" i="1"/>
  <c r="AC477" i="1"/>
  <c r="D477" i="1" a="1"/>
  <c r="D477" i="1" s="1"/>
  <c r="B477" i="1"/>
  <c r="AC476" i="1"/>
  <c r="D476" i="1"/>
  <c r="D476" i="1" a="1"/>
  <c r="B476" i="1"/>
  <c r="AC475" i="1"/>
  <c r="D475" i="1" a="1"/>
  <c r="D475" i="1" s="1"/>
  <c r="B475" i="1"/>
  <c r="AC474" i="1"/>
  <c r="D474" i="1"/>
  <c r="D474" i="1" a="1"/>
  <c r="B474" i="1"/>
  <c r="AC473" i="1"/>
  <c r="D473" i="1" a="1"/>
  <c r="D473" i="1" s="1"/>
  <c r="B473" i="1"/>
  <c r="AC472" i="1"/>
  <c r="D472" i="1"/>
  <c r="D472" i="1" a="1"/>
  <c r="B472" i="1"/>
  <c r="AC471" i="1"/>
  <c r="D471" i="1" a="1"/>
  <c r="D471" i="1" s="1"/>
  <c r="B471" i="1"/>
  <c r="AC470" i="1"/>
  <c r="D470" i="1"/>
  <c r="D470" i="1" a="1"/>
  <c r="B470" i="1"/>
  <c r="AC469" i="1"/>
  <c r="D469" i="1" a="1"/>
  <c r="D469" i="1" s="1"/>
  <c r="B469" i="1"/>
  <c r="AC468" i="1"/>
  <c r="D468" i="1"/>
  <c r="D468" i="1" a="1"/>
  <c r="B468" i="1"/>
  <c r="AC467" i="1"/>
  <c r="D467" i="1" a="1"/>
  <c r="D467" i="1" s="1"/>
  <c r="B467" i="1"/>
  <c r="AC466" i="1"/>
  <c r="D466" i="1"/>
  <c r="D466" i="1" a="1"/>
  <c r="B466" i="1"/>
  <c r="AC465" i="1"/>
  <c r="D465" i="1" a="1"/>
  <c r="D465" i="1" s="1"/>
  <c r="B465" i="1"/>
  <c r="AC464" i="1"/>
  <c r="D464" i="1"/>
  <c r="D464" i="1" a="1"/>
  <c r="B464" i="1"/>
  <c r="AC463" i="1"/>
  <c r="D463" i="1" a="1"/>
  <c r="D463" i="1" s="1"/>
  <c r="B463" i="1"/>
  <c r="AC462" i="1"/>
  <c r="D462" i="1"/>
  <c r="D462" i="1" a="1"/>
  <c r="B462" i="1"/>
  <c r="AC461" i="1"/>
  <c r="D461" i="1" a="1"/>
  <c r="D461" i="1" s="1"/>
  <c r="B461" i="1"/>
  <c r="AC460" i="1"/>
  <c r="D460" i="1"/>
  <c r="D460" i="1" a="1"/>
  <c r="B460" i="1"/>
  <c r="AC459" i="1"/>
  <c r="D459" i="1" a="1"/>
  <c r="D459" i="1" s="1"/>
  <c r="B459" i="1"/>
  <c r="AC458" i="1"/>
  <c r="D458" i="1"/>
  <c r="D458" i="1" a="1"/>
  <c r="B458" i="1"/>
  <c r="AC457" i="1"/>
  <c r="D457" i="1" a="1"/>
  <c r="D457" i="1" s="1"/>
  <c r="B457" i="1"/>
  <c r="AC456" i="1"/>
  <c r="D456" i="1"/>
  <c r="D456" i="1" a="1"/>
  <c r="B456" i="1"/>
  <c r="AC455" i="1"/>
  <c r="D455" i="1" a="1"/>
  <c r="D455" i="1" s="1"/>
  <c r="B455" i="1"/>
  <c r="AC454" i="1"/>
  <c r="D454" i="1"/>
  <c r="D454" i="1" a="1"/>
  <c r="B454" i="1"/>
  <c r="AC453" i="1"/>
  <c r="D453" i="1" a="1"/>
  <c r="D453" i="1" s="1"/>
  <c r="B453" i="1"/>
  <c r="AC452" i="1"/>
  <c r="D452" i="1"/>
  <c r="D452" i="1" a="1"/>
  <c r="B452" i="1"/>
  <c r="AC451" i="1"/>
  <c r="D451" i="1" a="1"/>
  <c r="D451" i="1" s="1"/>
  <c r="B451" i="1"/>
  <c r="AC450" i="1"/>
  <c r="D450" i="1"/>
  <c r="D450" i="1" a="1"/>
  <c r="B450" i="1"/>
  <c r="AC449" i="1"/>
  <c r="D449" i="1" a="1"/>
  <c r="D449" i="1" s="1"/>
  <c r="B449" i="1"/>
  <c r="AC448" i="1"/>
  <c r="D448" i="1"/>
  <c r="D448" i="1" a="1"/>
  <c r="B448" i="1"/>
  <c r="AC447" i="1"/>
  <c r="D447" i="1" a="1"/>
  <c r="D447" i="1" s="1"/>
  <c r="B447" i="1"/>
  <c r="AC446" i="1"/>
  <c r="D446" i="1"/>
  <c r="D446" i="1" a="1"/>
  <c r="B446" i="1"/>
  <c r="AC445" i="1"/>
  <c r="D445" i="1" a="1"/>
  <c r="D445" i="1" s="1"/>
  <c r="B445" i="1"/>
  <c r="AC444" i="1"/>
  <c r="D444" i="1"/>
  <c r="D444" i="1" a="1"/>
  <c r="B444" i="1"/>
  <c r="AC443" i="1"/>
  <c r="D443" i="1" a="1"/>
  <c r="D443" i="1" s="1"/>
  <c r="B443" i="1"/>
  <c r="AC442" i="1"/>
  <c r="D442" i="1"/>
  <c r="D442" i="1" a="1"/>
  <c r="B442" i="1"/>
  <c r="AC441" i="1"/>
  <c r="D441" i="1" a="1"/>
  <c r="D441" i="1" s="1"/>
  <c r="B441" i="1"/>
  <c r="AC440" i="1"/>
  <c r="D440" i="1"/>
  <c r="D440" i="1" a="1"/>
  <c r="B440" i="1"/>
  <c r="AC439" i="1"/>
  <c r="D439" i="1" a="1"/>
  <c r="D439" i="1" s="1"/>
  <c r="B439" i="1"/>
  <c r="AC438" i="1"/>
  <c r="D438" i="1"/>
  <c r="D438" i="1" a="1"/>
  <c r="B438" i="1"/>
  <c r="AC437" i="1"/>
  <c r="D437" i="1" a="1"/>
  <c r="D437" i="1" s="1"/>
  <c r="B437" i="1"/>
  <c r="AC436" i="1"/>
  <c r="D436" i="1"/>
  <c r="D436" i="1" a="1"/>
  <c r="B436" i="1"/>
  <c r="AC435" i="1"/>
  <c r="D435" i="1" a="1"/>
  <c r="D435" i="1" s="1"/>
  <c r="B435" i="1"/>
  <c r="AC434" i="1"/>
  <c r="D434" i="1"/>
  <c r="D434" i="1" a="1"/>
  <c r="B434" i="1"/>
  <c r="AC433" i="1"/>
  <c r="D433" i="1" a="1"/>
  <c r="D433" i="1" s="1"/>
  <c r="B433" i="1"/>
  <c r="AC432" i="1"/>
  <c r="D432" i="1"/>
  <c r="D432" i="1" a="1"/>
  <c r="B432" i="1"/>
  <c r="AC431" i="1"/>
  <c r="D431" i="1" a="1"/>
  <c r="D431" i="1" s="1"/>
  <c r="B431" i="1"/>
  <c r="AC430" i="1"/>
  <c r="D430" i="1"/>
  <c r="D430" i="1" a="1"/>
  <c r="B430" i="1"/>
  <c r="AC429" i="1"/>
  <c r="D429" i="1" a="1"/>
  <c r="D429" i="1" s="1"/>
  <c r="B429" i="1"/>
  <c r="AC428" i="1"/>
  <c r="D428" i="1"/>
  <c r="D428" i="1" a="1"/>
  <c r="B428" i="1"/>
  <c r="AC427" i="1"/>
  <c r="D427" i="1" a="1"/>
  <c r="D427" i="1" s="1"/>
  <c r="B427" i="1"/>
  <c r="AC426" i="1"/>
  <c r="D426" i="1"/>
  <c r="D426" i="1" a="1"/>
  <c r="B426" i="1"/>
  <c r="AC425" i="1"/>
  <c r="D425" i="1" a="1"/>
  <c r="D425" i="1" s="1"/>
  <c r="B425" i="1"/>
  <c r="AC424" i="1"/>
  <c r="D424" i="1"/>
  <c r="D424" i="1" a="1"/>
  <c r="B424" i="1"/>
  <c r="AC423" i="1"/>
  <c r="D423" i="1" a="1"/>
  <c r="D423" i="1" s="1"/>
  <c r="B423" i="1"/>
  <c r="AC422" i="1"/>
  <c r="D422" i="1"/>
  <c r="D422" i="1" a="1"/>
  <c r="B422" i="1"/>
  <c r="AC421" i="1"/>
  <c r="D421" i="1" a="1"/>
  <c r="D421" i="1" s="1"/>
  <c r="B421" i="1"/>
  <c r="AC420" i="1"/>
  <c r="D420" i="1"/>
  <c r="D420" i="1" a="1"/>
  <c r="B420" i="1"/>
  <c r="AC419" i="1"/>
  <c r="D419" i="1" a="1"/>
  <c r="D419" i="1" s="1"/>
  <c r="B419" i="1"/>
  <c r="AC418" i="1"/>
  <c r="D418" i="1"/>
  <c r="D418" i="1" a="1"/>
  <c r="B418" i="1"/>
  <c r="AC417" i="1"/>
  <c r="D417" i="1" a="1"/>
  <c r="D417" i="1" s="1"/>
  <c r="B417" i="1"/>
  <c r="AC416" i="1"/>
  <c r="D416" i="1"/>
  <c r="D416" i="1" a="1"/>
  <c r="B416" i="1"/>
  <c r="AC415" i="1"/>
  <c r="D415" i="1" a="1"/>
  <c r="D415" i="1" s="1"/>
  <c r="B415" i="1"/>
  <c r="AC414" i="1"/>
  <c r="D414" i="1"/>
  <c r="D414" i="1" a="1"/>
  <c r="B414" i="1"/>
  <c r="AC413" i="1"/>
  <c r="D413" i="1" a="1"/>
  <c r="D413" i="1" s="1"/>
  <c r="B413" i="1"/>
  <c r="AC412" i="1"/>
  <c r="D412" i="1"/>
  <c r="D412" i="1" a="1"/>
  <c r="B412" i="1"/>
  <c r="AC411" i="1"/>
  <c r="D411" i="1" a="1"/>
  <c r="D411" i="1" s="1"/>
  <c r="B411" i="1"/>
  <c r="AC410" i="1"/>
  <c r="D410" i="1"/>
  <c r="D410" i="1" a="1"/>
  <c r="B410" i="1"/>
  <c r="AC409" i="1"/>
  <c r="D409" i="1" a="1"/>
  <c r="D409" i="1" s="1"/>
  <c r="B409" i="1"/>
  <c r="AC408" i="1"/>
  <c r="D408" i="1"/>
  <c r="D408" i="1" a="1"/>
  <c r="B408" i="1"/>
  <c r="AC407" i="1"/>
  <c r="D407" i="1" a="1"/>
  <c r="D407" i="1" s="1"/>
  <c r="B407" i="1"/>
  <c r="AC406" i="1"/>
  <c r="D406" i="1"/>
  <c r="D406" i="1" a="1"/>
  <c r="B406" i="1"/>
  <c r="AC405" i="1"/>
  <c r="D405" i="1" a="1"/>
  <c r="D405" i="1" s="1"/>
  <c r="B405" i="1"/>
  <c r="AC404" i="1"/>
  <c r="D404" i="1"/>
  <c r="D404" i="1" a="1"/>
  <c r="B404" i="1"/>
  <c r="AC403" i="1"/>
  <c r="D403" i="1" a="1"/>
  <c r="D403" i="1" s="1"/>
  <c r="B403" i="1"/>
  <c r="AC402" i="1"/>
  <c r="D402" i="1"/>
  <c r="D402" i="1" a="1"/>
  <c r="B402" i="1"/>
  <c r="AC401" i="1"/>
  <c r="D401" i="1" a="1"/>
  <c r="D401" i="1" s="1"/>
  <c r="B401" i="1"/>
  <c r="AC400" i="1"/>
  <c r="D400" i="1"/>
  <c r="D400" i="1" a="1"/>
  <c r="B400" i="1"/>
  <c r="AC399" i="1"/>
  <c r="D399" i="1" a="1"/>
  <c r="D399" i="1" s="1"/>
  <c r="B399" i="1"/>
  <c r="AC398" i="1"/>
  <c r="D398" i="1"/>
  <c r="D398" i="1" a="1"/>
  <c r="B398" i="1"/>
  <c r="AC397" i="1"/>
  <c r="D397" i="1" a="1"/>
  <c r="D397" i="1" s="1"/>
  <c r="B397" i="1"/>
  <c r="AC396" i="1"/>
  <c r="D396" i="1"/>
  <c r="D396" i="1" a="1"/>
  <c r="B396" i="1"/>
  <c r="AC395" i="1"/>
  <c r="D395" i="1" a="1"/>
  <c r="D395" i="1" s="1"/>
  <c r="B395" i="1"/>
  <c r="AC394" i="1"/>
  <c r="D394" i="1"/>
  <c r="D394" i="1" a="1"/>
  <c r="B394" i="1"/>
  <c r="AC393" i="1"/>
  <c r="D393" i="1" a="1"/>
  <c r="D393" i="1" s="1"/>
  <c r="B393" i="1"/>
  <c r="AC392" i="1"/>
  <c r="D392" i="1"/>
  <c r="D392" i="1" a="1"/>
  <c r="B392" i="1"/>
  <c r="AC391" i="1"/>
  <c r="D391" i="1" a="1"/>
  <c r="D391" i="1" s="1"/>
  <c r="B391" i="1"/>
  <c r="AC390" i="1"/>
  <c r="D390" i="1"/>
  <c r="D390" i="1" a="1"/>
  <c r="B390" i="1"/>
  <c r="AC389" i="1"/>
  <c r="D389" i="1" a="1"/>
  <c r="D389" i="1" s="1"/>
  <c r="B389" i="1"/>
  <c r="AC388" i="1"/>
  <c r="D388" i="1"/>
  <c r="D388" i="1" a="1"/>
  <c r="B388" i="1"/>
  <c r="AC387" i="1"/>
  <c r="D387" i="1" a="1"/>
  <c r="D387" i="1" s="1"/>
  <c r="B387" i="1"/>
  <c r="AC386" i="1"/>
  <c r="D386" i="1"/>
  <c r="D386" i="1" a="1"/>
  <c r="B386" i="1"/>
  <c r="AC385" i="1"/>
  <c r="D385" i="1" a="1"/>
  <c r="D385" i="1" s="1"/>
  <c r="B385" i="1"/>
  <c r="AC384" i="1"/>
  <c r="D384" i="1"/>
  <c r="D384" i="1" a="1"/>
  <c r="B384" i="1"/>
  <c r="AC383" i="1"/>
  <c r="D383" i="1" a="1"/>
  <c r="D383" i="1" s="1"/>
  <c r="B383" i="1"/>
  <c r="AC382" i="1"/>
  <c r="D382" i="1"/>
  <c r="D382" i="1" a="1"/>
  <c r="B382" i="1"/>
  <c r="AC381" i="1"/>
  <c r="D381" i="1" a="1"/>
  <c r="D381" i="1" s="1"/>
  <c r="B381" i="1"/>
  <c r="AC380" i="1"/>
  <c r="D380" i="1"/>
  <c r="D380" i="1" a="1"/>
  <c r="B380" i="1"/>
  <c r="AC379" i="1"/>
  <c r="D379" i="1" a="1"/>
  <c r="D379" i="1" s="1"/>
  <c r="B379" i="1"/>
  <c r="AC378" i="1"/>
  <c r="D378" i="1"/>
  <c r="D378" i="1" a="1"/>
  <c r="B378" i="1"/>
  <c r="AC377" i="1"/>
  <c r="D377" i="1" a="1"/>
  <c r="D377" i="1" s="1"/>
  <c r="B377" i="1"/>
  <c r="AC376" i="1"/>
  <c r="D376" i="1"/>
  <c r="D376" i="1" a="1"/>
  <c r="B376" i="1"/>
  <c r="AC375" i="1"/>
  <c r="D375" i="1" a="1"/>
  <c r="D375" i="1" s="1"/>
  <c r="B375" i="1"/>
  <c r="AC374" i="1"/>
  <c r="D374" i="1"/>
  <c r="D374" i="1" a="1"/>
  <c r="B374" i="1"/>
  <c r="AC373" i="1"/>
  <c r="D373" i="1" a="1"/>
  <c r="D373" i="1" s="1"/>
  <c r="B373" i="1"/>
  <c r="AC372" i="1"/>
  <c r="D372" i="1"/>
  <c r="D372" i="1" a="1"/>
  <c r="B372" i="1"/>
  <c r="AC371" i="1"/>
  <c r="D371" i="1" a="1"/>
  <c r="D371" i="1" s="1"/>
  <c r="B371" i="1"/>
  <c r="AC370" i="1"/>
  <c r="D370" i="1"/>
  <c r="D370" i="1" a="1"/>
  <c r="B370" i="1"/>
  <c r="AC369" i="1"/>
  <c r="D369" i="1" a="1"/>
  <c r="D369" i="1" s="1"/>
  <c r="B369" i="1"/>
  <c r="AC368" i="1"/>
  <c r="D368" i="1" a="1"/>
  <c r="D368" i="1" s="1"/>
  <c r="B368" i="1"/>
  <c r="AC367" i="1"/>
  <c r="D367" i="1"/>
  <c r="D367" i="1" a="1"/>
  <c r="B367" i="1"/>
  <c r="AC366" i="1"/>
  <c r="D366" i="1"/>
  <c r="D366" i="1" a="1"/>
  <c r="B366" i="1"/>
  <c r="AC365" i="1"/>
  <c r="D365" i="1" a="1"/>
  <c r="D365" i="1" s="1"/>
  <c r="B365" i="1"/>
  <c r="AC364" i="1"/>
  <c r="D364" i="1" a="1"/>
  <c r="D364" i="1" s="1"/>
  <c r="B364" i="1"/>
  <c r="AC363" i="1"/>
  <c r="D363" i="1"/>
  <c r="D363" i="1" a="1"/>
  <c r="B363" i="1"/>
  <c r="AC362" i="1"/>
  <c r="D362" i="1"/>
  <c r="D362" i="1" a="1"/>
  <c r="B362" i="1"/>
  <c r="AC361" i="1"/>
  <c r="D361" i="1" a="1"/>
  <c r="D361" i="1" s="1"/>
  <c r="B361" i="1"/>
  <c r="AC360" i="1"/>
  <c r="D360" i="1" a="1"/>
  <c r="D360" i="1" s="1"/>
  <c r="B360" i="1"/>
  <c r="AC359" i="1"/>
  <c r="D359" i="1"/>
  <c r="D359" i="1" a="1"/>
  <c r="B359" i="1"/>
  <c r="AC358" i="1"/>
  <c r="D358" i="1"/>
  <c r="D358" i="1" a="1"/>
  <c r="B358" i="1"/>
  <c r="AC357" i="1"/>
  <c r="D357" i="1" a="1"/>
  <c r="D357" i="1" s="1"/>
  <c r="B357" i="1"/>
  <c r="AC356" i="1"/>
  <c r="D356" i="1" a="1"/>
  <c r="D356" i="1" s="1"/>
  <c r="B356" i="1"/>
  <c r="AC355" i="1"/>
  <c r="D355" i="1"/>
  <c r="D355" i="1" a="1"/>
  <c r="B355" i="1"/>
  <c r="AC354" i="1"/>
  <c r="D354" i="1"/>
  <c r="D354" i="1" a="1"/>
  <c r="B354" i="1"/>
  <c r="AC353" i="1"/>
  <c r="D353" i="1" a="1"/>
  <c r="D353" i="1" s="1"/>
  <c r="B353" i="1"/>
  <c r="AC352" i="1"/>
  <c r="D352" i="1" a="1"/>
  <c r="D352" i="1" s="1"/>
  <c r="B352" i="1"/>
  <c r="AC351" i="1"/>
  <c r="D351" i="1" a="1"/>
  <c r="D351" i="1" s="1"/>
  <c r="B351" i="1"/>
  <c r="AC350" i="1"/>
  <c r="D350" i="1"/>
  <c r="D350" i="1" a="1"/>
  <c r="B350" i="1"/>
  <c r="AC349" i="1"/>
  <c r="D349" i="1" a="1"/>
  <c r="D349" i="1" s="1"/>
  <c r="B349" i="1"/>
  <c r="AC348" i="1"/>
  <c r="D348" i="1"/>
  <c r="D348" i="1" a="1"/>
  <c r="B348" i="1"/>
  <c r="AC347" i="1"/>
  <c r="D347" i="1" a="1"/>
  <c r="D347" i="1" s="1"/>
  <c r="B347" i="1"/>
  <c r="AC346" i="1"/>
  <c r="D346" i="1"/>
  <c r="D346" i="1" a="1"/>
  <c r="B346" i="1"/>
  <c r="AC345" i="1"/>
  <c r="D345" i="1" a="1"/>
  <c r="D345" i="1" s="1"/>
  <c r="B345" i="1"/>
  <c r="AC344" i="1"/>
  <c r="D344" i="1"/>
  <c r="D344" i="1" a="1"/>
  <c r="B344" i="1"/>
  <c r="AC343" i="1"/>
  <c r="D343" i="1" a="1"/>
  <c r="D343" i="1" s="1"/>
  <c r="B343" i="1"/>
  <c r="AC342" i="1"/>
  <c r="D342" i="1"/>
  <c r="D342" i="1" a="1"/>
  <c r="B342" i="1"/>
  <c r="AC341" i="1"/>
  <c r="D341" i="1" a="1"/>
  <c r="D341" i="1" s="1"/>
  <c r="B341" i="1"/>
  <c r="AC340" i="1"/>
  <c r="D340" i="1"/>
  <c r="D340" i="1" a="1"/>
  <c r="B340" i="1"/>
  <c r="AC339" i="1"/>
  <c r="D339" i="1" a="1"/>
  <c r="D339" i="1" s="1"/>
  <c r="B339" i="1"/>
  <c r="AC338" i="1"/>
  <c r="D338" i="1"/>
  <c r="D338" i="1" a="1"/>
  <c r="B338" i="1"/>
  <c r="AC337" i="1"/>
  <c r="D337" i="1" a="1"/>
  <c r="D337" i="1" s="1"/>
  <c r="B337" i="1"/>
  <c r="AC336" i="1"/>
  <c r="D336" i="1"/>
  <c r="D336" i="1" a="1"/>
  <c r="B336" i="1"/>
  <c r="AC335" i="1"/>
  <c r="D335" i="1" a="1"/>
  <c r="D335" i="1" s="1"/>
  <c r="B335" i="1"/>
  <c r="AC334" i="1"/>
  <c r="D334" i="1"/>
  <c r="D334" i="1" a="1"/>
  <c r="B334" i="1"/>
  <c r="AC333" i="1"/>
  <c r="D333" i="1" a="1"/>
  <c r="D333" i="1" s="1"/>
  <c r="B333" i="1"/>
  <c r="AC332" i="1"/>
  <c r="D332" i="1"/>
  <c r="D332" i="1" a="1"/>
  <c r="B332" i="1"/>
  <c r="AC331" i="1"/>
  <c r="D331" i="1" a="1"/>
  <c r="D331" i="1" s="1"/>
  <c r="B331" i="1"/>
  <c r="AC330" i="1"/>
  <c r="D330" i="1"/>
  <c r="D330" i="1" a="1"/>
  <c r="B330" i="1"/>
  <c r="AC329" i="1"/>
  <c r="D329" i="1" a="1"/>
  <c r="D329" i="1" s="1"/>
  <c r="B329" i="1"/>
  <c r="AC328" i="1"/>
  <c r="D328" i="1"/>
  <c r="D328" i="1" a="1"/>
  <c r="B328" i="1"/>
  <c r="AC327" i="1"/>
  <c r="D327" i="1" a="1"/>
  <c r="D327" i="1" s="1"/>
  <c r="B327" i="1"/>
  <c r="AC326" i="1"/>
  <c r="D326" i="1"/>
  <c r="D326" i="1" a="1"/>
  <c r="B326" i="1"/>
  <c r="AC325" i="1"/>
  <c r="D325" i="1" a="1"/>
  <c r="D325" i="1" s="1"/>
  <c r="B325" i="1"/>
  <c r="AC324" i="1"/>
  <c r="D324" i="1"/>
  <c r="D324" i="1" a="1"/>
  <c r="B324" i="1"/>
  <c r="AC323" i="1"/>
  <c r="D323" i="1" a="1"/>
  <c r="D323" i="1" s="1"/>
  <c r="B323" i="1"/>
  <c r="AC322" i="1"/>
  <c r="D322" i="1"/>
  <c r="D322" i="1" a="1"/>
  <c r="B322" i="1"/>
  <c r="AC321" i="1"/>
  <c r="D321" i="1" a="1"/>
  <c r="D321" i="1" s="1"/>
  <c r="B321" i="1"/>
  <c r="AC320" i="1"/>
  <c r="D320" i="1"/>
  <c r="D320" i="1" a="1"/>
  <c r="B320" i="1"/>
  <c r="AC319" i="1"/>
  <c r="D319" i="1" a="1"/>
  <c r="D319" i="1" s="1"/>
  <c r="B319" i="1"/>
  <c r="AC318" i="1"/>
  <c r="D318" i="1"/>
  <c r="D318" i="1" a="1"/>
  <c r="B318" i="1"/>
  <c r="AC317" i="1"/>
  <c r="D317" i="1" a="1"/>
  <c r="D317" i="1" s="1"/>
  <c r="B317" i="1"/>
  <c r="AC316" i="1"/>
  <c r="D316" i="1"/>
  <c r="D316" i="1" a="1"/>
  <c r="B316" i="1"/>
  <c r="AC315" i="1"/>
  <c r="D315" i="1" a="1"/>
  <c r="D315" i="1" s="1"/>
  <c r="B315" i="1"/>
  <c r="AC314" i="1"/>
  <c r="D314" i="1"/>
  <c r="D314" i="1" a="1"/>
  <c r="B314" i="1"/>
  <c r="AC313" i="1"/>
  <c r="D313" i="1" a="1"/>
  <c r="D313" i="1" s="1"/>
  <c r="B313" i="1"/>
  <c r="AC312" i="1"/>
  <c r="D312" i="1"/>
  <c r="D312" i="1" a="1"/>
  <c r="B312" i="1"/>
  <c r="AC311" i="1"/>
  <c r="D311" i="1" a="1"/>
  <c r="D311" i="1" s="1"/>
  <c r="B311" i="1"/>
  <c r="AC310" i="1"/>
  <c r="D310" i="1"/>
  <c r="D310" i="1" a="1"/>
  <c r="B310" i="1"/>
  <c r="AC309" i="1"/>
  <c r="D309" i="1" a="1"/>
  <c r="D309" i="1" s="1"/>
  <c r="B309" i="1"/>
  <c r="AC308" i="1"/>
  <c r="D308" i="1"/>
  <c r="D308" i="1" a="1"/>
  <c r="B308" i="1"/>
  <c r="AC307" i="1"/>
  <c r="D307" i="1" a="1"/>
  <c r="D307" i="1" s="1"/>
  <c r="B307" i="1"/>
  <c r="AC306" i="1"/>
  <c r="D306" i="1"/>
  <c r="D306" i="1" a="1"/>
  <c r="B306" i="1"/>
  <c r="AC305" i="1"/>
  <c r="D305" i="1" a="1"/>
  <c r="D305" i="1" s="1"/>
  <c r="B305" i="1"/>
  <c r="AC304" i="1"/>
  <c r="D304" i="1"/>
  <c r="D304" i="1" a="1"/>
  <c r="B304" i="1"/>
  <c r="AC303" i="1"/>
  <c r="D303" i="1" a="1"/>
  <c r="D303" i="1" s="1"/>
  <c r="B303" i="1"/>
  <c r="AC302" i="1"/>
  <c r="D302" i="1"/>
  <c r="D302" i="1" a="1"/>
  <c r="B302" i="1"/>
  <c r="AC301" i="1"/>
  <c r="D301" i="1" a="1"/>
  <c r="D301" i="1" s="1"/>
  <c r="B301" i="1"/>
  <c r="AC300" i="1"/>
  <c r="D300" i="1"/>
  <c r="D300" i="1" a="1"/>
  <c r="B300" i="1"/>
  <c r="AC299" i="1"/>
  <c r="D299" i="1" a="1"/>
  <c r="D299" i="1" s="1"/>
  <c r="B299" i="1"/>
  <c r="AC298" i="1"/>
  <c r="D298" i="1"/>
  <c r="D298" i="1" a="1"/>
  <c r="B298" i="1"/>
  <c r="AC297" i="1"/>
  <c r="D297" i="1" a="1"/>
  <c r="D297" i="1" s="1"/>
  <c r="B297" i="1"/>
  <c r="AC296" i="1"/>
  <c r="D296" i="1"/>
  <c r="D296" i="1" a="1"/>
  <c r="B296" i="1"/>
  <c r="AC295" i="1"/>
  <c r="D295" i="1" a="1"/>
  <c r="D295" i="1" s="1"/>
  <c r="B295" i="1"/>
  <c r="AC294" i="1"/>
  <c r="D294" i="1"/>
  <c r="D294" i="1" a="1"/>
  <c r="B294" i="1"/>
  <c r="AC293" i="1"/>
  <c r="D293" i="1" a="1"/>
  <c r="D293" i="1" s="1"/>
  <c r="B293" i="1"/>
  <c r="AC292" i="1"/>
  <c r="D292" i="1"/>
  <c r="D292" i="1" a="1"/>
  <c r="B292" i="1"/>
  <c r="AC291" i="1"/>
  <c r="D291" i="1" a="1"/>
  <c r="D291" i="1" s="1"/>
  <c r="B291" i="1"/>
  <c r="AC290" i="1"/>
  <c r="D290" i="1"/>
  <c r="D290" i="1" a="1"/>
  <c r="B290" i="1"/>
  <c r="AC289" i="1"/>
  <c r="D289" i="1" a="1"/>
  <c r="D289" i="1" s="1"/>
  <c r="B289" i="1"/>
  <c r="AC288" i="1"/>
  <c r="D288" i="1"/>
  <c r="D288" i="1" a="1"/>
  <c r="B288" i="1"/>
  <c r="AC287" i="1"/>
  <c r="D287" i="1" a="1"/>
  <c r="D287" i="1" s="1"/>
  <c r="B287" i="1"/>
  <c r="AC286" i="1"/>
  <c r="D286" i="1"/>
  <c r="D286" i="1" a="1"/>
  <c r="B286" i="1"/>
  <c r="AC285" i="1"/>
  <c r="D285" i="1" a="1"/>
  <c r="D285" i="1" s="1"/>
  <c r="B285" i="1"/>
  <c r="AC284" i="1"/>
  <c r="D284" i="1"/>
  <c r="D284" i="1" a="1"/>
  <c r="B284" i="1"/>
  <c r="AC283" i="1"/>
  <c r="D283" i="1" a="1"/>
  <c r="D283" i="1" s="1"/>
  <c r="B283" i="1"/>
  <c r="AC282" i="1"/>
  <c r="D282" i="1"/>
  <c r="D282" i="1" a="1"/>
  <c r="B282" i="1"/>
  <c r="AC281" i="1"/>
  <c r="D281" i="1" a="1"/>
  <c r="D281" i="1" s="1"/>
  <c r="B281" i="1"/>
  <c r="AC280" i="1"/>
  <c r="D280" i="1"/>
  <c r="D280" i="1" a="1"/>
  <c r="B280" i="1"/>
  <c r="AC279" i="1"/>
  <c r="D279" i="1" a="1"/>
  <c r="D279" i="1" s="1"/>
  <c r="B279" i="1"/>
  <c r="AC278" i="1"/>
  <c r="D278" i="1"/>
  <c r="D278" i="1" a="1"/>
  <c r="B278" i="1"/>
  <c r="AC277" i="1"/>
  <c r="D277" i="1" a="1"/>
  <c r="D277" i="1" s="1"/>
  <c r="B277" i="1"/>
  <c r="AC276" i="1"/>
  <c r="D276" i="1"/>
  <c r="D276" i="1" a="1"/>
  <c r="B276" i="1"/>
  <c r="AC275" i="1"/>
  <c r="D275" i="1" a="1"/>
  <c r="D275" i="1" s="1"/>
  <c r="B275" i="1"/>
  <c r="AC274" i="1"/>
  <c r="D274" i="1"/>
  <c r="D274" i="1" a="1"/>
  <c r="B274" i="1"/>
  <c r="AC273" i="1"/>
  <c r="D273" i="1" a="1"/>
  <c r="D273" i="1" s="1"/>
  <c r="B273" i="1"/>
  <c r="AC272" i="1"/>
  <c r="D272" i="1"/>
  <c r="D272" i="1" a="1"/>
  <c r="B272" i="1"/>
  <c r="AC271" i="1"/>
  <c r="D271" i="1" a="1"/>
  <c r="D271" i="1" s="1"/>
  <c r="B271" i="1"/>
  <c r="AC270" i="1"/>
  <c r="D270" i="1"/>
  <c r="D270" i="1" a="1"/>
  <c r="B270" i="1"/>
  <c r="AC269" i="1"/>
  <c r="D269" i="1" a="1"/>
  <c r="D269" i="1" s="1"/>
  <c r="B269" i="1"/>
  <c r="AC268" i="1"/>
  <c r="D268" i="1"/>
  <c r="D268" i="1" a="1"/>
  <c r="B268" i="1"/>
  <c r="AC267" i="1"/>
  <c r="D267" i="1" a="1"/>
  <c r="D267" i="1" s="1"/>
  <c r="B267" i="1"/>
  <c r="AC266" i="1"/>
  <c r="D266" i="1"/>
  <c r="D266" i="1" a="1"/>
  <c r="B266" i="1"/>
  <c r="AC265" i="1"/>
  <c r="D265" i="1" a="1"/>
  <c r="D265" i="1" s="1"/>
  <c r="B265" i="1"/>
  <c r="AC264" i="1"/>
  <c r="D264" i="1"/>
  <c r="D264" i="1" a="1"/>
  <c r="B264" i="1"/>
  <c r="AC263" i="1"/>
  <c r="D263" i="1" a="1"/>
  <c r="D263" i="1" s="1"/>
  <c r="B263" i="1"/>
  <c r="AC262" i="1"/>
  <c r="D262" i="1"/>
  <c r="D262" i="1" a="1"/>
  <c r="B262" i="1"/>
  <c r="AC261" i="1"/>
  <c r="D261" i="1" a="1"/>
  <c r="D261" i="1" s="1"/>
  <c r="B261" i="1"/>
  <c r="AC260" i="1"/>
  <c r="D260" i="1"/>
  <c r="D260" i="1" a="1"/>
  <c r="B260" i="1"/>
  <c r="AC259" i="1"/>
  <c r="D259" i="1" a="1"/>
  <c r="D259" i="1" s="1"/>
  <c r="B259" i="1"/>
  <c r="AC258" i="1"/>
  <c r="D258" i="1"/>
  <c r="D258" i="1" a="1"/>
  <c r="B258" i="1"/>
  <c r="AC257" i="1"/>
  <c r="D257" i="1" a="1"/>
  <c r="D257" i="1" s="1"/>
  <c r="B257" i="1"/>
  <c r="AC256" i="1"/>
  <c r="D256" i="1"/>
  <c r="D256" i="1" a="1"/>
  <c r="B256" i="1"/>
  <c r="AC255" i="1"/>
  <c r="D255" i="1" a="1"/>
  <c r="D255" i="1" s="1"/>
  <c r="B255" i="1"/>
  <c r="AC254" i="1"/>
  <c r="D254" i="1"/>
  <c r="D254" i="1" a="1"/>
  <c r="B254" i="1"/>
  <c r="AC253" i="1"/>
  <c r="D253" i="1" a="1"/>
  <c r="D253" i="1" s="1"/>
  <c r="B253" i="1"/>
  <c r="AC252" i="1"/>
  <c r="D252" i="1"/>
  <c r="D252" i="1" a="1"/>
  <c r="B252" i="1"/>
  <c r="AC251" i="1"/>
  <c r="D251" i="1" a="1"/>
  <c r="D251" i="1" s="1"/>
  <c r="B251" i="1"/>
  <c r="AC250" i="1"/>
  <c r="D250" i="1"/>
  <c r="D250" i="1" a="1"/>
  <c r="B250" i="1"/>
  <c r="AC249" i="1"/>
  <c r="D249" i="1" a="1"/>
  <c r="D249" i="1" s="1"/>
  <c r="B249" i="1"/>
  <c r="AC248" i="1"/>
  <c r="D248" i="1"/>
  <c r="D248" i="1" a="1"/>
  <c r="B248" i="1"/>
  <c r="AC247" i="1"/>
  <c r="D247" i="1" a="1"/>
  <c r="D247" i="1" s="1"/>
  <c r="B247" i="1"/>
  <c r="AC246" i="1"/>
  <c r="D246" i="1"/>
  <c r="D246" i="1" a="1"/>
  <c r="B246" i="1"/>
  <c r="AC245" i="1"/>
  <c r="D245" i="1" a="1"/>
  <c r="D245" i="1" s="1"/>
  <c r="B245" i="1"/>
  <c r="AC244" i="1"/>
  <c r="D244" i="1"/>
  <c r="D244" i="1" a="1"/>
  <c r="B244" i="1"/>
  <c r="AC243" i="1"/>
  <c r="D243" i="1" a="1"/>
  <c r="D243" i="1" s="1"/>
  <c r="B243" i="1"/>
  <c r="AC242" i="1"/>
  <c r="D242" i="1"/>
  <c r="D242" i="1" a="1"/>
  <c r="B242" i="1"/>
  <c r="AC241" i="1"/>
  <c r="D241" i="1" a="1"/>
  <c r="D241" i="1" s="1"/>
  <c r="B241" i="1"/>
  <c r="AC240" i="1"/>
  <c r="D240" i="1"/>
  <c r="D240" i="1" a="1"/>
  <c r="B240" i="1"/>
  <c r="AC239" i="1"/>
  <c r="D239" i="1" a="1"/>
  <c r="D239" i="1" s="1"/>
  <c r="B239" i="1"/>
  <c r="AC238" i="1"/>
  <c r="D238" i="1"/>
  <c r="D238" i="1" a="1"/>
  <c r="B238" i="1"/>
  <c r="AC237" i="1"/>
  <c r="D237" i="1" a="1"/>
  <c r="D237" i="1" s="1"/>
  <c r="B237" i="1"/>
  <c r="AC236" i="1"/>
  <c r="D236" i="1"/>
  <c r="D236" i="1" a="1"/>
  <c r="B236" i="1"/>
  <c r="AC235" i="1"/>
  <c r="D235" i="1" a="1"/>
  <c r="D235" i="1" s="1"/>
  <c r="B235" i="1"/>
  <c r="AC234" i="1"/>
  <c r="D234" i="1"/>
  <c r="D234" i="1" a="1"/>
  <c r="B234" i="1"/>
  <c r="AC233" i="1"/>
  <c r="D233" i="1" a="1"/>
  <c r="D233" i="1" s="1"/>
  <c r="B233" i="1"/>
  <c r="AC232" i="1"/>
  <c r="D232" i="1"/>
  <c r="D232" i="1" a="1"/>
  <c r="B232" i="1"/>
  <c r="AC231" i="1"/>
  <c r="D231" i="1" a="1"/>
  <c r="D231" i="1" s="1"/>
  <c r="B231" i="1"/>
  <c r="AC230" i="1"/>
  <c r="D230" i="1"/>
  <c r="D230" i="1" a="1"/>
  <c r="B230" i="1"/>
  <c r="AC229" i="1"/>
  <c r="D229" i="1" a="1"/>
  <c r="D229" i="1" s="1"/>
  <c r="B229" i="1"/>
  <c r="AC228" i="1"/>
  <c r="D228" i="1"/>
  <c r="D228" i="1" a="1"/>
  <c r="B228" i="1"/>
  <c r="AC227" i="1"/>
  <c r="D227" i="1" a="1"/>
  <c r="D227" i="1" s="1"/>
  <c r="B227" i="1"/>
  <c r="AC226" i="1"/>
  <c r="D226" i="1"/>
  <c r="D226" i="1" a="1"/>
  <c r="B226" i="1"/>
  <c r="AC225" i="1"/>
  <c r="D225" i="1" a="1"/>
  <c r="D225" i="1" s="1"/>
  <c r="B225" i="1"/>
  <c r="AC224" i="1"/>
  <c r="D224" i="1"/>
  <c r="D224" i="1" a="1"/>
  <c r="B224" i="1"/>
  <c r="AC223" i="1"/>
  <c r="D223" i="1" a="1"/>
  <c r="D223" i="1" s="1"/>
  <c r="B223" i="1"/>
  <c r="AC222" i="1"/>
  <c r="D222" i="1"/>
  <c r="D222" i="1" a="1"/>
  <c r="B222" i="1"/>
  <c r="AC221" i="1"/>
  <c r="D221" i="1" a="1"/>
  <c r="D221" i="1" s="1"/>
  <c r="B221" i="1"/>
  <c r="AC220" i="1"/>
  <c r="D220" i="1"/>
  <c r="D220" i="1" a="1"/>
  <c r="B220" i="1"/>
  <c r="AC219" i="1"/>
  <c r="D219" i="1" a="1"/>
  <c r="D219" i="1" s="1"/>
  <c r="B219" i="1"/>
  <c r="AC218" i="1"/>
  <c r="D218" i="1"/>
  <c r="D218" i="1" a="1"/>
  <c r="B218" i="1"/>
  <c r="AC217" i="1"/>
  <c r="D217" i="1" a="1"/>
  <c r="D217" i="1" s="1"/>
  <c r="B217" i="1"/>
  <c r="AC216" i="1"/>
  <c r="D216" i="1"/>
  <c r="D216" i="1" a="1"/>
  <c r="B216" i="1"/>
  <c r="AC215" i="1"/>
  <c r="D215" i="1" a="1"/>
  <c r="D215" i="1" s="1"/>
  <c r="B215" i="1"/>
  <c r="AC214" i="1"/>
  <c r="D214" i="1"/>
  <c r="D214" i="1" a="1"/>
  <c r="B214" i="1"/>
  <c r="AC213" i="1"/>
  <c r="D213" i="1" a="1"/>
  <c r="D213" i="1" s="1"/>
  <c r="B213" i="1"/>
  <c r="AC212" i="1"/>
  <c r="D212" i="1"/>
  <c r="D212" i="1" a="1"/>
  <c r="B212" i="1"/>
  <c r="AC211" i="1"/>
  <c r="D211" i="1" a="1"/>
  <c r="D211" i="1" s="1"/>
  <c r="B211" i="1"/>
  <c r="AC210" i="1"/>
  <c r="D210" i="1"/>
  <c r="D210" i="1" a="1"/>
  <c r="B210" i="1"/>
  <c r="AC209" i="1"/>
  <c r="D209" i="1" a="1"/>
  <c r="D209" i="1" s="1"/>
  <c r="B209" i="1"/>
  <c r="AC208" i="1"/>
  <c r="D208" i="1"/>
  <c r="D208" i="1" a="1"/>
  <c r="B208" i="1"/>
  <c r="AC207" i="1"/>
  <c r="D207" i="1" a="1"/>
  <c r="D207" i="1" s="1"/>
  <c r="B207" i="1"/>
  <c r="AC206" i="1"/>
  <c r="D206" i="1"/>
  <c r="D206" i="1" a="1"/>
  <c r="B206" i="1"/>
  <c r="AC205" i="1"/>
  <c r="D205" i="1" a="1"/>
  <c r="D205" i="1" s="1"/>
  <c r="B205" i="1"/>
  <c r="AC204" i="1"/>
  <c r="D204" i="1"/>
  <c r="D204" i="1" a="1"/>
  <c r="B204" i="1"/>
  <c r="AC203" i="1"/>
  <c r="D203" i="1" a="1"/>
  <c r="D203" i="1" s="1"/>
  <c r="B203" i="1"/>
  <c r="AC202" i="1"/>
  <c r="D202" i="1"/>
  <c r="D202" i="1" a="1"/>
  <c r="B202" i="1"/>
  <c r="AC201" i="1"/>
  <c r="D201" i="1" a="1"/>
  <c r="D201" i="1" s="1"/>
  <c r="B201" i="1"/>
  <c r="AC200" i="1"/>
  <c r="D200" i="1"/>
  <c r="D200" i="1" a="1"/>
  <c r="B200" i="1"/>
  <c r="AC199" i="1"/>
  <c r="D199" i="1" a="1"/>
  <c r="D199" i="1" s="1"/>
  <c r="B199" i="1"/>
  <c r="AC198" i="1"/>
  <c r="D198" i="1"/>
  <c r="D198" i="1" a="1"/>
  <c r="B198" i="1"/>
  <c r="AC197" i="1"/>
  <c r="D197" i="1" a="1"/>
  <c r="D197" i="1" s="1"/>
  <c r="B197" i="1"/>
  <c r="AC196" i="1"/>
  <c r="D196" i="1"/>
  <c r="D196" i="1" a="1"/>
  <c r="B196" i="1"/>
  <c r="AC195" i="1"/>
  <c r="D195" i="1" a="1"/>
  <c r="D195" i="1" s="1"/>
  <c r="B195" i="1"/>
  <c r="AC194" i="1"/>
  <c r="D194" i="1"/>
  <c r="D194" i="1" a="1"/>
  <c r="B194" i="1"/>
  <c r="AC193" i="1"/>
  <c r="D193" i="1" a="1"/>
  <c r="D193" i="1" s="1"/>
  <c r="B193" i="1"/>
  <c r="AC192" i="1"/>
  <c r="D192" i="1"/>
  <c r="D192" i="1" a="1"/>
  <c r="B192" i="1"/>
  <c r="AC191" i="1"/>
  <c r="D191" i="1" a="1"/>
  <c r="D191" i="1" s="1"/>
  <c r="B191" i="1"/>
  <c r="AC190" i="1"/>
  <c r="D190" i="1"/>
  <c r="D190" i="1" a="1"/>
  <c r="B190" i="1"/>
  <c r="AC189" i="1"/>
  <c r="D189" i="1" a="1"/>
  <c r="D189" i="1" s="1"/>
  <c r="B189" i="1"/>
  <c r="AC188" i="1"/>
  <c r="D188" i="1"/>
  <c r="D188" i="1" a="1"/>
  <c r="B188" i="1"/>
  <c r="AC187" i="1"/>
  <c r="D187" i="1" a="1"/>
  <c r="D187" i="1" s="1"/>
  <c r="B187" i="1"/>
  <c r="AC186" i="1"/>
  <c r="D186" i="1"/>
  <c r="D186" i="1" a="1"/>
  <c r="B186" i="1"/>
  <c r="AC185" i="1"/>
  <c r="D185" i="1" a="1"/>
  <c r="D185" i="1" s="1"/>
  <c r="B185" i="1"/>
  <c r="AC184" i="1"/>
  <c r="D184" i="1"/>
  <c r="D184" i="1" a="1"/>
  <c r="B184" i="1"/>
  <c r="AC183" i="1"/>
  <c r="D183" i="1"/>
  <c r="D183" i="1" a="1"/>
  <c r="B183" i="1"/>
  <c r="AC182" i="1"/>
  <c r="D182" i="1" a="1"/>
  <c r="D182" i="1" s="1"/>
  <c r="B182" i="1"/>
  <c r="AC181" i="1"/>
  <c r="D181" i="1" a="1"/>
  <c r="D181" i="1" s="1"/>
  <c r="B181" i="1"/>
  <c r="AC180" i="1"/>
  <c r="D180" i="1"/>
  <c r="D180" i="1" a="1"/>
  <c r="B180" i="1"/>
  <c r="AC179" i="1"/>
  <c r="D179" i="1"/>
  <c r="D179" i="1" a="1"/>
  <c r="B179" i="1"/>
  <c r="AC178" i="1"/>
  <c r="D178" i="1" a="1"/>
  <c r="D178" i="1" s="1"/>
  <c r="B178" i="1"/>
  <c r="AC177" i="1"/>
  <c r="D177" i="1" a="1"/>
  <c r="D177" i="1" s="1"/>
  <c r="B177" i="1"/>
  <c r="AC176" i="1"/>
  <c r="D176" i="1"/>
  <c r="D176" i="1" a="1"/>
  <c r="B176" i="1"/>
  <c r="AC175" i="1"/>
  <c r="D175" i="1"/>
  <c r="D175" i="1" a="1"/>
  <c r="B175" i="1"/>
  <c r="AC174" i="1"/>
  <c r="D174" i="1" a="1"/>
  <c r="D174" i="1" s="1"/>
  <c r="B174" i="1"/>
  <c r="AC173" i="1"/>
  <c r="D173" i="1" a="1"/>
  <c r="D173" i="1" s="1"/>
  <c r="B173" i="1"/>
  <c r="AC172" i="1"/>
  <c r="D172" i="1"/>
  <c r="D172" i="1" a="1"/>
  <c r="B172" i="1"/>
  <c r="AC171" i="1"/>
  <c r="D171" i="1"/>
  <c r="D171" i="1" a="1"/>
  <c r="B171" i="1"/>
  <c r="AC170" i="1"/>
  <c r="D170" i="1" a="1"/>
  <c r="D170" i="1" s="1"/>
  <c r="B170" i="1"/>
  <c r="AC169" i="1"/>
  <c r="D169" i="1" a="1"/>
  <c r="D169" i="1" s="1"/>
  <c r="B169" i="1"/>
  <c r="AC168" i="1"/>
  <c r="D168" i="1"/>
  <c r="D168" i="1" a="1"/>
  <c r="B168" i="1"/>
  <c r="AC167" i="1"/>
  <c r="D167" i="1"/>
  <c r="D167" i="1" a="1"/>
  <c r="B167" i="1"/>
  <c r="AC166" i="1"/>
  <c r="D166" i="1" a="1"/>
  <c r="D166" i="1" s="1"/>
  <c r="B166" i="1"/>
  <c r="AC165" i="1"/>
  <c r="D165" i="1" a="1"/>
  <c r="D165" i="1" s="1"/>
  <c r="B165" i="1"/>
  <c r="AC164" i="1"/>
  <c r="D164" i="1"/>
  <c r="D164" i="1" a="1"/>
  <c r="B164" i="1"/>
  <c r="AC163" i="1"/>
  <c r="D163" i="1"/>
  <c r="D163" i="1" a="1"/>
  <c r="B163" i="1"/>
  <c r="AC162" i="1"/>
  <c r="D162" i="1" a="1"/>
  <c r="D162" i="1" s="1"/>
  <c r="B162" i="1"/>
  <c r="AC161" i="1"/>
  <c r="D161" i="1" a="1"/>
  <c r="D161" i="1" s="1"/>
  <c r="B161" i="1"/>
  <c r="AC160" i="1"/>
  <c r="D160" i="1"/>
  <c r="D160" i="1" a="1"/>
  <c r="B160" i="1"/>
  <c r="AC159" i="1"/>
  <c r="D159" i="1"/>
  <c r="D159" i="1" a="1"/>
  <c r="B159" i="1"/>
  <c r="AC158" i="1"/>
  <c r="D158" i="1" a="1"/>
  <c r="D158" i="1" s="1"/>
  <c r="B158" i="1"/>
  <c r="AC157" i="1"/>
  <c r="D157" i="1" a="1"/>
  <c r="D157" i="1" s="1"/>
  <c r="B157" i="1"/>
  <c r="AC156" i="1"/>
  <c r="D156" i="1"/>
  <c r="D156" i="1" a="1"/>
  <c r="B156" i="1"/>
  <c r="AC155" i="1"/>
  <c r="D155" i="1"/>
  <c r="D155" i="1" a="1"/>
  <c r="B155" i="1"/>
  <c r="AC154" i="1"/>
  <c r="D154" i="1" a="1"/>
  <c r="D154" i="1" s="1"/>
  <c r="B154" i="1"/>
  <c r="AC153" i="1"/>
  <c r="D153" i="1" a="1"/>
  <c r="D153" i="1" s="1"/>
  <c r="B153" i="1"/>
  <c r="AC152" i="1"/>
  <c r="D152" i="1"/>
  <c r="D152" i="1" a="1"/>
  <c r="B152" i="1"/>
  <c r="AC151" i="1"/>
  <c r="D151" i="1"/>
  <c r="D151" i="1" a="1"/>
  <c r="B151" i="1"/>
  <c r="AC150" i="1"/>
  <c r="D150" i="1" a="1"/>
  <c r="D150" i="1" s="1"/>
  <c r="B150" i="1"/>
  <c r="AC149" i="1"/>
  <c r="D149" i="1" a="1"/>
  <c r="D149" i="1" s="1"/>
  <c r="B149" i="1"/>
  <c r="AC148" i="1"/>
  <c r="D148" i="1"/>
  <c r="D148" i="1" a="1"/>
  <c r="B148" i="1"/>
  <c r="AC147" i="1"/>
  <c r="D147" i="1"/>
  <c r="D147" i="1" a="1"/>
  <c r="B147" i="1"/>
  <c r="AC146" i="1"/>
  <c r="D146" i="1" a="1"/>
  <c r="D146" i="1" s="1"/>
  <c r="B146" i="1"/>
  <c r="AC145" i="1"/>
  <c r="D145" i="1" a="1"/>
  <c r="D145" i="1" s="1"/>
  <c r="B145" i="1"/>
  <c r="AC144" i="1"/>
  <c r="D144" i="1"/>
  <c r="D144" i="1" a="1"/>
  <c r="B144" i="1"/>
  <c r="AC143" i="1"/>
  <c r="D143" i="1"/>
  <c r="D143" i="1" a="1"/>
  <c r="B143" i="1"/>
  <c r="AC142" i="1"/>
  <c r="D142" i="1" a="1"/>
  <c r="D142" i="1" s="1"/>
  <c r="B142" i="1"/>
  <c r="AC141" i="1"/>
  <c r="D141" i="1" a="1"/>
  <c r="D141" i="1" s="1"/>
  <c r="B141" i="1"/>
  <c r="AC140" i="1"/>
  <c r="D140" i="1"/>
  <c r="D140" i="1" a="1"/>
  <c r="B140" i="1"/>
  <c r="AC139" i="1"/>
  <c r="D139" i="1"/>
  <c r="D139" i="1" a="1"/>
  <c r="B139" i="1"/>
  <c r="AC138" i="1"/>
  <c r="D138" i="1" a="1"/>
  <c r="D138" i="1" s="1"/>
  <c r="B138" i="1"/>
  <c r="AC137" i="1"/>
  <c r="D137" i="1" a="1"/>
  <c r="D137" i="1" s="1"/>
  <c r="B137" i="1"/>
  <c r="AC136" i="1"/>
  <c r="D136" i="1"/>
  <c r="D136" i="1" a="1"/>
  <c r="B136" i="1"/>
  <c r="AC135" i="1"/>
  <c r="D135" i="1"/>
  <c r="D135" i="1" a="1"/>
  <c r="B135" i="1"/>
  <c r="AC134" i="1"/>
  <c r="D134" i="1" a="1"/>
  <c r="D134" i="1" s="1"/>
  <c r="B134" i="1"/>
  <c r="AC133" i="1"/>
  <c r="D133" i="1" a="1"/>
  <c r="D133" i="1" s="1"/>
  <c r="B133" i="1"/>
  <c r="AC132" i="1"/>
  <c r="D132" i="1"/>
  <c r="D132" i="1" a="1"/>
  <c r="B132" i="1"/>
  <c r="AC131" i="1"/>
  <c r="D131" i="1"/>
  <c r="D131" i="1" a="1"/>
  <c r="B131" i="1"/>
  <c r="AC130" i="1"/>
  <c r="D130" i="1" a="1"/>
  <c r="D130" i="1" s="1"/>
  <c r="B130" i="1"/>
  <c r="AC129" i="1"/>
  <c r="D129" i="1" a="1"/>
  <c r="D129" i="1" s="1"/>
  <c r="B129" i="1"/>
  <c r="AC128" i="1"/>
  <c r="D128" i="1"/>
  <c r="D128" i="1" a="1"/>
  <c r="B128" i="1"/>
  <c r="AC127" i="1"/>
  <c r="D127" i="1"/>
  <c r="D127" i="1" a="1"/>
  <c r="B127" i="1"/>
  <c r="AC126" i="1"/>
  <c r="D126" i="1" a="1"/>
  <c r="D126" i="1" s="1"/>
  <c r="B126" i="1"/>
  <c r="AC125" i="1"/>
  <c r="D125" i="1" a="1"/>
  <c r="D125" i="1" s="1"/>
  <c r="B125" i="1"/>
  <c r="AC124" i="1"/>
  <c r="D124" i="1"/>
  <c r="D124" i="1" a="1"/>
  <c r="B124" i="1"/>
  <c r="AC123" i="1"/>
  <c r="D123" i="1"/>
  <c r="D123" i="1" a="1"/>
  <c r="B123" i="1"/>
  <c r="AC122" i="1"/>
  <c r="D122" i="1" a="1"/>
  <c r="D122" i="1" s="1"/>
  <c r="B122" i="1"/>
  <c r="AC121" i="1"/>
  <c r="D121" i="1" a="1"/>
  <c r="D121" i="1" s="1"/>
  <c r="B121" i="1"/>
  <c r="AC120" i="1"/>
  <c r="D120" i="1"/>
  <c r="D120" i="1" a="1"/>
  <c r="B120" i="1"/>
  <c r="AC119" i="1"/>
  <c r="D119" i="1"/>
  <c r="D119" i="1" a="1"/>
  <c r="B119" i="1"/>
  <c r="AC118" i="1"/>
  <c r="D118" i="1" a="1"/>
  <c r="D118" i="1" s="1"/>
  <c r="B118" i="1"/>
  <c r="AC117" i="1"/>
  <c r="D117" i="1" a="1"/>
  <c r="D117" i="1" s="1"/>
  <c r="B117" i="1"/>
  <c r="AC116" i="1"/>
  <c r="D116" i="1"/>
  <c r="D116" i="1" a="1"/>
  <c r="B116" i="1"/>
  <c r="AC115" i="1"/>
  <c r="D115" i="1"/>
  <c r="D115" i="1" a="1"/>
  <c r="B115" i="1"/>
  <c r="AC114" i="1"/>
  <c r="D114" i="1" a="1"/>
  <c r="D114" i="1" s="1"/>
  <c r="B114" i="1"/>
  <c r="AC113" i="1"/>
  <c r="D113" i="1" a="1"/>
  <c r="D113" i="1" s="1"/>
  <c r="B113" i="1"/>
  <c r="AC112" i="1"/>
  <c r="D112" i="1"/>
  <c r="D112" i="1" a="1"/>
  <c r="B112" i="1"/>
  <c r="AC111" i="1"/>
  <c r="D111" i="1"/>
  <c r="D111" i="1" a="1"/>
  <c r="B111" i="1"/>
  <c r="AC110" i="1"/>
  <c r="D110" i="1" a="1"/>
  <c r="D110" i="1" s="1"/>
  <c r="B110" i="1"/>
  <c r="AC109" i="1"/>
  <c r="D109" i="1" a="1"/>
  <c r="D109" i="1" s="1"/>
  <c r="B109" i="1"/>
  <c r="AC108" i="1"/>
  <c r="D108" i="1"/>
  <c r="D108" i="1" a="1"/>
  <c r="B108" i="1"/>
  <c r="AC107" i="1"/>
  <c r="D107" i="1"/>
  <c r="D107" i="1" a="1"/>
  <c r="B107" i="1"/>
  <c r="AC106" i="1"/>
  <c r="D106" i="1" a="1"/>
  <c r="D106" i="1" s="1"/>
  <c r="B106" i="1"/>
  <c r="AC105" i="1"/>
  <c r="D105" i="1" a="1"/>
  <c r="D105" i="1" s="1"/>
  <c r="B105" i="1"/>
  <c r="AC104" i="1"/>
  <c r="D104" i="1"/>
  <c r="D104" i="1" a="1"/>
  <c r="B104" i="1"/>
  <c r="AC103" i="1"/>
  <c r="D103" i="1"/>
  <c r="D103" i="1" a="1"/>
  <c r="B103" i="1"/>
  <c r="AC102" i="1"/>
  <c r="D102" i="1" a="1"/>
  <c r="D102" i="1" s="1"/>
  <c r="B102" i="1"/>
  <c r="AC101" i="1"/>
  <c r="D101" i="1" a="1"/>
  <c r="D101" i="1" s="1"/>
  <c r="B101" i="1"/>
  <c r="AC100" i="1"/>
  <c r="D100" i="1"/>
  <c r="D100" i="1" a="1"/>
  <c r="B100" i="1"/>
  <c r="AC99" i="1"/>
  <c r="D99" i="1"/>
  <c r="D99" i="1" a="1"/>
  <c r="B99" i="1"/>
  <c r="AC98" i="1"/>
  <c r="D98" i="1" a="1"/>
  <c r="D98" i="1" s="1"/>
  <c r="B98" i="1"/>
  <c r="AC97" i="1"/>
  <c r="D97" i="1" a="1"/>
  <c r="D97" i="1" s="1"/>
  <c r="B97" i="1"/>
  <c r="AC96" i="1"/>
  <c r="D96" i="1"/>
  <c r="D96" i="1" a="1"/>
  <c r="B96" i="1"/>
  <c r="AC95" i="1"/>
  <c r="D95" i="1"/>
  <c r="D95" i="1" a="1"/>
  <c r="B95" i="1"/>
  <c r="AC94" i="1"/>
  <c r="D94" i="1" a="1"/>
  <c r="D94" i="1" s="1"/>
  <c r="B94" i="1"/>
  <c r="AC93" i="1"/>
  <c r="D93" i="1" a="1"/>
  <c r="D93" i="1" s="1"/>
  <c r="B93" i="1"/>
  <c r="AC92" i="1"/>
  <c r="D92" i="1"/>
  <c r="D92" i="1" a="1"/>
  <c r="B92" i="1"/>
  <c r="AC91" i="1"/>
  <c r="D91" i="1"/>
  <c r="D91" i="1" a="1"/>
  <c r="B91" i="1"/>
  <c r="AC90" i="1"/>
  <c r="D90" i="1" a="1"/>
  <c r="D90" i="1" s="1"/>
  <c r="B90" i="1"/>
  <c r="AC89" i="1"/>
  <c r="D89" i="1" a="1"/>
  <c r="D89" i="1" s="1"/>
  <c r="B89" i="1"/>
  <c r="AC88" i="1"/>
  <c r="D88" i="1"/>
  <c r="D88" i="1" a="1"/>
  <c r="B88" i="1"/>
  <c r="AC87" i="1"/>
  <c r="D87" i="1"/>
  <c r="D87" i="1" a="1"/>
  <c r="B87" i="1"/>
  <c r="AC86" i="1"/>
  <c r="D86" i="1" a="1"/>
  <c r="D86" i="1" s="1"/>
  <c r="B86" i="1"/>
  <c r="AC85" i="1"/>
  <c r="D85" i="1" a="1"/>
  <c r="D85" i="1" s="1"/>
  <c r="B85" i="1"/>
  <c r="AC84" i="1"/>
  <c r="D84" i="1"/>
  <c r="D84" i="1" a="1"/>
  <c r="B84" i="1"/>
  <c r="AC83" i="1"/>
  <c r="D83" i="1"/>
  <c r="D83" i="1" a="1"/>
  <c r="B83" i="1"/>
  <c r="AC82" i="1"/>
  <c r="D82" i="1" a="1"/>
  <c r="D82" i="1" s="1"/>
  <c r="B82" i="1"/>
  <c r="AC81" i="1"/>
  <c r="D81" i="1" a="1"/>
  <c r="D81" i="1" s="1"/>
  <c r="B81" i="1"/>
  <c r="AC80" i="1"/>
  <c r="D80" i="1"/>
  <c r="D80" i="1" a="1"/>
  <c r="B80" i="1"/>
  <c r="AC79" i="1"/>
  <c r="D79" i="1"/>
  <c r="D79" i="1" a="1"/>
  <c r="B79" i="1"/>
  <c r="AC78" i="1"/>
  <c r="D78" i="1" a="1"/>
  <c r="D78" i="1" s="1"/>
  <c r="B78" i="1"/>
  <c r="AC77" i="1"/>
  <c r="D77" i="1" a="1"/>
  <c r="D77" i="1" s="1"/>
  <c r="B77" i="1"/>
  <c r="AC76" i="1"/>
  <c r="D76" i="1"/>
  <c r="D76" i="1" a="1"/>
  <c r="B76" i="1"/>
  <c r="AC75" i="1"/>
  <c r="D75" i="1"/>
  <c r="D75" i="1" a="1"/>
  <c r="B75" i="1"/>
  <c r="AC74" i="1"/>
  <c r="D74" i="1" a="1"/>
  <c r="D74" i="1" s="1"/>
  <c r="B74" i="1"/>
  <c r="AC73" i="1"/>
  <c r="D73" i="1" a="1"/>
  <c r="D73" i="1" s="1"/>
  <c r="B73" i="1"/>
  <c r="AC72" i="1"/>
  <c r="D72" i="1"/>
  <c r="D72" i="1" a="1"/>
  <c r="B72" i="1"/>
  <c r="AC71" i="1"/>
  <c r="D71" i="1"/>
  <c r="D71" i="1" a="1"/>
  <c r="B71" i="1"/>
  <c r="AC70" i="1"/>
  <c r="D70" i="1" a="1"/>
  <c r="D70" i="1" s="1"/>
  <c r="B70" i="1"/>
  <c r="AC69" i="1"/>
  <c r="D69" i="1" a="1"/>
  <c r="D69" i="1" s="1"/>
  <c r="B69" i="1"/>
  <c r="AC68" i="1"/>
  <c r="D68" i="1"/>
  <c r="D68" i="1" a="1"/>
  <c r="B68" i="1"/>
  <c r="AC67" i="1"/>
  <c r="D67" i="1"/>
  <c r="D67" i="1" a="1"/>
  <c r="B67" i="1"/>
  <c r="AC66" i="1"/>
  <c r="D66" i="1" a="1"/>
  <c r="D66" i="1" s="1"/>
  <c r="B66" i="1"/>
  <c r="AC65" i="1"/>
  <c r="D65" i="1" a="1"/>
  <c r="D65" i="1" s="1"/>
  <c r="B65" i="1"/>
  <c r="AC64" i="1"/>
  <c r="D64" i="1"/>
  <c r="D64" i="1" a="1"/>
  <c r="B64" i="1"/>
  <c r="AC63" i="1"/>
  <c r="D63" i="1"/>
  <c r="D63" i="1" a="1"/>
  <c r="B63" i="1"/>
  <c r="AC62" i="1"/>
  <c r="D62" i="1" a="1"/>
  <c r="D62" i="1" s="1"/>
  <c r="B62" i="1"/>
  <c r="AC61" i="1"/>
  <c r="D61" i="1" a="1"/>
  <c r="D61" i="1" s="1"/>
  <c r="B61" i="1"/>
  <c r="AC60" i="1"/>
  <c r="D60" i="1"/>
  <c r="D60" i="1" a="1"/>
  <c r="B60" i="1"/>
  <c r="AC59" i="1"/>
  <c r="D59" i="1"/>
  <c r="D59" i="1" a="1"/>
  <c r="B59" i="1"/>
  <c r="AC58" i="1"/>
  <c r="D58" i="1" a="1"/>
  <c r="D58" i="1" s="1"/>
  <c r="B58" i="1"/>
  <c r="AC57" i="1"/>
  <c r="D57" i="1" a="1"/>
  <c r="D57" i="1" s="1"/>
  <c r="B57" i="1"/>
  <c r="AC56" i="1"/>
  <c r="D56" i="1"/>
  <c r="D56" i="1" a="1"/>
  <c r="B56" i="1"/>
  <c r="AC55" i="1"/>
  <c r="D55" i="1"/>
  <c r="D55" i="1" a="1"/>
  <c r="B55" i="1"/>
  <c r="AC54" i="1"/>
  <c r="D54" i="1" a="1"/>
  <c r="D54" i="1" s="1"/>
  <c r="B54" i="1"/>
  <c r="AC53" i="1"/>
  <c r="D53" i="1" a="1"/>
  <c r="D53" i="1" s="1"/>
  <c r="B53" i="1"/>
  <c r="AC52" i="1"/>
  <c r="D52" i="1"/>
  <c r="D52" i="1" a="1"/>
  <c r="B52" i="1"/>
  <c r="AC51" i="1"/>
  <c r="D51" i="1"/>
  <c r="D51" i="1" a="1"/>
  <c r="B51" i="1"/>
  <c r="AC50" i="1"/>
  <c r="D50" i="1" a="1"/>
  <c r="D50" i="1" s="1"/>
  <c r="B50" i="1"/>
  <c r="AC49" i="1"/>
  <c r="D49" i="1" a="1"/>
  <c r="D49" i="1" s="1"/>
  <c r="B49" i="1"/>
  <c r="AC48" i="1"/>
  <c r="D48" i="1"/>
  <c r="D48" i="1" a="1"/>
  <c r="B48" i="1"/>
  <c r="AC47" i="1"/>
  <c r="D47" i="1"/>
  <c r="D47" i="1" a="1"/>
  <c r="B47" i="1"/>
  <c r="AC46" i="1"/>
  <c r="D46" i="1" a="1"/>
  <c r="D46" i="1" s="1"/>
  <c r="B46" i="1"/>
  <c r="AC45" i="1"/>
  <c r="D45" i="1" a="1"/>
  <c r="D45" i="1" s="1"/>
  <c r="B45" i="1"/>
  <c r="AC44" i="1"/>
  <c r="D44" i="1"/>
  <c r="D44" i="1" a="1"/>
  <c r="B44" i="1"/>
  <c r="AC43" i="1"/>
  <c r="D43" i="1"/>
  <c r="D43" i="1" a="1"/>
  <c r="B43" i="1"/>
  <c r="AC42" i="1"/>
  <c r="D42" i="1" a="1"/>
  <c r="D42" i="1" s="1"/>
  <c r="B42" i="1"/>
  <c r="AC41" i="1"/>
  <c r="D41" i="1" a="1"/>
  <c r="D41" i="1" s="1"/>
  <c r="B41" i="1"/>
  <c r="AC40" i="1"/>
  <c r="D40" i="1"/>
  <c r="D40" i="1" a="1"/>
  <c r="B40" i="1"/>
  <c r="AC39" i="1"/>
  <c r="D39" i="1"/>
  <c r="D39" i="1" a="1"/>
  <c r="B39" i="1"/>
  <c r="AC38" i="1"/>
  <c r="D38" i="1" a="1"/>
  <c r="D38" i="1" s="1"/>
  <c r="B38" i="1"/>
  <c r="AC37" i="1"/>
  <c r="D37" i="1" a="1"/>
  <c r="D37" i="1" s="1"/>
  <c r="B37" i="1"/>
  <c r="AC36" i="1"/>
  <c r="D36" i="1"/>
  <c r="D36" i="1" a="1"/>
  <c r="B36" i="1"/>
  <c r="AC35" i="1"/>
  <c r="D35" i="1"/>
  <c r="D35" i="1" a="1"/>
  <c r="B35" i="1"/>
  <c r="AC34" i="1"/>
  <c r="D34" i="1" a="1"/>
  <c r="D34" i="1" s="1"/>
  <c r="B34" i="1"/>
  <c r="AC33" i="1"/>
  <c r="D33" i="1" a="1"/>
  <c r="D33" i="1" s="1"/>
  <c r="B33" i="1"/>
  <c r="AC32" i="1"/>
  <c r="D32" i="1"/>
  <c r="D32" i="1" a="1"/>
  <c r="B32" i="1"/>
  <c r="AC31" i="1"/>
  <c r="D31" i="1"/>
  <c r="D31" i="1" a="1"/>
  <c r="B31" i="1"/>
  <c r="AC30" i="1"/>
  <c r="D30" i="1" a="1"/>
  <c r="D30" i="1" s="1"/>
  <c r="B30" i="1"/>
  <c r="AC29" i="1"/>
  <c r="D29" i="1" a="1"/>
  <c r="D29" i="1" s="1"/>
  <c r="B29" i="1"/>
  <c r="AC28" i="1"/>
  <c r="D28" i="1"/>
  <c r="D28" i="1" a="1"/>
  <c r="B28" i="1"/>
  <c r="AC27" i="1"/>
  <c r="D27" i="1"/>
  <c r="D27" i="1" a="1"/>
  <c r="B27" i="1"/>
  <c r="AC26" i="1"/>
  <c r="D26" i="1" a="1"/>
  <c r="D26" i="1" s="1"/>
  <c r="B26" i="1"/>
  <c r="AC25" i="1"/>
  <c r="D25" i="1" a="1"/>
  <c r="D25" i="1" s="1"/>
  <c r="B25" i="1"/>
  <c r="AC24" i="1"/>
  <c r="D24" i="1"/>
  <c r="D24" i="1" a="1"/>
  <c r="B24" i="1"/>
  <c r="AC23" i="1"/>
  <c r="D23" i="1"/>
  <c r="D23" i="1" a="1"/>
  <c r="B23" i="1"/>
  <c r="AC22" i="1"/>
  <c r="D22" i="1" a="1"/>
  <c r="D22" i="1" s="1"/>
  <c r="B22" i="1"/>
  <c r="AC21" i="1"/>
  <c r="D21" i="1" a="1"/>
  <c r="D21" i="1" s="1"/>
  <c r="B21" i="1"/>
  <c r="AC20" i="1"/>
  <c r="D20" i="1"/>
  <c r="D20" i="1" a="1"/>
  <c r="B20" i="1"/>
  <c r="AC19" i="1"/>
  <c r="D19" i="1"/>
  <c r="D19" i="1" a="1"/>
  <c r="B19" i="1"/>
  <c r="AC18" i="1"/>
  <c r="D18" i="1" a="1"/>
  <c r="D18" i="1" s="1"/>
  <c r="B18" i="1"/>
  <c r="AC17" i="1"/>
  <c r="D17" i="1" a="1"/>
  <c r="D17" i="1" s="1"/>
  <c r="B17" i="1"/>
  <c r="AC16" i="1"/>
  <c r="D16" i="1"/>
  <c r="D16" i="1" a="1"/>
  <c r="B16" i="1"/>
  <c r="AC15" i="1"/>
  <c r="D15" i="1"/>
  <c r="D15" i="1" a="1"/>
  <c r="B15" i="1"/>
  <c r="AC14" i="1"/>
  <c r="D14" i="1" a="1"/>
  <c r="D14" i="1" s="1"/>
  <c r="B14" i="1"/>
  <c r="AC13" i="1"/>
  <c r="D13" i="1" a="1"/>
  <c r="D13" i="1" s="1"/>
  <c r="B13" i="1"/>
  <c r="AC12" i="1"/>
  <c r="D12" i="1"/>
  <c r="D12" i="1" a="1"/>
  <c r="B12" i="1"/>
  <c r="AC11" i="1"/>
  <c r="D11" i="1"/>
  <c r="D11" i="1" a="1"/>
  <c r="B11" i="1"/>
  <c r="AC10" i="1"/>
  <c r="D10" i="1" a="1"/>
  <c r="D10" i="1" s="1"/>
  <c r="B10" i="1"/>
  <c r="AC9" i="1"/>
  <c r="D9" i="1" a="1"/>
  <c r="D9" i="1" s="1"/>
  <c r="B9" i="1"/>
  <c r="AC8" i="1"/>
  <c r="D8" i="1"/>
  <c r="D8" i="1" a="1"/>
  <c r="B8" i="1"/>
  <c r="AC7" i="1"/>
  <c r="D7" i="1"/>
  <c r="D7" i="1" a="1"/>
  <c r="B7" i="1"/>
  <c r="AC6" i="1"/>
  <c r="D6" i="1" a="1"/>
  <c r="D6" i="1" s="1"/>
  <c r="B6" i="1"/>
  <c r="AC5" i="1"/>
  <c r="D5" i="1" a="1"/>
  <c r="D5" i="1" s="1"/>
  <c r="B5" i="1"/>
  <c r="AC4" i="1"/>
  <c r="D4" i="1"/>
  <c r="D4" i="1" a="1"/>
  <c r="B4" i="1"/>
  <c r="AC3" i="1"/>
  <c r="D3" i="1"/>
  <c r="D3" i="1" a="1"/>
  <c r="B3" i="1"/>
  <c r="AO2" i="1" a="1"/>
  <c r="AQ361" i="1" s="1"/>
  <c r="AC2" i="1"/>
  <c r="D2" i="1"/>
  <c r="D2" i="1" a="1"/>
  <c r="B2" i="1"/>
  <c r="AQ38" i="1" l="1"/>
  <c r="AQ42" i="1"/>
  <c r="AQ46" i="1"/>
  <c r="AQ50" i="1"/>
  <c r="AQ54" i="1"/>
  <c r="AQ58" i="1"/>
  <c r="AQ62" i="1"/>
  <c r="AQ66" i="1"/>
  <c r="AQ70" i="1"/>
  <c r="AQ74" i="1"/>
  <c r="AQ78" i="1"/>
  <c r="AQ90" i="1"/>
  <c r="AQ150" i="1"/>
  <c r="AQ154" i="1"/>
  <c r="AQ158" i="1"/>
  <c r="AQ162" i="1"/>
  <c r="AQ174" i="1"/>
  <c r="AQ178" i="1"/>
  <c r="AQ182" i="1"/>
  <c r="AQ236" i="1"/>
  <c r="AQ268" i="1"/>
  <c r="AQ284" i="1"/>
  <c r="AQ316" i="1"/>
  <c r="AQ348" i="1"/>
  <c r="AQ6" i="1"/>
  <c r="AQ10" i="1"/>
  <c r="AQ14" i="1"/>
  <c r="AQ18" i="1"/>
  <c r="AQ22" i="1"/>
  <c r="AQ26" i="1"/>
  <c r="AQ30" i="1"/>
  <c r="AQ34" i="1"/>
  <c r="AQ82" i="1"/>
  <c r="AQ86" i="1"/>
  <c r="AQ94" i="1"/>
  <c r="AQ98" i="1"/>
  <c r="AQ102" i="1"/>
  <c r="AQ106" i="1"/>
  <c r="AQ110" i="1"/>
  <c r="AQ114" i="1"/>
  <c r="AQ118" i="1"/>
  <c r="AQ122" i="1"/>
  <c r="AQ126" i="1"/>
  <c r="AQ130" i="1"/>
  <c r="AQ134" i="1"/>
  <c r="AQ138" i="1"/>
  <c r="AQ142" i="1"/>
  <c r="AQ146" i="1"/>
  <c r="AQ166" i="1"/>
  <c r="AQ170" i="1"/>
  <c r="AQ252" i="1"/>
  <c r="AQ300" i="1"/>
  <c r="AQ332" i="1"/>
  <c r="AQ3" i="1"/>
  <c r="AQ7" i="1"/>
  <c r="AQ11" i="1"/>
  <c r="AQ15" i="1"/>
  <c r="AQ19" i="1"/>
  <c r="AQ23" i="1"/>
  <c r="AQ27" i="1"/>
  <c r="AQ31" i="1"/>
  <c r="AQ35" i="1"/>
  <c r="AQ39" i="1"/>
  <c r="AQ43" i="1"/>
  <c r="AQ47" i="1"/>
  <c r="AQ51" i="1"/>
  <c r="AQ55" i="1"/>
  <c r="AQ59" i="1"/>
  <c r="AQ63" i="1"/>
  <c r="AQ67" i="1"/>
  <c r="AQ71" i="1"/>
  <c r="AQ75" i="1"/>
  <c r="AQ79" i="1"/>
  <c r="AQ83" i="1"/>
  <c r="AQ87" i="1"/>
  <c r="AQ91" i="1"/>
  <c r="AQ95" i="1"/>
  <c r="AQ99" i="1"/>
  <c r="AQ103" i="1"/>
  <c r="AQ107" i="1"/>
  <c r="AQ111" i="1"/>
  <c r="AQ115" i="1"/>
  <c r="AQ119" i="1"/>
  <c r="AQ123" i="1"/>
  <c r="AQ127" i="1"/>
  <c r="AQ131" i="1"/>
  <c r="AQ135" i="1"/>
  <c r="AQ139" i="1"/>
  <c r="AQ143" i="1"/>
  <c r="AQ147" i="1"/>
  <c r="AQ151" i="1"/>
  <c r="AQ155" i="1"/>
  <c r="AQ159" i="1"/>
  <c r="AQ163" i="1"/>
  <c r="AQ167" i="1"/>
  <c r="AQ171" i="1"/>
  <c r="AQ175" i="1"/>
  <c r="AQ179" i="1"/>
  <c r="AQ184" i="1"/>
  <c r="AQ186" i="1"/>
  <c r="AQ188" i="1"/>
  <c r="AQ190" i="1"/>
  <c r="AQ192" i="1"/>
  <c r="AQ194" i="1"/>
  <c r="AQ196" i="1"/>
  <c r="AQ198" i="1"/>
  <c r="AQ200" i="1"/>
  <c r="AQ202" i="1"/>
  <c r="AQ204" i="1"/>
  <c r="AQ206" i="1"/>
  <c r="AQ208" i="1"/>
  <c r="AQ210" i="1"/>
  <c r="AQ212" i="1"/>
  <c r="AQ214" i="1"/>
  <c r="AQ216" i="1"/>
  <c r="AQ218" i="1"/>
  <c r="AQ220" i="1"/>
  <c r="AQ222" i="1"/>
  <c r="AQ224" i="1"/>
  <c r="AQ226" i="1"/>
  <c r="AQ228" i="1"/>
  <c r="AQ230" i="1"/>
  <c r="AQ232" i="1"/>
  <c r="AQ248" i="1"/>
  <c r="AQ264" i="1"/>
  <c r="AQ280" i="1"/>
  <c r="AQ296" i="1"/>
  <c r="AQ312" i="1"/>
  <c r="AQ328" i="1"/>
  <c r="AQ344" i="1"/>
  <c r="AQ1001" i="1"/>
  <c r="AQ997" i="1"/>
  <c r="AQ993" i="1"/>
  <c r="AQ989" i="1"/>
  <c r="AQ985" i="1"/>
  <c r="AQ981" i="1"/>
  <c r="AQ977" i="1"/>
  <c r="AQ973" i="1"/>
  <c r="AQ969" i="1"/>
  <c r="AQ965" i="1"/>
  <c r="AQ961" i="1"/>
  <c r="AQ957" i="1"/>
  <c r="AQ953" i="1"/>
  <c r="AQ949" i="1"/>
  <c r="AQ945" i="1"/>
  <c r="AQ941" i="1"/>
  <c r="AQ937" i="1"/>
  <c r="AQ933" i="1"/>
  <c r="AQ929" i="1"/>
  <c r="AQ925" i="1"/>
  <c r="AQ921" i="1"/>
  <c r="AQ917" i="1"/>
  <c r="AQ913" i="1"/>
  <c r="AQ909" i="1"/>
  <c r="AQ905" i="1"/>
  <c r="AQ901" i="1"/>
  <c r="AQ897" i="1"/>
  <c r="AQ893" i="1"/>
  <c r="AQ889" i="1"/>
  <c r="AQ885" i="1"/>
  <c r="AQ881" i="1"/>
  <c r="AQ877" i="1"/>
  <c r="AQ873" i="1"/>
  <c r="AQ869" i="1"/>
  <c r="AQ865" i="1"/>
  <c r="AQ861" i="1"/>
  <c r="AQ857" i="1"/>
  <c r="AQ853" i="1"/>
  <c r="AQ849" i="1"/>
  <c r="AQ845" i="1"/>
  <c r="AQ841" i="1"/>
  <c r="AQ837" i="1"/>
  <c r="AQ833" i="1"/>
  <c r="AQ829" i="1"/>
  <c r="AQ825" i="1"/>
  <c r="AQ821" i="1"/>
  <c r="AQ817" i="1"/>
  <c r="AQ1000" i="1"/>
  <c r="AQ996" i="1"/>
  <c r="AQ992" i="1"/>
  <c r="AQ988" i="1"/>
  <c r="AQ984" i="1"/>
  <c r="AQ980" i="1"/>
  <c r="AQ976" i="1"/>
  <c r="AQ972" i="1"/>
  <c r="AQ968" i="1"/>
  <c r="AQ964" i="1"/>
  <c r="AQ960" i="1"/>
  <c r="AQ956" i="1"/>
  <c r="AQ952" i="1"/>
  <c r="AQ948" i="1"/>
  <c r="AQ944" i="1"/>
  <c r="AQ940" i="1"/>
  <c r="AQ936" i="1"/>
  <c r="AQ932" i="1"/>
  <c r="AQ928" i="1"/>
  <c r="AQ924" i="1"/>
  <c r="AQ920" i="1"/>
  <c r="AQ916" i="1"/>
  <c r="AQ912" i="1"/>
  <c r="AQ908" i="1"/>
  <c r="AQ904" i="1"/>
  <c r="AQ900" i="1"/>
  <c r="AQ896" i="1"/>
  <c r="AQ892" i="1"/>
  <c r="AQ888" i="1"/>
  <c r="AQ884" i="1"/>
  <c r="AQ880" i="1"/>
  <c r="AQ876" i="1"/>
  <c r="AQ872" i="1"/>
  <c r="AQ868" i="1"/>
  <c r="AQ864" i="1"/>
  <c r="AQ860" i="1"/>
  <c r="AQ856" i="1"/>
  <c r="AQ852" i="1"/>
  <c r="AQ848" i="1"/>
  <c r="AQ844" i="1"/>
  <c r="AQ840" i="1"/>
  <c r="AQ836" i="1"/>
  <c r="AQ832" i="1"/>
  <c r="AQ999" i="1"/>
  <c r="AQ995" i="1"/>
  <c r="AQ991" i="1"/>
  <c r="AQ987" i="1"/>
  <c r="AQ983" i="1"/>
  <c r="AQ979" i="1"/>
  <c r="AQ975" i="1"/>
  <c r="AQ971" i="1"/>
  <c r="AQ967" i="1"/>
  <c r="AQ963" i="1"/>
  <c r="AQ959" i="1"/>
  <c r="AQ955" i="1"/>
  <c r="AQ951" i="1"/>
  <c r="AQ947" i="1"/>
  <c r="AQ943" i="1"/>
  <c r="AQ939" i="1"/>
  <c r="AQ935" i="1"/>
  <c r="AQ931" i="1"/>
  <c r="AQ927" i="1"/>
  <c r="AQ923" i="1"/>
  <c r="AQ919" i="1"/>
  <c r="AQ915" i="1"/>
  <c r="AQ911" i="1"/>
  <c r="AQ907" i="1"/>
  <c r="AQ903" i="1"/>
  <c r="AQ899" i="1"/>
  <c r="AQ895" i="1"/>
  <c r="AQ891" i="1"/>
  <c r="AQ887" i="1"/>
  <c r="AQ883" i="1"/>
  <c r="AQ879" i="1"/>
  <c r="AQ875" i="1"/>
  <c r="AQ871" i="1"/>
  <c r="AQ867" i="1"/>
  <c r="AQ998" i="1"/>
  <c r="AQ994" i="1"/>
  <c r="AQ990" i="1"/>
  <c r="AQ986" i="1"/>
  <c r="AQ982" i="1"/>
  <c r="AQ978" i="1"/>
  <c r="AQ974" i="1"/>
  <c r="AQ970" i="1"/>
  <c r="AQ966" i="1"/>
  <c r="AQ962" i="1"/>
  <c r="AQ958" i="1"/>
  <c r="AQ954" i="1"/>
  <c r="AQ950" i="1"/>
  <c r="AQ946" i="1"/>
  <c r="AQ942" i="1"/>
  <c r="AQ938" i="1"/>
  <c r="AQ934" i="1"/>
  <c r="AQ930" i="1"/>
  <c r="AQ926" i="1"/>
  <c r="AQ922" i="1"/>
  <c r="AQ918" i="1"/>
  <c r="AQ914" i="1"/>
  <c r="AQ910" i="1"/>
  <c r="AQ906" i="1"/>
  <c r="AQ902" i="1"/>
  <c r="AQ898" i="1"/>
  <c r="AQ894" i="1"/>
  <c r="AQ890" i="1"/>
  <c r="AQ886" i="1"/>
  <c r="AQ882" i="1"/>
  <c r="AQ878" i="1"/>
  <c r="AQ874" i="1"/>
  <c r="AQ870" i="1"/>
  <c r="AQ866" i="1"/>
  <c r="AQ862" i="1"/>
  <c r="AQ858" i="1"/>
  <c r="AQ854" i="1"/>
  <c r="AQ850" i="1"/>
  <c r="AQ846" i="1"/>
  <c r="AQ842" i="1"/>
  <c r="AQ838" i="1"/>
  <c r="AQ834" i="1"/>
  <c r="AQ859" i="1"/>
  <c r="AQ843" i="1"/>
  <c r="AQ824" i="1"/>
  <c r="AQ816" i="1"/>
  <c r="AQ812" i="1"/>
  <c r="AQ808" i="1"/>
  <c r="AQ804" i="1"/>
  <c r="AQ800" i="1"/>
  <c r="AQ796" i="1"/>
  <c r="AQ792" i="1"/>
  <c r="AQ788" i="1"/>
  <c r="AQ784" i="1"/>
  <c r="AQ780" i="1"/>
  <c r="AQ776" i="1"/>
  <c r="AQ772" i="1"/>
  <c r="AQ768" i="1"/>
  <c r="AQ764" i="1"/>
  <c r="AQ760" i="1"/>
  <c r="AQ756" i="1"/>
  <c r="AQ752" i="1"/>
  <c r="AQ748" i="1"/>
  <c r="AQ744" i="1"/>
  <c r="AQ740" i="1"/>
  <c r="AQ736" i="1"/>
  <c r="AQ732" i="1"/>
  <c r="AQ728" i="1"/>
  <c r="AQ724" i="1"/>
  <c r="AQ720" i="1"/>
  <c r="AQ716" i="1"/>
  <c r="AQ712" i="1"/>
  <c r="AQ708" i="1"/>
  <c r="AQ704" i="1"/>
  <c r="AQ700" i="1"/>
  <c r="AQ696" i="1"/>
  <c r="AQ692" i="1"/>
  <c r="AQ688" i="1"/>
  <c r="AQ684" i="1"/>
  <c r="AQ680" i="1"/>
  <c r="AQ676" i="1"/>
  <c r="AQ863" i="1"/>
  <c r="AQ847" i="1"/>
  <c r="AQ831" i="1"/>
  <c r="AQ830" i="1"/>
  <c r="AQ823" i="1"/>
  <c r="AQ822" i="1"/>
  <c r="AQ815" i="1"/>
  <c r="AQ811" i="1"/>
  <c r="AQ807" i="1"/>
  <c r="AQ803" i="1"/>
  <c r="AQ799" i="1"/>
  <c r="AQ795" i="1"/>
  <c r="AQ791" i="1"/>
  <c r="AQ787" i="1"/>
  <c r="AQ783" i="1"/>
  <c r="AQ779" i="1"/>
  <c r="AQ775" i="1"/>
  <c r="AQ771" i="1"/>
  <c r="AQ767" i="1"/>
  <c r="AQ763" i="1"/>
  <c r="AQ759" i="1"/>
  <c r="AQ755" i="1"/>
  <c r="AQ751" i="1"/>
  <c r="AQ747" i="1"/>
  <c r="AQ743" i="1"/>
  <c r="AQ739" i="1"/>
  <c r="AQ735" i="1"/>
  <c r="AQ731" i="1"/>
  <c r="AQ727" i="1"/>
  <c r="AQ723" i="1"/>
  <c r="AQ719" i="1"/>
  <c r="AQ715" i="1"/>
  <c r="AQ711" i="1"/>
  <c r="AQ707" i="1"/>
  <c r="AQ703" i="1"/>
  <c r="AQ699" i="1"/>
  <c r="AQ695" i="1"/>
  <c r="AQ691" i="1"/>
  <c r="AQ687" i="1"/>
  <c r="AQ683" i="1"/>
  <c r="AQ679" i="1"/>
  <c r="AQ675" i="1"/>
  <c r="AQ851" i="1"/>
  <c r="AQ835" i="1"/>
  <c r="AQ828" i="1"/>
  <c r="AQ820" i="1"/>
  <c r="AQ814" i="1"/>
  <c r="AQ810" i="1"/>
  <c r="AQ806" i="1"/>
  <c r="AQ802" i="1"/>
  <c r="AQ798" i="1"/>
  <c r="AQ794" i="1"/>
  <c r="AQ790" i="1"/>
  <c r="AQ786" i="1"/>
  <c r="AQ782" i="1"/>
  <c r="AQ778" i="1"/>
  <c r="AQ774" i="1"/>
  <c r="AQ770" i="1"/>
  <c r="AQ766" i="1"/>
  <c r="AQ762" i="1"/>
  <c r="AQ758" i="1"/>
  <c r="AQ754" i="1"/>
  <c r="AQ750" i="1"/>
  <c r="AQ746" i="1"/>
  <c r="AQ742" i="1"/>
  <c r="AQ738" i="1"/>
  <c r="AQ734" i="1"/>
  <c r="AQ730" i="1"/>
  <c r="AQ726" i="1"/>
  <c r="AQ722" i="1"/>
  <c r="AQ718" i="1"/>
  <c r="AQ714" i="1"/>
  <c r="AQ710" i="1"/>
  <c r="AQ706" i="1"/>
  <c r="AQ702" i="1"/>
  <c r="AQ698" i="1"/>
  <c r="AQ694" i="1"/>
  <c r="AQ690" i="1"/>
  <c r="AQ686" i="1"/>
  <c r="AQ682" i="1"/>
  <c r="AQ678" i="1"/>
  <c r="AQ674" i="1"/>
  <c r="AQ670" i="1"/>
  <c r="AQ855" i="1"/>
  <c r="AQ839" i="1"/>
  <c r="AQ827" i="1"/>
  <c r="AQ826" i="1"/>
  <c r="AQ819" i="1"/>
  <c r="AQ818" i="1"/>
  <c r="AQ813" i="1"/>
  <c r="AQ809" i="1"/>
  <c r="AQ805" i="1"/>
  <c r="AQ801" i="1"/>
  <c r="AQ797" i="1"/>
  <c r="AQ793" i="1"/>
  <c r="AQ789" i="1"/>
  <c r="AQ785" i="1"/>
  <c r="AQ781" i="1"/>
  <c r="AQ777" i="1"/>
  <c r="AQ773" i="1"/>
  <c r="AQ769" i="1"/>
  <c r="AQ765" i="1"/>
  <c r="AQ761" i="1"/>
  <c r="AQ757" i="1"/>
  <c r="AQ753" i="1"/>
  <c r="AQ749" i="1"/>
  <c r="AQ745" i="1"/>
  <c r="AQ741" i="1"/>
  <c r="AQ737" i="1"/>
  <c r="AQ733" i="1"/>
  <c r="AQ729" i="1"/>
  <c r="AQ725" i="1"/>
  <c r="AQ721" i="1"/>
  <c r="AQ717" i="1"/>
  <c r="AQ713" i="1"/>
  <c r="AQ709" i="1"/>
  <c r="AQ705" i="1"/>
  <c r="AQ701" i="1"/>
  <c r="AQ697" i="1"/>
  <c r="AQ693" i="1"/>
  <c r="AQ689" i="1"/>
  <c r="AQ685" i="1"/>
  <c r="AQ681" i="1"/>
  <c r="AQ677" i="1"/>
  <c r="AQ673" i="1"/>
  <c r="AQ669" i="1"/>
  <c r="AQ664" i="1"/>
  <c r="AQ660" i="1"/>
  <c r="AQ656" i="1"/>
  <c r="AQ652" i="1"/>
  <c r="AQ648" i="1"/>
  <c r="AQ644" i="1"/>
  <c r="AQ640" i="1"/>
  <c r="AQ636" i="1"/>
  <c r="AQ632" i="1"/>
  <c r="AQ628" i="1"/>
  <c r="AQ624" i="1"/>
  <c r="AQ620" i="1"/>
  <c r="AQ616" i="1"/>
  <c r="AQ612" i="1"/>
  <c r="AQ608" i="1"/>
  <c r="AQ604" i="1"/>
  <c r="AQ600" i="1"/>
  <c r="AQ596" i="1"/>
  <c r="AQ592" i="1"/>
  <c r="AQ588" i="1"/>
  <c r="AQ584" i="1"/>
  <c r="AQ580" i="1"/>
  <c r="AQ576" i="1"/>
  <c r="AQ572" i="1"/>
  <c r="AQ568" i="1"/>
  <c r="AQ564" i="1"/>
  <c r="AQ560" i="1"/>
  <c r="AQ556" i="1"/>
  <c r="AQ552" i="1"/>
  <c r="AQ548" i="1"/>
  <c r="AQ544" i="1"/>
  <c r="AQ540" i="1"/>
  <c r="AQ536" i="1"/>
  <c r="AQ532" i="1"/>
  <c r="AQ528" i="1"/>
  <c r="AQ524" i="1"/>
  <c r="AQ520" i="1"/>
  <c r="AQ516" i="1"/>
  <c r="AQ512" i="1"/>
  <c r="AQ508" i="1"/>
  <c r="AQ504" i="1"/>
  <c r="AQ500" i="1"/>
  <c r="AQ496" i="1"/>
  <c r="AQ492" i="1"/>
  <c r="AQ488" i="1"/>
  <c r="AQ484" i="1"/>
  <c r="AQ480" i="1"/>
  <c r="AQ476" i="1"/>
  <c r="AQ472" i="1"/>
  <c r="AQ468" i="1"/>
  <c r="AQ464" i="1"/>
  <c r="AQ460" i="1"/>
  <c r="AQ456" i="1"/>
  <c r="AQ452" i="1"/>
  <c r="AQ448" i="1"/>
  <c r="AQ444" i="1"/>
  <c r="AQ440" i="1"/>
  <c r="AQ436" i="1"/>
  <c r="AQ432" i="1"/>
  <c r="AQ428" i="1"/>
  <c r="AQ424" i="1"/>
  <c r="AQ420" i="1"/>
  <c r="AQ416" i="1"/>
  <c r="AQ412" i="1"/>
  <c r="AQ408" i="1"/>
  <c r="AQ404" i="1"/>
  <c r="AQ400" i="1"/>
  <c r="AQ396" i="1"/>
  <c r="AQ392" i="1"/>
  <c r="AQ388" i="1"/>
  <c r="AQ384" i="1"/>
  <c r="AQ380" i="1"/>
  <c r="AQ376" i="1"/>
  <c r="AQ372" i="1"/>
  <c r="AQ368" i="1"/>
  <c r="AQ364" i="1"/>
  <c r="AQ360" i="1"/>
  <c r="AQ356" i="1"/>
  <c r="AQ672" i="1"/>
  <c r="AQ671" i="1"/>
  <c r="AQ668" i="1"/>
  <c r="AQ663" i="1"/>
  <c r="AQ659" i="1"/>
  <c r="AQ655" i="1"/>
  <c r="AQ651" i="1"/>
  <c r="AQ647" i="1"/>
  <c r="AQ643" i="1"/>
  <c r="AQ639" i="1"/>
  <c r="AQ635" i="1"/>
  <c r="AQ631" i="1"/>
  <c r="AQ627" i="1"/>
  <c r="AQ623" i="1"/>
  <c r="AQ619" i="1"/>
  <c r="AQ615" i="1"/>
  <c r="AQ611" i="1"/>
  <c r="AQ607" i="1"/>
  <c r="AQ603" i="1"/>
  <c r="AQ599" i="1"/>
  <c r="AQ595" i="1"/>
  <c r="AQ591" i="1"/>
  <c r="AQ587" i="1"/>
  <c r="AQ583" i="1"/>
  <c r="AQ579" i="1"/>
  <c r="AQ575" i="1"/>
  <c r="AQ571" i="1"/>
  <c r="AQ567" i="1"/>
  <c r="AQ563" i="1"/>
  <c r="AQ559" i="1"/>
  <c r="AQ555" i="1"/>
  <c r="AQ551" i="1"/>
  <c r="AQ547" i="1"/>
  <c r="AQ543" i="1"/>
  <c r="AQ539" i="1"/>
  <c r="AQ535" i="1"/>
  <c r="AQ531" i="1"/>
  <c r="AQ527" i="1"/>
  <c r="AQ523" i="1"/>
  <c r="AQ519" i="1"/>
  <c r="AQ515" i="1"/>
  <c r="AQ511" i="1"/>
  <c r="AQ507" i="1"/>
  <c r="AQ503" i="1"/>
  <c r="AQ499" i="1"/>
  <c r="AQ495" i="1"/>
  <c r="AQ491" i="1"/>
  <c r="AQ487" i="1"/>
  <c r="AQ483" i="1"/>
  <c r="AQ479" i="1"/>
  <c r="AQ475" i="1"/>
  <c r="AQ471" i="1"/>
  <c r="AQ467" i="1"/>
  <c r="AQ463" i="1"/>
  <c r="AQ459" i="1"/>
  <c r="AQ455" i="1"/>
  <c r="AQ451" i="1"/>
  <c r="AQ447" i="1"/>
  <c r="AQ443" i="1"/>
  <c r="AQ439" i="1"/>
  <c r="AQ435" i="1"/>
  <c r="AQ431" i="1"/>
  <c r="AQ427" i="1"/>
  <c r="AQ423" i="1"/>
  <c r="AQ419" i="1"/>
  <c r="AQ415" i="1"/>
  <c r="AQ411" i="1"/>
  <c r="AQ407" i="1"/>
  <c r="AQ403" i="1"/>
  <c r="AQ399" i="1"/>
  <c r="AQ395" i="1"/>
  <c r="AQ391" i="1"/>
  <c r="AQ387" i="1"/>
  <c r="AQ383" i="1"/>
  <c r="AQ379" i="1"/>
  <c r="AQ375" i="1"/>
  <c r="AQ371" i="1"/>
  <c r="AQ367" i="1"/>
  <c r="AQ363" i="1"/>
  <c r="AQ359" i="1"/>
  <c r="AQ355" i="1"/>
  <c r="AQ351" i="1"/>
  <c r="AQ667" i="1"/>
  <c r="AQ666" i="1"/>
  <c r="AQ662" i="1"/>
  <c r="AQ658" i="1"/>
  <c r="AQ654" i="1"/>
  <c r="AQ650" i="1"/>
  <c r="AQ646" i="1"/>
  <c r="AQ642" i="1"/>
  <c r="AQ638" i="1"/>
  <c r="AQ634" i="1"/>
  <c r="AQ630" i="1"/>
  <c r="AQ626" i="1"/>
  <c r="AQ622" i="1"/>
  <c r="AQ618" i="1"/>
  <c r="AQ614" i="1"/>
  <c r="AQ610" i="1"/>
  <c r="AQ606" i="1"/>
  <c r="AQ602" i="1"/>
  <c r="AQ598" i="1"/>
  <c r="AQ594" i="1"/>
  <c r="AQ590" i="1"/>
  <c r="AQ586" i="1"/>
  <c r="AQ582" i="1"/>
  <c r="AQ578" i="1"/>
  <c r="AQ574" i="1"/>
  <c r="AQ570" i="1"/>
  <c r="AQ566" i="1"/>
  <c r="AQ562" i="1"/>
  <c r="AQ558" i="1"/>
  <c r="AQ554" i="1"/>
  <c r="AQ550" i="1"/>
  <c r="AQ546" i="1"/>
  <c r="AQ542" i="1"/>
  <c r="AQ538" i="1"/>
  <c r="AQ534" i="1"/>
  <c r="AQ530" i="1"/>
  <c r="AQ526" i="1"/>
  <c r="AQ522" i="1"/>
  <c r="AQ518" i="1"/>
  <c r="AQ514" i="1"/>
  <c r="AQ510" i="1"/>
  <c r="AQ506" i="1"/>
  <c r="AQ502" i="1"/>
  <c r="AQ498" i="1"/>
  <c r="AQ494" i="1"/>
  <c r="AQ490" i="1"/>
  <c r="AQ486" i="1"/>
  <c r="AQ482" i="1"/>
  <c r="AQ478" i="1"/>
  <c r="AQ474" i="1"/>
  <c r="AQ470" i="1"/>
  <c r="AQ466" i="1"/>
  <c r="AQ462" i="1"/>
  <c r="AQ458" i="1"/>
  <c r="AQ454" i="1"/>
  <c r="AQ450" i="1"/>
  <c r="AQ446" i="1"/>
  <c r="AQ442" i="1"/>
  <c r="AQ438" i="1"/>
  <c r="AQ434" i="1"/>
  <c r="AQ430" i="1"/>
  <c r="AQ426" i="1"/>
  <c r="AQ422" i="1"/>
  <c r="AQ418" i="1"/>
  <c r="AQ414" i="1"/>
  <c r="AQ410" i="1"/>
  <c r="AQ406" i="1"/>
  <c r="AQ402" i="1"/>
  <c r="AQ398" i="1"/>
  <c r="AQ394" i="1"/>
  <c r="AQ390" i="1"/>
  <c r="AQ386" i="1"/>
  <c r="AQ382" i="1"/>
  <c r="AQ378" i="1"/>
  <c r="AQ374" i="1"/>
  <c r="AQ370" i="1"/>
  <c r="AQ366" i="1"/>
  <c r="AQ362" i="1"/>
  <c r="AQ358" i="1"/>
  <c r="AQ354" i="1"/>
  <c r="AQ665" i="1"/>
  <c r="AQ661" i="1"/>
  <c r="AQ657" i="1"/>
  <c r="AQ653" i="1"/>
  <c r="AQ649" i="1"/>
  <c r="AQ645" i="1"/>
  <c r="AQ641" i="1"/>
  <c r="AQ637" i="1"/>
  <c r="AQ633" i="1"/>
  <c r="AQ629" i="1"/>
  <c r="AQ625" i="1"/>
  <c r="AQ621" i="1"/>
  <c r="AQ617" i="1"/>
  <c r="AQ613" i="1"/>
  <c r="AQ609" i="1"/>
  <c r="AQ605" i="1"/>
  <c r="AQ601" i="1"/>
  <c r="AQ597" i="1"/>
  <c r="AQ593" i="1"/>
  <c r="AQ589" i="1"/>
  <c r="AQ585" i="1"/>
  <c r="AQ581" i="1"/>
  <c r="AQ577" i="1"/>
  <c r="AQ573" i="1"/>
  <c r="AQ569" i="1"/>
  <c r="AQ565" i="1"/>
  <c r="AQ561" i="1"/>
  <c r="AQ557" i="1"/>
  <c r="AQ553" i="1"/>
  <c r="AQ549" i="1"/>
  <c r="AQ545" i="1"/>
  <c r="AQ541" i="1"/>
  <c r="AQ537" i="1"/>
  <c r="AQ533" i="1"/>
  <c r="AQ529" i="1"/>
  <c r="AQ525" i="1"/>
  <c r="AQ521" i="1"/>
  <c r="AQ517" i="1"/>
  <c r="AQ513" i="1"/>
  <c r="AQ509" i="1"/>
  <c r="AQ505" i="1"/>
  <c r="AQ501" i="1"/>
  <c r="AQ497" i="1"/>
  <c r="AQ493" i="1"/>
  <c r="AQ489" i="1"/>
  <c r="AQ485" i="1"/>
  <c r="AQ481" i="1"/>
  <c r="AQ477" i="1"/>
  <c r="AQ473" i="1"/>
  <c r="AQ469" i="1"/>
  <c r="AQ465" i="1"/>
  <c r="AQ461" i="1"/>
  <c r="AQ457" i="1"/>
  <c r="AQ453" i="1"/>
  <c r="AQ449" i="1"/>
  <c r="AQ445" i="1"/>
  <c r="AQ441" i="1"/>
  <c r="AQ437" i="1"/>
  <c r="AQ433" i="1"/>
  <c r="AQ429" i="1"/>
  <c r="AQ425" i="1"/>
  <c r="AQ421" i="1"/>
  <c r="AQ417" i="1"/>
  <c r="AQ413" i="1"/>
  <c r="AQ409" i="1"/>
  <c r="AQ405" i="1"/>
  <c r="AQ401" i="1"/>
  <c r="AQ397" i="1"/>
  <c r="AQ393" i="1"/>
  <c r="AQ389" i="1"/>
  <c r="AQ385" i="1"/>
  <c r="AQ381" i="1"/>
  <c r="AQ377" i="1"/>
  <c r="AQ373" i="1"/>
  <c r="AQ369" i="1"/>
  <c r="AQ365" i="1"/>
  <c r="AQ347" i="1"/>
  <c r="AQ343" i="1"/>
  <c r="AQ339" i="1"/>
  <c r="AQ335" i="1"/>
  <c r="AQ331" i="1"/>
  <c r="AQ327" i="1"/>
  <c r="AQ323" i="1"/>
  <c r="AQ319" i="1"/>
  <c r="AQ315" i="1"/>
  <c r="AQ311" i="1"/>
  <c r="AQ307" i="1"/>
  <c r="AQ303" i="1"/>
  <c r="AQ299" i="1"/>
  <c r="AQ295" i="1"/>
  <c r="AQ291" i="1"/>
  <c r="AQ287" i="1"/>
  <c r="AQ283" i="1"/>
  <c r="AQ279" i="1"/>
  <c r="AQ275" i="1"/>
  <c r="AQ271" i="1"/>
  <c r="AQ267" i="1"/>
  <c r="AQ263" i="1"/>
  <c r="AQ259" i="1"/>
  <c r="AQ255" i="1"/>
  <c r="AQ251" i="1"/>
  <c r="AQ247" i="1"/>
  <c r="AQ243" i="1"/>
  <c r="AQ239" i="1"/>
  <c r="AQ235" i="1"/>
  <c r="AQ231" i="1"/>
  <c r="AQ227" i="1"/>
  <c r="AQ223" i="1"/>
  <c r="AQ219" i="1"/>
  <c r="AQ215" i="1"/>
  <c r="AQ211" i="1"/>
  <c r="AQ207" i="1"/>
  <c r="AQ203" i="1"/>
  <c r="AQ199" i="1"/>
  <c r="AQ195" i="1"/>
  <c r="AQ191" i="1"/>
  <c r="AQ187" i="1"/>
  <c r="AQ183" i="1"/>
  <c r="AQ353" i="1"/>
  <c r="AQ352" i="1"/>
  <c r="AQ350" i="1"/>
  <c r="AQ346" i="1"/>
  <c r="AQ342" i="1"/>
  <c r="AQ338" i="1"/>
  <c r="AQ334" i="1"/>
  <c r="AQ330" i="1"/>
  <c r="AQ326" i="1"/>
  <c r="AQ322" i="1"/>
  <c r="AQ318" i="1"/>
  <c r="AQ314" i="1"/>
  <c r="AQ310" i="1"/>
  <c r="AQ306" i="1"/>
  <c r="AQ302" i="1"/>
  <c r="AQ298" i="1"/>
  <c r="AQ294" i="1"/>
  <c r="AQ290" i="1"/>
  <c r="AQ286" i="1"/>
  <c r="AQ282" i="1"/>
  <c r="AQ278" i="1"/>
  <c r="AQ274" i="1"/>
  <c r="AQ270" i="1"/>
  <c r="AQ266" i="1"/>
  <c r="AQ262" i="1"/>
  <c r="AQ258" i="1"/>
  <c r="AQ254" i="1"/>
  <c r="AQ250" i="1"/>
  <c r="AQ246" i="1"/>
  <c r="AQ242" i="1"/>
  <c r="AQ238" i="1"/>
  <c r="AQ234" i="1"/>
  <c r="AQ357" i="1"/>
  <c r="AQ349" i="1"/>
  <c r="AQ345" i="1"/>
  <c r="AQ341" i="1"/>
  <c r="AQ337" i="1"/>
  <c r="AQ333" i="1"/>
  <c r="AQ329" i="1"/>
  <c r="AQ325" i="1"/>
  <c r="AQ321" i="1"/>
  <c r="AQ317" i="1"/>
  <c r="AQ313" i="1"/>
  <c r="AQ309" i="1"/>
  <c r="AQ305" i="1"/>
  <c r="AQ301" i="1"/>
  <c r="AQ297" i="1"/>
  <c r="AQ293" i="1"/>
  <c r="AQ289" i="1"/>
  <c r="AQ285" i="1"/>
  <c r="AQ281" i="1"/>
  <c r="AQ277" i="1"/>
  <c r="AQ273" i="1"/>
  <c r="AQ269" i="1"/>
  <c r="AQ265" i="1"/>
  <c r="AQ261" i="1"/>
  <c r="AQ257" i="1"/>
  <c r="AQ253" i="1"/>
  <c r="AQ249" i="1"/>
  <c r="AQ245" i="1"/>
  <c r="AQ241" i="1"/>
  <c r="AQ237" i="1"/>
  <c r="AQ233" i="1"/>
  <c r="AQ229" i="1"/>
  <c r="AQ225" i="1"/>
  <c r="AQ221" i="1"/>
  <c r="AQ217" i="1"/>
  <c r="AQ213" i="1"/>
  <c r="AQ209" i="1"/>
  <c r="AQ205" i="1"/>
  <c r="AQ201" i="1"/>
  <c r="AQ197" i="1"/>
  <c r="AQ193" i="1"/>
  <c r="AQ189" i="1"/>
  <c r="AQ185" i="1"/>
  <c r="AQ4" i="1"/>
  <c r="AQ8" i="1"/>
  <c r="AQ12" i="1"/>
  <c r="AQ16" i="1"/>
  <c r="AQ20" i="1"/>
  <c r="AQ24" i="1"/>
  <c r="AQ28" i="1"/>
  <c r="AQ32" i="1"/>
  <c r="AQ36" i="1"/>
  <c r="AQ40" i="1"/>
  <c r="AQ44" i="1"/>
  <c r="AQ48" i="1"/>
  <c r="AQ52" i="1"/>
  <c r="AQ56" i="1"/>
  <c r="AQ60" i="1"/>
  <c r="AQ64" i="1"/>
  <c r="AQ68" i="1"/>
  <c r="AQ72" i="1"/>
  <c r="AQ76" i="1"/>
  <c r="AQ80" i="1"/>
  <c r="AQ84" i="1"/>
  <c r="AQ88" i="1"/>
  <c r="AQ92" i="1"/>
  <c r="AQ96" i="1"/>
  <c r="AQ100" i="1"/>
  <c r="AQ104" i="1"/>
  <c r="AQ108" i="1"/>
  <c r="AQ112" i="1"/>
  <c r="AQ116" i="1"/>
  <c r="AQ120" i="1"/>
  <c r="AQ124" i="1"/>
  <c r="AQ128" i="1"/>
  <c r="AQ132" i="1"/>
  <c r="AQ136" i="1"/>
  <c r="AQ140" i="1"/>
  <c r="AQ144" i="1"/>
  <c r="AQ148" i="1"/>
  <c r="AQ152" i="1"/>
  <c r="AQ156" i="1"/>
  <c r="AQ160" i="1"/>
  <c r="AQ164" i="1"/>
  <c r="AQ168" i="1"/>
  <c r="AQ172" i="1"/>
  <c r="AQ176" i="1"/>
  <c r="AQ180" i="1"/>
  <c r="AQ244" i="1"/>
  <c r="AQ260" i="1"/>
  <c r="AQ276" i="1"/>
  <c r="AQ292" i="1"/>
  <c r="AQ308" i="1"/>
  <c r="AQ324" i="1"/>
  <c r="AQ340" i="1"/>
  <c r="AO2" i="1"/>
  <c r="AQ2" i="1" s="1"/>
  <c r="AQ5" i="1"/>
  <c r="AQ9" i="1"/>
  <c r="AQ13" i="1"/>
  <c r="AQ17" i="1"/>
  <c r="AQ21" i="1"/>
  <c r="AQ25" i="1"/>
  <c r="AQ29" i="1"/>
  <c r="AQ33" i="1"/>
  <c r="AQ37" i="1"/>
  <c r="AQ41" i="1"/>
  <c r="AQ45" i="1"/>
  <c r="AQ49" i="1"/>
  <c r="AQ53" i="1"/>
  <c r="AQ57" i="1"/>
  <c r="AQ61" i="1"/>
  <c r="AQ65" i="1"/>
  <c r="AQ69" i="1"/>
  <c r="AQ73" i="1"/>
  <c r="AQ77" i="1"/>
  <c r="AQ81" i="1"/>
  <c r="AQ85" i="1"/>
  <c r="AQ89" i="1"/>
  <c r="AQ93" i="1"/>
  <c r="AQ97" i="1"/>
  <c r="AQ101" i="1"/>
  <c r="AQ105" i="1"/>
  <c r="AQ109" i="1"/>
  <c r="AQ113" i="1"/>
  <c r="AQ117" i="1"/>
  <c r="AQ121" i="1"/>
  <c r="AQ125" i="1"/>
  <c r="AQ129" i="1"/>
  <c r="AQ133" i="1"/>
  <c r="AQ137" i="1"/>
  <c r="AQ141" i="1"/>
  <c r="AQ145" i="1"/>
  <c r="AQ149" i="1"/>
  <c r="AQ153" i="1"/>
  <c r="AQ157" i="1"/>
  <c r="AQ161" i="1"/>
  <c r="AQ165" i="1"/>
  <c r="AQ169" i="1"/>
  <c r="AQ173" i="1"/>
  <c r="AQ177" i="1"/>
  <c r="AQ181" i="1"/>
  <c r="AQ240" i="1"/>
  <c r="AQ256" i="1"/>
  <c r="AQ272" i="1"/>
  <c r="AQ288" i="1"/>
  <c r="AQ304" i="1"/>
  <c r="AQ320" i="1"/>
  <c r="AQ33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<sst xmlns="http://schemas.openxmlformats.org/spreadsheetml/2006/main" count="18992" uniqueCount="1184">
  <si>
    <t>months_as_customer</t>
  </si>
  <si>
    <t>grouped months</t>
  </si>
  <si>
    <t>age</t>
  </si>
  <si>
    <t>grouped age</t>
  </si>
  <si>
    <t>policy_number</t>
  </si>
  <si>
    <t>policy_bind_date</t>
  </si>
  <si>
    <t>policy_state</t>
  </si>
  <si>
    <t>policy_csl</t>
  </si>
  <si>
    <t>policy_deductable</t>
  </si>
  <si>
    <t>policy_annual_premium</t>
  </si>
  <si>
    <t>umbrella_limit</t>
  </si>
  <si>
    <t>insured_zip</t>
  </si>
  <si>
    <t>insured_sex</t>
  </si>
  <si>
    <t>insured_education_level</t>
  </si>
  <si>
    <t>insured_occupation</t>
  </si>
  <si>
    <t>insured_hobbies</t>
  </si>
  <si>
    <t>insured_relationship</t>
  </si>
  <si>
    <t>capital-gains</t>
  </si>
  <si>
    <t>capital-loss</t>
  </si>
  <si>
    <t>incident_date</t>
  </si>
  <si>
    <t>incident_type</t>
  </si>
  <si>
    <t>collision_type</t>
  </si>
  <si>
    <t>incident_severity</t>
  </si>
  <si>
    <t>authorities_contacted</t>
  </si>
  <si>
    <t>incident_state</t>
  </si>
  <si>
    <t>incident_city</t>
  </si>
  <si>
    <t>incident_location</t>
  </si>
  <si>
    <t>incident_hour_of_the_day</t>
  </si>
  <si>
    <t>time grouped</t>
  </si>
  <si>
    <t>number_of_vehicles_involved</t>
  </si>
  <si>
    <t>property_damage</t>
  </si>
  <si>
    <t>bodily_injuries</t>
  </si>
  <si>
    <t>witnesses</t>
  </si>
  <si>
    <t>police_report_available</t>
  </si>
  <si>
    <t>total_claim_amount</t>
  </si>
  <si>
    <t>injury_claim</t>
  </si>
  <si>
    <t>property_claim</t>
  </si>
  <si>
    <t>vehicle_claim</t>
  </si>
  <si>
    <t>auto_make</t>
  </si>
  <si>
    <t>auto_model</t>
  </si>
  <si>
    <t>incident year</t>
  </si>
  <si>
    <t>auto_year</t>
  </si>
  <si>
    <t>vehicle age</t>
  </si>
  <si>
    <t>fraud_reported</t>
  </si>
  <si>
    <t>OH</t>
  </si>
  <si>
    <t>250/500</t>
  </si>
  <si>
    <t>MALE</t>
  </si>
  <si>
    <t>MD</t>
  </si>
  <si>
    <t>craft-repair</t>
  </si>
  <si>
    <t>sleeping</t>
  </si>
  <si>
    <t>husband</t>
  </si>
  <si>
    <t>Single Vehicle Collision</t>
  </si>
  <si>
    <t>Side Collision</t>
  </si>
  <si>
    <t>Major Damage</t>
  </si>
  <si>
    <t>Police</t>
  </si>
  <si>
    <t>SC</t>
  </si>
  <si>
    <t>Columbus</t>
  </si>
  <si>
    <t>9935 4th Drive</t>
  </si>
  <si>
    <t>YES</t>
  </si>
  <si>
    <t>Saab</t>
  </si>
  <si>
    <t>92x</t>
  </si>
  <si>
    <t>Y</t>
  </si>
  <si>
    <t>IN</t>
  </si>
  <si>
    <t>machine-op-inspct</t>
  </si>
  <si>
    <t>reading</t>
  </si>
  <si>
    <t>other-relative</t>
  </si>
  <si>
    <t>Vehicle Theft</t>
  </si>
  <si>
    <t>Unknown</t>
  </si>
  <si>
    <t>Minor Damage</t>
  </si>
  <si>
    <t>VA</t>
  </si>
  <si>
    <t>Riverwood</t>
  </si>
  <si>
    <t>6608 MLK Hwy</t>
  </si>
  <si>
    <t>Mercedes</t>
  </si>
  <si>
    <t>E400</t>
  </si>
  <si>
    <t>100/300</t>
  </si>
  <si>
    <t>FEMALE</t>
  </si>
  <si>
    <t>PhD</t>
  </si>
  <si>
    <t>sales</t>
  </si>
  <si>
    <t>board-games</t>
  </si>
  <si>
    <t>own-child</t>
  </si>
  <si>
    <t>Multi-vehicle Collision</t>
  </si>
  <si>
    <t>Rear Collision</t>
  </si>
  <si>
    <t>NY</t>
  </si>
  <si>
    <t>7121 Francis Lane</t>
  </si>
  <si>
    <t>NO</t>
  </si>
  <si>
    <t>Dodge</t>
  </si>
  <si>
    <t>RAM</t>
  </si>
  <si>
    <t>N</t>
  </si>
  <si>
    <t>IL</t>
  </si>
  <si>
    <t>armed-forces</t>
  </si>
  <si>
    <t>unmarried</t>
  </si>
  <si>
    <t>Front Collision</t>
  </si>
  <si>
    <t>Arlington</t>
  </si>
  <si>
    <t>6956 Maple Drive</t>
  </si>
  <si>
    <t>Chevrolet</t>
  </si>
  <si>
    <t>Tahoe</t>
  </si>
  <si>
    <t>500/1000</t>
  </si>
  <si>
    <t>Associate</t>
  </si>
  <si>
    <t>None</t>
  </si>
  <si>
    <t>3041 3rd Ave</t>
  </si>
  <si>
    <t>Accura</t>
  </si>
  <si>
    <t>RSX</t>
  </si>
  <si>
    <t>tech-support</t>
  </si>
  <si>
    <t>bungie-jumping</t>
  </si>
  <si>
    <t>Fire</t>
  </si>
  <si>
    <t>8973 Washington St</t>
  </si>
  <si>
    <t>prof-specialty</t>
  </si>
  <si>
    <t>Springfield</t>
  </si>
  <si>
    <t>5846 Weaver Drive</t>
  </si>
  <si>
    <t>Nissan</t>
  </si>
  <si>
    <t>Pathfinder</t>
  </si>
  <si>
    <t>base-jumping</t>
  </si>
  <si>
    <t>Total Loss</t>
  </si>
  <si>
    <t>3525 3rd Hwy</t>
  </si>
  <si>
    <t>Audi</t>
  </si>
  <si>
    <t>A5</t>
  </si>
  <si>
    <t>other-service</t>
  </si>
  <si>
    <t>golf</t>
  </si>
  <si>
    <t>WV</t>
  </si>
  <si>
    <t>4872 Rock Ridge</t>
  </si>
  <si>
    <t>Toyota</t>
  </si>
  <si>
    <t>Camry</t>
  </si>
  <si>
    <t>priv-house-serv</t>
  </si>
  <si>
    <t>camping</t>
  </si>
  <si>
    <t>wife</t>
  </si>
  <si>
    <t>Other</t>
  </si>
  <si>
    <t>NC</t>
  </si>
  <si>
    <t>Hillsdale</t>
  </si>
  <si>
    <t>3066 Francis Ave</t>
  </si>
  <si>
    <t>Masters</t>
  </si>
  <si>
    <t>exec-managerial</t>
  </si>
  <si>
    <t>dancing</t>
  </si>
  <si>
    <t>Northbend</t>
  </si>
  <si>
    <t>1558 1st Ridge</t>
  </si>
  <si>
    <t>Ford</t>
  </si>
  <si>
    <t>F150</t>
  </si>
  <si>
    <t>High School</t>
  </si>
  <si>
    <t>skydiving</t>
  </si>
  <si>
    <t>5971 5th Hwy</t>
  </si>
  <si>
    <t>A3</t>
  </si>
  <si>
    <t>protective-serv</t>
  </si>
  <si>
    <t>Ambulance</t>
  </si>
  <si>
    <t>6655 5th Drive</t>
  </si>
  <si>
    <t>Parked Car</t>
  </si>
  <si>
    <t>6582 Elm Lane</t>
  </si>
  <si>
    <t>Highlander</t>
  </si>
  <si>
    <t>College</t>
  </si>
  <si>
    <t>not-in-family</t>
  </si>
  <si>
    <t>6851 3rd Drive</t>
  </si>
  <si>
    <t>Neon</t>
  </si>
  <si>
    <t>transport-moving</t>
  </si>
  <si>
    <t>movies</t>
  </si>
  <si>
    <t>9573 Weaver Ave</t>
  </si>
  <si>
    <t>MDX</t>
  </si>
  <si>
    <t>hiking</t>
  </si>
  <si>
    <t>5074 3rd St</t>
  </si>
  <si>
    <t>Maxima</t>
  </si>
  <si>
    <t>4546 Tree St</t>
  </si>
  <si>
    <t>Suburu</t>
  </si>
  <si>
    <t>Legacy</t>
  </si>
  <si>
    <t>yachting</t>
  </si>
  <si>
    <t>Northbrook</t>
  </si>
  <si>
    <t>3842 Solo Ridge</t>
  </si>
  <si>
    <t>TL</t>
  </si>
  <si>
    <t>handlers-cleaners</t>
  </si>
  <si>
    <t>8101 3rd Ridge</t>
  </si>
  <si>
    <t>JD</t>
  </si>
  <si>
    <t>5380 Pine St</t>
  </si>
  <si>
    <t>Impreza</t>
  </si>
  <si>
    <t>8957 Weaver Drive</t>
  </si>
  <si>
    <t>paintball</t>
  </si>
  <si>
    <t>2526 Embaracadero Ave</t>
  </si>
  <si>
    <t>Forrestor</t>
  </si>
  <si>
    <t>chess</t>
  </si>
  <si>
    <t>5667 4th Drive</t>
  </si>
  <si>
    <t>kayaking</t>
  </si>
  <si>
    <t>2502 Apache Hwy</t>
  </si>
  <si>
    <t>Escape</t>
  </si>
  <si>
    <t>polo</t>
  </si>
  <si>
    <t>3418 Texas Lane</t>
  </si>
  <si>
    <t>PA</t>
  </si>
  <si>
    <t>2533 Elm St</t>
  </si>
  <si>
    <t>3790 Andromedia Hwy</t>
  </si>
  <si>
    <t>3220 Rock Drive</t>
  </si>
  <si>
    <t>basketball</t>
  </si>
  <si>
    <t>2100 Francis Drive</t>
  </si>
  <si>
    <t>video-games</t>
  </si>
  <si>
    <t>4687 5th Drive</t>
  </si>
  <si>
    <t>Corolla</t>
  </si>
  <si>
    <t>9038 2nd Lane</t>
  </si>
  <si>
    <t>adm-clerical</t>
  </si>
  <si>
    <t>6092 5th Ave</t>
  </si>
  <si>
    <t>BMW</t>
  </si>
  <si>
    <t>3 Series</t>
  </si>
  <si>
    <t>farming-fishing</t>
  </si>
  <si>
    <t>8353 Britain Ridge</t>
  </si>
  <si>
    <t>3540 Maple St</t>
  </si>
  <si>
    <t>3104 Sky Drive</t>
  </si>
  <si>
    <t>C300</t>
  </si>
  <si>
    <t>4981 Weaver St</t>
  </si>
  <si>
    <t>6676 Tree Lane</t>
  </si>
  <si>
    <t>3930 Embaracadero St</t>
  </si>
  <si>
    <t>Jeep</t>
  </si>
  <si>
    <t>Wrangler</t>
  </si>
  <si>
    <t>3422 Flute St</t>
  </si>
  <si>
    <t>4862 Lincoln Hwy</t>
  </si>
  <si>
    <t>M5</t>
  </si>
  <si>
    <t>5719 2nd Lane</t>
  </si>
  <si>
    <t>X5</t>
  </si>
  <si>
    <t>3221 Solo Ridge</t>
  </si>
  <si>
    <t>6660 MLK Drive</t>
  </si>
  <si>
    <t>1699 Oak Drive</t>
  </si>
  <si>
    <t>4234 Cherokee Lane</t>
  </si>
  <si>
    <t>7476 4th St</t>
  </si>
  <si>
    <t>Honda</t>
  </si>
  <si>
    <t>Civic</t>
  </si>
  <si>
    <t>8907 Tree Ave</t>
  </si>
  <si>
    <t>Trivial Damage</t>
  </si>
  <si>
    <t>6619 Flute Ave</t>
  </si>
  <si>
    <t>Volkswagen</t>
  </si>
  <si>
    <t>Passat</t>
  </si>
  <si>
    <t>6011 Britain St</t>
  </si>
  <si>
    <t>5104 Francis Drive</t>
  </si>
  <si>
    <t>2280 4th Ave</t>
  </si>
  <si>
    <t>2644 Elm Drive</t>
  </si>
  <si>
    <t>7466 MLK Ridge</t>
  </si>
  <si>
    <t>5821 2nd St</t>
  </si>
  <si>
    <t>6723 Best Drive</t>
  </si>
  <si>
    <t>Silverado</t>
  </si>
  <si>
    <t>4866 4th Hwy</t>
  </si>
  <si>
    <t>CRV</t>
  </si>
  <si>
    <t>5418 Britain Ave</t>
  </si>
  <si>
    <t>4296 Pine Hwy</t>
  </si>
  <si>
    <t>2299 1st St</t>
  </si>
  <si>
    <t>6618 Cherokee Drive</t>
  </si>
  <si>
    <t>7459 Flute St</t>
  </si>
  <si>
    <t>Accord</t>
  </si>
  <si>
    <t>3567 4th Drive</t>
  </si>
  <si>
    <t>2457 Washington Ave</t>
  </si>
  <si>
    <t>1269 Flute Drive</t>
  </si>
  <si>
    <t>1218 Sky Hwy</t>
  </si>
  <si>
    <t>9169 Pine Ridge</t>
  </si>
  <si>
    <t>8538 Texas Lane</t>
  </si>
  <si>
    <t>X6</t>
  </si>
  <si>
    <t>5783 Oak Ave</t>
  </si>
  <si>
    <t>7721 Washington Ridge</t>
  </si>
  <si>
    <t>8006 Maple Hwy</t>
  </si>
  <si>
    <t>cross-fit</t>
  </si>
  <si>
    <t>6751 Pine Ridge</t>
  </si>
  <si>
    <t>2324 Texas Ridge</t>
  </si>
  <si>
    <t>Malibu</t>
  </si>
  <si>
    <t>7923 Elm Ave</t>
  </si>
  <si>
    <t>4755 Best Lane</t>
  </si>
  <si>
    <t>5053 Tree Drive</t>
  </si>
  <si>
    <t>Fusion</t>
  </si>
  <si>
    <t>2078 3rd Ave</t>
  </si>
  <si>
    <t>2804 Best St</t>
  </si>
  <si>
    <t>7877 Sky Lane</t>
  </si>
  <si>
    <t>6530 Weaver Ave</t>
  </si>
  <si>
    <t>3087 Oak Hwy</t>
  </si>
  <si>
    <t>7098 Lincoln Hwy</t>
  </si>
  <si>
    <t>5124 Maple St</t>
  </si>
  <si>
    <t>2333 Maple Lane</t>
  </si>
  <si>
    <t>Jetta</t>
  </si>
  <si>
    <t>1012 5th Lane</t>
  </si>
  <si>
    <t>7477 MLK Drive</t>
  </si>
  <si>
    <t>9489 3rd St</t>
  </si>
  <si>
    <t>2087 Apache Ave</t>
  </si>
  <si>
    <t>5540 Sky St</t>
  </si>
  <si>
    <t>exercise</t>
  </si>
  <si>
    <t>7238 2nd St</t>
  </si>
  <si>
    <t>8442 Britain Hwy</t>
  </si>
  <si>
    <t>1331 Britain Hwy</t>
  </si>
  <si>
    <t>5260 Francis Drive</t>
  </si>
  <si>
    <t>1135 Solo Lane</t>
  </si>
  <si>
    <t>9737 Solo Hwy</t>
  </si>
  <si>
    <t>ML350</t>
  </si>
  <si>
    <t>3289 Britain Drive</t>
  </si>
  <si>
    <t>6550 Andromedia St</t>
  </si>
  <si>
    <t>1679 2nd Hwy</t>
  </si>
  <si>
    <t>3998 Flute St</t>
  </si>
  <si>
    <t>2430 MLK Ave</t>
  </si>
  <si>
    <t>7717 Britain Hwy</t>
  </si>
  <si>
    <t>7773 Tree Hwy</t>
  </si>
  <si>
    <t>2199 Texas Drive</t>
  </si>
  <si>
    <t>1028 Sky Lane</t>
  </si>
  <si>
    <t>4154 Lincoln Hwy</t>
  </si>
  <si>
    <t>8085 Andromedia St</t>
  </si>
  <si>
    <t>4793 4th Ridge</t>
  </si>
  <si>
    <t>7428 Sky Hwy</t>
  </si>
  <si>
    <t>2306 5th Lane</t>
  </si>
  <si>
    <t>3052 Weaver Ridge</t>
  </si>
  <si>
    <t>Ultima</t>
  </si>
  <si>
    <t>5211 Weaver Drive</t>
  </si>
  <si>
    <t>7253 MLK St</t>
  </si>
  <si>
    <t>1454 5th Ridge</t>
  </si>
  <si>
    <t>5622 Best Ridge</t>
  </si>
  <si>
    <t>4574 Britain Hwy</t>
  </si>
  <si>
    <t>4539 Texas St</t>
  </si>
  <si>
    <t>8118 Elm Ridge</t>
  </si>
  <si>
    <t>3814 Britain Drive</t>
  </si>
  <si>
    <t>4614 MLK Ave</t>
  </si>
  <si>
    <t>1628 Best Drive</t>
  </si>
  <si>
    <t>8381 Solo Hwy</t>
  </si>
  <si>
    <t>2100 MLK St</t>
  </si>
  <si>
    <t>5071 Flute Ridge</t>
  </si>
  <si>
    <t>7551 Britain Lane</t>
  </si>
  <si>
    <t>2275 Best Lane</t>
  </si>
  <si>
    <t>1598 3rd Drive</t>
  </si>
  <si>
    <t>7740 MLK St</t>
  </si>
  <si>
    <t>1240 Tree Lane</t>
  </si>
  <si>
    <t>8983 Francis Ridge</t>
  </si>
  <si>
    <t>7756 Solo Drive</t>
  </si>
  <si>
    <t>9034 Weaver Ridge</t>
  </si>
  <si>
    <t>1126 Texas Hwy</t>
  </si>
  <si>
    <t>2808 Elm St</t>
  </si>
  <si>
    <t>5061 Francis Ave</t>
  </si>
  <si>
    <t>4965 MLK Drive</t>
  </si>
  <si>
    <t>8668 Flute St</t>
  </si>
  <si>
    <t>2577 Washington Drive</t>
  </si>
  <si>
    <t>7709 Rock Lane</t>
  </si>
  <si>
    <t>9358 Texas Ridge</t>
  </si>
  <si>
    <t>8080 Oak Lane</t>
  </si>
  <si>
    <t>6408 Weaver Ridge</t>
  </si>
  <si>
    <t>5532 Weaver Ridge</t>
  </si>
  <si>
    <t>9101 2nd Hwy</t>
  </si>
  <si>
    <t>8576 Andromedia St</t>
  </si>
  <si>
    <t>6315 2nd Lane</t>
  </si>
  <si>
    <t>1536 Flute Drive</t>
  </si>
  <si>
    <t>4672 MLK St</t>
  </si>
  <si>
    <t>2204 Washington Lane</t>
  </si>
  <si>
    <t>9484 Pine Drive</t>
  </si>
  <si>
    <t>5431 3rd Ridge</t>
  </si>
  <si>
    <t>7121 Britain Drive</t>
  </si>
  <si>
    <t>8586 1st Ridge</t>
  </si>
  <si>
    <t>7582 Pine Drive</t>
  </si>
  <si>
    <t>1388 Embaracadero Hwy</t>
  </si>
  <si>
    <t>5621 4th Ave</t>
  </si>
  <si>
    <t>8150 Washington Ridge</t>
  </si>
  <si>
    <t>4268 2nd Ave</t>
  </si>
  <si>
    <t>6375 2nd Lane</t>
  </si>
  <si>
    <t>3770 Flute Drive</t>
  </si>
  <si>
    <t>1562 Britain St</t>
  </si>
  <si>
    <t>1681 Cherokee Hwy</t>
  </si>
  <si>
    <t>7523 Oak Lane</t>
  </si>
  <si>
    <t>1815 Cherokee Drive</t>
  </si>
  <si>
    <t>9316 Pine Ave</t>
  </si>
  <si>
    <t>2733 Texas Drive</t>
  </si>
  <si>
    <t>7684 Francis Ridge</t>
  </si>
  <si>
    <t>8991 Embaracadero Ave</t>
  </si>
  <si>
    <t>4905 Francis Ave</t>
  </si>
  <si>
    <t>7783 Lincoln Hwy</t>
  </si>
  <si>
    <t>8749 Tree St</t>
  </si>
  <si>
    <t>4985 Sky Lane</t>
  </si>
  <si>
    <t>7534 MLK Hwy</t>
  </si>
  <si>
    <t>8689 Maple Hwy</t>
  </si>
  <si>
    <t>9153 3rd Hwy</t>
  </si>
  <si>
    <t>5904 1st Drive</t>
  </si>
  <si>
    <t>4519 Embaracadero St</t>
  </si>
  <si>
    <t>9706 MLK Lane</t>
  </si>
  <si>
    <t>6012 Texas Hwy</t>
  </si>
  <si>
    <t>4098 Weaver Ridge</t>
  </si>
  <si>
    <t>6193 1st Hwy</t>
  </si>
  <si>
    <t>4053 Sky Lane</t>
  </si>
  <si>
    <t>8964 Francis St</t>
  </si>
  <si>
    <t>9748 Sky Drive</t>
  </si>
  <si>
    <t>2293 Washington Ave</t>
  </si>
  <si>
    <t>3656 Solo Ave</t>
  </si>
  <si>
    <t>8579 Apache Drive</t>
  </si>
  <si>
    <t>2003 Maple Hwy</t>
  </si>
  <si>
    <t>5445 Tree Hwy</t>
  </si>
  <si>
    <t>9730 2nd Hwy</t>
  </si>
  <si>
    <t>7819 Oak St</t>
  </si>
  <si>
    <t>1845 Best St</t>
  </si>
  <si>
    <t>2500 Tree St</t>
  </si>
  <si>
    <t>6955 Pine Drive</t>
  </si>
  <si>
    <t>6165 Rock Ridge</t>
  </si>
  <si>
    <t>3653 Elm Drive</t>
  </si>
  <si>
    <t>5812 3rd Hwy</t>
  </si>
  <si>
    <t>4939 Best St</t>
  </si>
  <si>
    <t>Grand Cherokee</t>
  </si>
  <si>
    <t>4964 Elm Lane</t>
  </si>
  <si>
    <t>9588 Solo St</t>
  </si>
  <si>
    <t>8718 Apache Lane</t>
  </si>
  <si>
    <t>3590 Best Hwy</t>
  </si>
  <si>
    <t>6149 Best Ridge</t>
  </si>
  <si>
    <t>4116 Embaracadero Lane</t>
  </si>
  <si>
    <t>3486 Flute Ave</t>
  </si>
  <si>
    <t>5994 5th Ave</t>
  </si>
  <si>
    <t>9138 3rd St</t>
  </si>
  <si>
    <t>3743 Andromedia Ridge</t>
  </si>
  <si>
    <t>7644 Tree Ridge</t>
  </si>
  <si>
    <t>3167 2nd St</t>
  </si>
  <si>
    <t>3327 Lincoln Drive</t>
  </si>
  <si>
    <t>8621 Best Ridge</t>
  </si>
  <si>
    <t>3878 Tree Lane</t>
  </si>
  <si>
    <t>9760 Solo Lane</t>
  </si>
  <si>
    <t>9138 1st St</t>
  </si>
  <si>
    <t>3414 Elm Ave</t>
  </si>
  <si>
    <t>3172 Tree Ridge</t>
  </si>
  <si>
    <t>6104 Oak Ave</t>
  </si>
  <si>
    <t>9742 5th Ridge</t>
  </si>
  <si>
    <t>8782 3rd St</t>
  </si>
  <si>
    <t>9798 Sky Ridge</t>
  </si>
  <si>
    <t>5483 Francis Drive</t>
  </si>
  <si>
    <t>2005 Texas Hwy</t>
  </si>
  <si>
    <t>6634 Texas Ridge</t>
  </si>
  <si>
    <t>8655 Cherokee Lane</t>
  </si>
  <si>
    <t>4955 Lincoln Ridge</t>
  </si>
  <si>
    <t>7705 Best Ridge</t>
  </si>
  <si>
    <t>5838 Pine Lane</t>
  </si>
  <si>
    <t>7331 Sky Hwy</t>
  </si>
  <si>
    <t>5640 Embaracadero Lane</t>
  </si>
  <si>
    <t>9610 Cherokee St</t>
  </si>
  <si>
    <t>3550 Washington Ave</t>
  </si>
  <si>
    <t>5277 Texas Lane</t>
  </si>
  <si>
    <t>3654 Cherokee Ave</t>
  </si>
  <si>
    <t>7380 5th Hwy</t>
  </si>
  <si>
    <t>2539 Embaracadero Ridge</t>
  </si>
  <si>
    <t>4693 Lincoln Hwy</t>
  </si>
  <si>
    <t>2376 Sky Ridge</t>
  </si>
  <si>
    <t>1273 Rock Lane</t>
  </si>
  <si>
    <t>8281 Lincoln Lane</t>
  </si>
  <si>
    <t>6429 4th Hwy</t>
  </si>
  <si>
    <t>2201 4th Lane</t>
  </si>
  <si>
    <t>5506 Best St</t>
  </si>
  <si>
    <t>8404 Embaracadero St</t>
  </si>
  <si>
    <t>2117 Lincoln Hwy</t>
  </si>
  <si>
    <t>6359 MLK Ridge</t>
  </si>
  <si>
    <t>9751 Sky Ridge</t>
  </si>
  <si>
    <t>9020 Elm Ave</t>
  </si>
  <si>
    <t>1830 Sky St</t>
  </si>
  <si>
    <t>6067 Weaver Ridge</t>
  </si>
  <si>
    <t>1840 Embaracadero Ave</t>
  </si>
  <si>
    <t>4058 Tree Drive</t>
  </si>
  <si>
    <t>4983 MLK Ridge</t>
  </si>
  <si>
    <t>9744 Texas Drive</t>
  </si>
  <si>
    <t>8821 Elm St</t>
  </si>
  <si>
    <t>2886 Tree Ridge</t>
  </si>
  <si>
    <t>5236 Weaver Drive</t>
  </si>
  <si>
    <t>5862 Apache Ridge</t>
  </si>
  <si>
    <t>7859 4th Ridge</t>
  </si>
  <si>
    <t>6259 Weaver St</t>
  </si>
  <si>
    <t>9980 Lincoln Ave</t>
  </si>
  <si>
    <t>7828 Cherokee Ave</t>
  </si>
  <si>
    <t>5812 Oak St</t>
  </si>
  <si>
    <t>2318 Washington Hwy</t>
  </si>
  <si>
    <t>8809 Flute St</t>
  </si>
  <si>
    <t>3184 Oak Ave</t>
  </si>
  <si>
    <t>6493 Lincoln Lane</t>
  </si>
  <si>
    <t>7162 Maple Ave</t>
  </si>
  <si>
    <t>5455 Tree Ridge</t>
  </si>
  <si>
    <t>5778 Pine Ridge</t>
  </si>
  <si>
    <t>3797 Solo Lane</t>
  </si>
  <si>
    <t>9373 Pine Hwy</t>
  </si>
  <si>
    <t>1365 Francis Ave</t>
  </si>
  <si>
    <t>9239 Washington Ridge</t>
  </si>
  <si>
    <t>3416 Washington Drive</t>
  </si>
  <si>
    <t>1923 2nd Hwy</t>
  </si>
  <si>
    <t>6451 1st Hwy</t>
  </si>
  <si>
    <t>1267 Francis Hwy</t>
  </si>
  <si>
    <t>4158 Washington Lane</t>
  </si>
  <si>
    <t>3796 Cherokee Drive</t>
  </si>
  <si>
    <t>7434 Oak Hwy</t>
  </si>
  <si>
    <t>5178 Weaver Hwy</t>
  </si>
  <si>
    <t>8477 Francis Hwy</t>
  </si>
  <si>
    <t>7693 Britain Lane</t>
  </si>
  <si>
    <t>3658 Rock Drive</t>
  </si>
  <si>
    <t>2617 Andromedia Drive</t>
  </si>
  <si>
    <t>9279 Oak Hwy</t>
  </si>
  <si>
    <t>3439 Andromedia Hwy</t>
  </si>
  <si>
    <t>5901 Elm Drive</t>
  </si>
  <si>
    <t>3982 Washington Hwy</t>
  </si>
  <si>
    <t>3376 5th Drive</t>
  </si>
  <si>
    <t>3936 Tree Drive</t>
  </si>
  <si>
    <t>6605 Tree Ave</t>
  </si>
  <si>
    <t>3102 Apache St</t>
  </si>
  <si>
    <t>7756 Pine Hwy</t>
  </si>
  <si>
    <t>7142 5th Lane</t>
  </si>
  <si>
    <t>2914 Oak Drive</t>
  </si>
  <si>
    <t>6522 Apache Drive</t>
  </si>
  <si>
    <t>5279 Pine Ridge</t>
  </si>
  <si>
    <t>8078 Britain Hwy</t>
  </si>
  <si>
    <t>1133 Apache St</t>
  </si>
  <si>
    <t>2873 Flute Ave</t>
  </si>
  <si>
    <t>8509 Apache St</t>
  </si>
  <si>
    <t>8245 4th Hwy</t>
  </si>
  <si>
    <t>3094 Best Lane</t>
  </si>
  <si>
    <t>8188 Tree Ave</t>
  </si>
  <si>
    <t>5224 5th Lane</t>
  </si>
  <si>
    <t>2230 1st St</t>
  </si>
  <si>
    <t>6719 Flute St</t>
  </si>
  <si>
    <t>8064 4th Ave</t>
  </si>
  <si>
    <t>2469 Francis Lane</t>
  </si>
  <si>
    <t>4671 5th Ridge</t>
  </si>
  <si>
    <t>6985 Maple Lane</t>
  </si>
  <si>
    <t>7791 Britain Ridge</t>
  </si>
  <si>
    <t>6355 4th Hwy</t>
  </si>
  <si>
    <t>3495 Britain Drive</t>
  </si>
  <si>
    <t>2980 Sky Ridge</t>
  </si>
  <si>
    <t>5914 Oak Ave</t>
  </si>
  <si>
    <t>3835 5th Ave</t>
  </si>
  <si>
    <t>5925 Tree Hwy</t>
  </si>
  <si>
    <t>6250 1st Ridge</t>
  </si>
  <si>
    <t>1346 5th Lane</t>
  </si>
  <si>
    <t>1128 Maple Lane</t>
  </si>
  <si>
    <t>6309 Cherokee Ave</t>
  </si>
  <si>
    <t>4618 Flute Ave</t>
  </si>
  <si>
    <t>6191 Oak Lane</t>
  </si>
  <si>
    <t>1316 Britain Ridge</t>
  </si>
  <si>
    <t>5924 Maple Drive</t>
  </si>
  <si>
    <t>8917 Tree Ridge</t>
  </si>
  <si>
    <t>3966 Francis Ridge</t>
  </si>
  <si>
    <t>1507 Solo Ave</t>
  </si>
  <si>
    <t>4272 Oak Ridge</t>
  </si>
  <si>
    <t>4434 Lincoln Ave</t>
  </si>
  <si>
    <t>7529 Solo Ridge</t>
  </si>
  <si>
    <t>8096 Apache Hwy</t>
  </si>
  <si>
    <t>9417 Tree Hwy</t>
  </si>
  <si>
    <t>3809 Texas Lane</t>
  </si>
  <si>
    <t>1540 Apache Lane</t>
  </si>
  <si>
    <t>2337 Lincoln Hwy</t>
  </si>
  <si>
    <t>6770 1st St</t>
  </si>
  <si>
    <t>4119 Texas St</t>
  </si>
  <si>
    <t>4347 2nd Ridge</t>
  </si>
  <si>
    <t>1091 1st Drive</t>
  </si>
  <si>
    <t>8203 Lincoln Ave</t>
  </si>
  <si>
    <t>9154 MLK Hwy</t>
  </si>
  <si>
    <t>5780 4th Ave</t>
  </si>
  <si>
    <t>6945 Texas Hwy</t>
  </si>
  <si>
    <t>5639 1st Ridge</t>
  </si>
  <si>
    <t>3834 Pine St</t>
  </si>
  <si>
    <t>1358 Maple St</t>
  </si>
  <si>
    <t>7460 Apache Lane</t>
  </si>
  <si>
    <t>5771 Sky Ave</t>
  </si>
  <si>
    <t>2865 Maple Lane</t>
  </si>
  <si>
    <t>8940 Elm Ave</t>
  </si>
  <si>
    <t>1215 Pine Hwy</t>
  </si>
  <si>
    <t>6874 Maple Ridge</t>
  </si>
  <si>
    <t>8834 Elm Drive</t>
  </si>
  <si>
    <t>8542 Lincoln Ridge</t>
  </si>
  <si>
    <t>9397 Francis St</t>
  </si>
  <si>
    <t>4907 Andromedia Drive</t>
  </si>
  <si>
    <t>4429 Washington St</t>
  </si>
  <si>
    <t>2651 MLK Lane</t>
  </si>
  <si>
    <t>2942 1st Lane</t>
  </si>
  <si>
    <t>6317 Best St</t>
  </si>
  <si>
    <t>1555 Washington Lane</t>
  </si>
  <si>
    <t>1919 4th Lane</t>
  </si>
  <si>
    <t>5480 3rd Ridge</t>
  </si>
  <si>
    <t>8864 Tree Ridge</t>
  </si>
  <si>
    <t>2777 Solo Drive</t>
  </si>
  <si>
    <t>9929 Rock Drive</t>
  </si>
  <si>
    <t>4143 Maple Ridge</t>
  </si>
  <si>
    <t>7121 Rock St</t>
  </si>
  <si>
    <t>9067 Texas Ave</t>
  </si>
  <si>
    <t>9245 Weaver Ridge</t>
  </si>
  <si>
    <t>4585 Francis Ave</t>
  </si>
  <si>
    <t>6738 Francis Hwy</t>
  </si>
  <si>
    <t>7576 Pine Ridge</t>
  </si>
  <si>
    <t>9105 Tree Lane</t>
  </si>
  <si>
    <t>2299 Britain Drive</t>
  </si>
  <si>
    <t>1914 Francis St</t>
  </si>
  <si>
    <t>6658 Weaver St</t>
  </si>
  <si>
    <t>1985 5th Ave</t>
  </si>
  <si>
    <t>1707 Sky Ave</t>
  </si>
  <si>
    <t>6456 Andromedia Drive</t>
  </si>
  <si>
    <t>5649 Texas Ave</t>
  </si>
  <si>
    <t>1220 MLK Ave</t>
  </si>
  <si>
    <t>1589 Pine St</t>
  </si>
  <si>
    <t>8906 Elm Lane</t>
  </si>
  <si>
    <t>2654 Elm Drive</t>
  </si>
  <si>
    <t>6681 Texas Ridge</t>
  </si>
  <si>
    <t>7782 Rock St</t>
  </si>
  <si>
    <t>9286 Oak Ave</t>
  </si>
  <si>
    <t>8758 5th St</t>
  </si>
  <si>
    <t>7281 Maple Hwy</t>
  </si>
  <si>
    <t>7571 Elm Ridge</t>
  </si>
  <si>
    <t>6738 Washington Hwy</t>
  </si>
  <si>
    <t>4188 Britain Ave</t>
  </si>
  <si>
    <t>6934 Lincoln Ave</t>
  </si>
  <si>
    <t>6390 Apache St</t>
  </si>
  <si>
    <t>7615 Weaver Drive</t>
  </si>
  <si>
    <t>6409 Cherokee Drive</t>
  </si>
  <si>
    <t>1123 5th Lane</t>
  </si>
  <si>
    <t>5168 5th Ave</t>
  </si>
  <si>
    <t>3697 Apache Drive</t>
  </si>
  <si>
    <t>1910 Sky Ave</t>
  </si>
  <si>
    <t>8954 Apache Lane</t>
  </si>
  <si>
    <t>3110 Lincoln Lane</t>
  </si>
  <si>
    <t>6035 Rock Ave</t>
  </si>
  <si>
    <t>2220 1st Lane</t>
  </si>
  <si>
    <t>4972 Francis Lane</t>
  </si>
  <si>
    <t>6957 Weaver Drive</t>
  </si>
  <si>
    <t>1512 Rock Lane</t>
  </si>
  <si>
    <t>3693 Pine Ave</t>
  </si>
  <si>
    <t>9879 Apache Drive</t>
  </si>
  <si>
    <t>2494 Andromedia Drive</t>
  </si>
  <si>
    <t>4615 Embaracadero Ave</t>
  </si>
  <si>
    <t>1929 Britain Drive</t>
  </si>
  <si>
    <t>5051 Elm St</t>
  </si>
  <si>
    <t>9910 Maple Ave</t>
  </si>
  <si>
    <t>5602 Britain St</t>
  </si>
  <si>
    <t>6889 Cherokee St</t>
  </si>
  <si>
    <t>3926 Rock Lane</t>
  </si>
  <si>
    <t>6717 Best Drive</t>
  </si>
  <si>
    <t>6117 4th Ave</t>
  </si>
  <si>
    <t>2668 Cherokee St</t>
  </si>
  <si>
    <t>6838 Flute Lane</t>
  </si>
  <si>
    <t>6583 MLK Ridge</t>
  </si>
  <si>
    <t>6492 4th Lane</t>
  </si>
  <si>
    <t>7299 Apache St</t>
  </si>
  <si>
    <t>2756 Britain Hwy</t>
  </si>
  <si>
    <t>9360 3rd Drive</t>
  </si>
  <si>
    <t>1655 Francis Hwy</t>
  </si>
  <si>
    <t>9720 Lincoln Hwy</t>
  </si>
  <si>
    <t>7066 Texas Ave</t>
  </si>
  <si>
    <t>9728 Britain Hwy</t>
  </si>
  <si>
    <t>4486 Cherokee Ridge</t>
  </si>
  <si>
    <t>8021 Flute Ave</t>
  </si>
  <si>
    <t>2774 Apache Drive</t>
  </si>
  <si>
    <t>2787 MLK St</t>
  </si>
  <si>
    <t>9847 Elm St</t>
  </si>
  <si>
    <t>4629 Elm Ridge</t>
  </si>
  <si>
    <t>5585 Washington Drive</t>
  </si>
  <si>
    <t>3925 Sky St</t>
  </si>
  <si>
    <t>3903 Oak Ave</t>
  </si>
  <si>
    <t>3805 Lincoln Hwy</t>
  </si>
  <si>
    <t>4055 2nd Drive</t>
  </si>
  <si>
    <t>3707 Oak Ridge</t>
  </si>
  <si>
    <t>7327 Lincoln Drive</t>
  </si>
  <si>
    <t>9369 Flute Hwy</t>
  </si>
  <si>
    <t>4239 Weaver Ave</t>
  </si>
  <si>
    <t>6044 Weaver Drive</t>
  </si>
  <si>
    <t>8879 1st Drive</t>
  </si>
  <si>
    <t>9488 Best Drive</t>
  </si>
  <si>
    <t>7500 Texas Ridge</t>
  </si>
  <si>
    <t>2048 3rd Ridge</t>
  </si>
  <si>
    <t>3419 Apache St</t>
  </si>
  <si>
    <t>9875 MLK Ave</t>
  </si>
  <si>
    <t>3553 Texas Ave</t>
  </si>
  <si>
    <t>4335 1st St</t>
  </si>
  <si>
    <t>9070 Tree Ave</t>
  </si>
  <si>
    <t>3900 Texas St</t>
  </si>
  <si>
    <t>9657 5th Ave</t>
  </si>
  <si>
    <t>5765 Washington St</t>
  </si>
  <si>
    <t>5997 Embaracadero Drive</t>
  </si>
  <si>
    <t>1738 Solo Lane</t>
  </si>
  <si>
    <t>2903 Weaver Drive</t>
  </si>
  <si>
    <t>8926 Texas Ridge</t>
  </si>
  <si>
    <t>4231 3rd Ave</t>
  </si>
  <si>
    <t>8049 4th St</t>
  </si>
  <si>
    <t>6501 5th Drive</t>
  </si>
  <si>
    <t>7909 Andromedia Hwy</t>
  </si>
  <si>
    <t>5865 Sky Lane</t>
  </si>
  <si>
    <t>1957 Washington Ave</t>
  </si>
  <si>
    <t>7649 Texas St</t>
  </si>
  <si>
    <t>1992 Britain Drive</t>
  </si>
  <si>
    <t>9685 Sky Ridge</t>
  </si>
  <si>
    <t>3457 Texas Lane</t>
  </si>
  <si>
    <t>7693 Cherokee Lane</t>
  </si>
  <si>
    <t>3167 4th Ridge</t>
  </si>
  <si>
    <t>1617 Rock Drive</t>
  </si>
  <si>
    <t>7877 3rd Ridge</t>
  </si>
  <si>
    <t>9325 Lincoln Drive</t>
  </si>
  <si>
    <t>5855 Apache St</t>
  </si>
  <si>
    <t>1328 Texas Lane</t>
  </si>
  <si>
    <t>4567 Pine Ave</t>
  </si>
  <si>
    <t>7575 Pine St</t>
  </si>
  <si>
    <t>2850 Washington St</t>
  </si>
  <si>
    <t>9169 Cherokee Hwy</t>
  </si>
  <si>
    <t>6443 Washington Ridge</t>
  </si>
  <si>
    <t>6751 5th Hwy</t>
  </si>
  <si>
    <t>2289 Weaver Ridge</t>
  </si>
  <si>
    <t>8306 1st Drive</t>
  </si>
  <si>
    <t>2603 Andromedia Hwy</t>
  </si>
  <si>
    <t>6479 Francis Ave</t>
  </si>
  <si>
    <t>6428 Andromedia Lane</t>
  </si>
  <si>
    <t>9081 Cherokee Hwy</t>
  </si>
  <si>
    <t>1532 Washington St</t>
  </si>
  <si>
    <t>4625 MLK Drive</t>
  </si>
  <si>
    <t>1529 Elm Ridge</t>
  </si>
  <si>
    <t>2086 Francis Drive</t>
  </si>
  <si>
    <t>9066 Best Ridge</t>
  </si>
  <si>
    <t>7178 Best Drive</t>
  </si>
  <si>
    <t>9821 Francis Ave</t>
  </si>
  <si>
    <t>7061 Cherokee Drive</t>
  </si>
  <si>
    <t>1325 1st Lane</t>
  </si>
  <si>
    <t>3769 Sky St</t>
  </si>
  <si>
    <t>8489 Pine Hwy</t>
  </si>
  <si>
    <t>6329 Apache Ave</t>
  </si>
  <si>
    <t>9293 Pine Lane</t>
  </si>
  <si>
    <t>9224 Sky Drive</t>
  </si>
  <si>
    <t>8862 Maple Ridge</t>
  </si>
  <si>
    <t>3492 Flute Lane</t>
  </si>
  <si>
    <t>6484 Tree Drive</t>
  </si>
  <si>
    <t>4554 Sky Ave</t>
  </si>
  <si>
    <t>5201 Texas Hwy</t>
  </si>
  <si>
    <t>3982 Weaver Lane</t>
  </si>
  <si>
    <t>3660 Andromedia Hwy</t>
  </si>
  <si>
    <t>7135 Flute Lane</t>
  </si>
  <si>
    <t>4414 Solo Drive</t>
  </si>
  <si>
    <t>2920 5th Ave</t>
  </si>
  <si>
    <t>2986 MLK Drive</t>
  </si>
  <si>
    <t>1580 Maple Lane</t>
  </si>
  <si>
    <t>3706 Texas Hwy</t>
  </si>
  <si>
    <t>9109 Britain Drive</t>
  </si>
  <si>
    <t>2290 4th Ave</t>
  </si>
  <si>
    <t>4232 Britain Ridge</t>
  </si>
  <si>
    <t>6677 Andromedia Drive</t>
  </si>
  <si>
    <t>5868 Sky Hwy</t>
  </si>
  <si>
    <t>3053 Lincoln Drive</t>
  </si>
  <si>
    <t>7041 Tree Ridge</t>
  </si>
  <si>
    <t>7223 Embaracadero St</t>
  </si>
  <si>
    <t>8081 Flute Ridge</t>
  </si>
  <si>
    <t>8618 Texas Lane</t>
  </si>
  <si>
    <t>3508 Washington St</t>
  </si>
  <si>
    <t>2193 4th Ridge</t>
  </si>
  <si>
    <t>8897 Sky St</t>
  </si>
  <si>
    <t>9611 Pine Ridge</t>
  </si>
  <si>
    <t>7825 1st Ridge</t>
  </si>
  <si>
    <t>3039 Oak Hwy</t>
  </si>
  <si>
    <t>8204 Pine Lane</t>
  </si>
  <si>
    <t>9787 Andromedia Ave</t>
  </si>
  <si>
    <t>9633 Rock Hwy</t>
  </si>
  <si>
    <t>6303 1st Drive</t>
  </si>
  <si>
    <t>2014 Rock Ave</t>
  </si>
  <si>
    <t>8983 Tree St</t>
  </si>
  <si>
    <t>6260 5th Lane</t>
  </si>
  <si>
    <t>2725 Britain Ridge</t>
  </si>
  <si>
    <t>3089 Oak Ridge</t>
  </si>
  <si>
    <t>6206 3rd Ridge</t>
  </si>
  <si>
    <t>7240 5th Ridge</t>
  </si>
  <si>
    <t>8100 3rd Ave</t>
  </si>
  <si>
    <t>3282 4th Lane</t>
  </si>
  <si>
    <t>3227 Maple Ave</t>
  </si>
  <si>
    <t>4264 Lincoln Ridge</t>
  </si>
  <si>
    <t>2215 Best Ave</t>
  </si>
  <si>
    <t>5363 Weaver Lane</t>
  </si>
  <si>
    <t>2397 Cherokee Ave</t>
  </si>
  <si>
    <t>9794 Embaracadero St</t>
  </si>
  <si>
    <t>1810 Elm Hwy</t>
  </si>
  <si>
    <t>9603 Texas Lane</t>
  </si>
  <si>
    <t>5650 Sky Drive</t>
  </si>
  <si>
    <t>9633 MLK Lane</t>
  </si>
  <si>
    <t>4981 Flute Hwy</t>
  </si>
  <si>
    <t>9078 Francis Ridge</t>
  </si>
  <si>
    <t>1381 Francis Ave</t>
  </si>
  <si>
    <t>6435 Texas Ave</t>
  </si>
  <si>
    <t>1248 MLK Ridge</t>
  </si>
  <si>
    <t>3323 1st Lane</t>
  </si>
  <si>
    <t>6971 Best Ridge</t>
  </si>
  <si>
    <t>7488 Lincoln Lane</t>
  </si>
  <si>
    <t>9007 Francis Hwy</t>
  </si>
  <si>
    <t>1491 Francis Ridge</t>
  </si>
  <si>
    <t>3659 Oak Lane</t>
  </si>
  <si>
    <t>4176 Britain Hwy</t>
  </si>
  <si>
    <t>5189 Francis Drive</t>
  </si>
  <si>
    <t>6515 Oak Lane</t>
  </si>
  <si>
    <t>7168 Andromedia Ridge</t>
  </si>
  <si>
    <t>7954 Tree Ridge</t>
  </si>
  <si>
    <t>1956 Apache St</t>
  </si>
  <si>
    <t>9918 Andromedia Drive</t>
  </si>
  <si>
    <t>5499 Flute Ridge</t>
  </si>
  <si>
    <t>3311 2nd Drive</t>
  </si>
  <si>
    <t>7609 Rock St</t>
  </si>
  <si>
    <t>4652 Flute Drive</t>
  </si>
  <si>
    <t>6853 Sky Hwy</t>
  </si>
  <si>
    <t>7780 Flute Lane</t>
  </si>
  <si>
    <t>1687 3rd Lane</t>
  </si>
  <si>
    <t>6378 Britain Ave</t>
  </si>
  <si>
    <t>1306 Andromedia St</t>
  </si>
  <si>
    <t>3664 Francis Ridge</t>
  </si>
  <si>
    <t>5985 Lincoln Lane</t>
  </si>
  <si>
    <t>3706 4th Hwy</t>
  </si>
  <si>
    <t>6603 Francis Hwy</t>
  </si>
  <si>
    <t>7069 4th Hwy</t>
  </si>
  <si>
    <t>5093 Flute Lane</t>
  </si>
  <si>
    <t>5894 Flute Drive</t>
  </si>
  <si>
    <t>8459 Apache Ave</t>
  </si>
  <si>
    <t>7447 Lincoln Ridge</t>
  </si>
  <si>
    <t>1821 Andromedia Ridge</t>
  </si>
  <si>
    <t>6859 Flute Ridge</t>
  </si>
  <si>
    <t>4175 Elm Ridge</t>
  </si>
  <si>
    <t>5007 Oak St</t>
  </si>
  <si>
    <t>5790 Flute Ridge</t>
  </si>
  <si>
    <t>8704 Britain Lane</t>
  </si>
  <si>
    <t>7816 MLK Lane</t>
  </si>
  <si>
    <t>3618 Maple Lane</t>
  </si>
  <si>
    <t>7705 Lincoln Drive</t>
  </si>
  <si>
    <t>8602 Washington Ridge</t>
  </si>
  <si>
    <t>2832 Andromedia Lane</t>
  </si>
  <si>
    <t>9760 4th Hwy</t>
  </si>
  <si>
    <t>2509 Rock Drive</t>
  </si>
  <si>
    <t>2063 Weaver St</t>
  </si>
  <si>
    <t>3818 Texas Ridge</t>
  </si>
  <si>
    <t>3929 Elm Ave</t>
  </si>
  <si>
    <t>9911 Britain Lane</t>
  </si>
  <si>
    <t>3246 Britain Ridge</t>
  </si>
  <si>
    <t>2696 Cherokee Ridge</t>
  </si>
  <si>
    <t>5249 4th Ave</t>
  </si>
  <si>
    <t>4721 Cherokee Hwy</t>
  </si>
  <si>
    <t>8212 Flute Ridge</t>
  </si>
  <si>
    <t>3592 MLK Ridge</t>
  </si>
  <si>
    <t>6494 4th Ave</t>
  </si>
  <si>
    <t>6608 Apache Lane</t>
  </si>
  <si>
    <t>1553 Lincoln St</t>
  </si>
  <si>
    <t>7628 4th Lane</t>
  </si>
  <si>
    <t>3028 5th St</t>
  </si>
  <si>
    <t>8949 Rock Hwy</t>
  </si>
  <si>
    <t>9751 Tree St</t>
  </si>
  <si>
    <t>4702 Texas Drive</t>
  </si>
  <si>
    <t>2757 4th Hwy</t>
  </si>
  <si>
    <t>6678 Weaver Drive</t>
  </si>
  <si>
    <t>8667 Weaver Lane</t>
  </si>
  <si>
    <t>4931 Maple Drive</t>
  </si>
  <si>
    <t>3808 5th Ave</t>
  </si>
  <si>
    <t>1725 Solo Lane</t>
  </si>
  <si>
    <t>8097 Maple Lane</t>
  </si>
  <si>
    <t>3320 5th Hwy</t>
  </si>
  <si>
    <t>9573 2nd Ave</t>
  </si>
  <si>
    <t>8336 1st Ridge</t>
  </si>
  <si>
    <t>3998 4th Hwy</t>
  </si>
  <si>
    <t>3966 Oak Hwy</t>
  </si>
  <si>
    <t>7601 Andromedia Lane</t>
  </si>
  <si>
    <t>5160 2nd Hwy</t>
  </si>
  <si>
    <t>3288 Tree Lane</t>
  </si>
  <si>
    <t>5874 1st Hwy</t>
  </si>
  <si>
    <t>6467 Best Ave</t>
  </si>
  <si>
    <t>6309 5th Ave</t>
  </si>
  <si>
    <t>8212 Rock Ave</t>
  </si>
  <si>
    <t>4107 MLK Ridge</t>
  </si>
  <si>
    <t>4558 3rd Hwy</t>
  </si>
  <si>
    <t>1762 Maple Hwy</t>
  </si>
  <si>
    <t>5532 Francis Lane</t>
  </si>
  <si>
    <t>6158 Sky Ridge</t>
  </si>
  <si>
    <t>9214 Elm Ridge</t>
  </si>
  <si>
    <t>1833 Solo Ave</t>
  </si>
  <si>
    <t>1953 Sky Lane</t>
  </si>
  <si>
    <t>6834 1st Drive</t>
  </si>
  <si>
    <t>9562 4th Ridge</t>
  </si>
  <si>
    <t>4835 Britain Ridge</t>
  </si>
  <si>
    <t>8548 Cherokee Ridge</t>
  </si>
  <si>
    <t>2352 MLK Drive</t>
  </si>
  <si>
    <t>9734 2nd Ridge</t>
  </si>
  <si>
    <t>3122 Apache Drive</t>
  </si>
  <si>
    <t>9816 Britain St</t>
  </si>
  <si>
    <t>8214 Flute St</t>
  </si>
  <si>
    <t>6259 Lincoln Hwy</t>
  </si>
  <si>
    <t>4492 Andromedia Ave</t>
  </si>
  <si>
    <t>6179 3rd Ridge</t>
  </si>
  <si>
    <t>3799 Embaracadero Drive</t>
  </si>
  <si>
    <t>5071 1st Lane</t>
  </si>
  <si>
    <t>6574 4th Drive</t>
  </si>
  <si>
    <t>2711 Britain Ave</t>
  </si>
  <si>
    <t>4214 MLK Ridge</t>
  </si>
  <si>
    <t>7976 Britain Drive</t>
  </si>
  <si>
    <t>4995 Weaver Ridge</t>
  </si>
  <si>
    <t>1515 Embaracadero St</t>
  </si>
  <si>
    <t>2968 Andromedia Ave</t>
  </si>
  <si>
    <t>9236 2nd Hwy</t>
  </si>
  <si>
    <t>9639 Britain Ridge</t>
  </si>
  <si>
    <t>9422 Washington Ridge</t>
  </si>
  <si>
    <t>1213 4th Lane</t>
  </si>
  <si>
    <t>3872 5th Drive</t>
  </si>
  <si>
    <t>9397 5th Hwy</t>
  </si>
  <si>
    <t>8876 1st St</t>
  </si>
  <si>
    <t>3397 5th Ave</t>
  </si>
  <si>
    <t>3263 Pine Ridge</t>
  </si>
  <si>
    <t>8639 5th Hwy</t>
  </si>
  <si>
    <t>5743 4th Ridge</t>
  </si>
  <si>
    <t>3555 Francis Ridge</t>
  </si>
  <si>
    <t>4939 Oak Lane</t>
  </si>
  <si>
    <t>3100 Best St</t>
  </si>
  <si>
    <t>3029 5th Ave</t>
  </si>
  <si>
    <t>8941 Solo Ridge</t>
  </si>
  <si>
    <t>4447 Francis Hwy</t>
  </si>
  <si>
    <t>7701 Tree St</t>
  </si>
  <si>
    <t>4653 Pine St</t>
  </si>
  <si>
    <t>8742 4th St</t>
  </si>
  <si>
    <t>7316 Texas Ave</t>
  </si>
  <si>
    <t>2950 MLK Ave</t>
  </si>
  <si>
    <t>8233 Tree Drive</t>
  </si>
  <si>
    <t>4642 Rock Ridge</t>
  </si>
  <si>
    <t>7733 Britain Lane</t>
  </si>
  <si>
    <t>2753 Cherokee Ave</t>
  </si>
  <si>
    <t>3995 Lincoln Hwy</t>
  </si>
  <si>
    <t>4095 MLK St</t>
  </si>
  <si>
    <t>5782 Rock Drive</t>
  </si>
  <si>
    <t>2900 Sky Drive</t>
  </si>
  <si>
    <t>1515 Pine Lane</t>
  </si>
  <si>
    <t>4876 Washington Drive</t>
  </si>
  <si>
    <t>5779 2nd Lane</t>
  </si>
  <si>
    <t>6706 Francis Drive</t>
  </si>
  <si>
    <t>6384 5th Ridge</t>
  </si>
  <si>
    <t>3006 Lincoln Ridge</t>
  </si>
  <si>
    <t>5352 Lincoln Drive</t>
  </si>
  <si>
    <t>6110 Rock Ridge</t>
  </si>
  <si>
    <t>7797 Tree Ridge</t>
  </si>
  <si>
    <t>4910 1st Lane</t>
  </si>
  <si>
    <t>8766 Lincoln Lane</t>
  </si>
  <si>
    <t>6399 Oak Drive</t>
  </si>
  <si>
    <t>3127 Flute St</t>
  </si>
  <si>
    <t>8920 Best Ave</t>
  </si>
  <si>
    <t>7314 Tree Drive</t>
  </si>
  <si>
    <t>8872 Oak Ridge</t>
  </si>
  <si>
    <t>5022 1st St</t>
  </si>
  <si>
    <t>3423 Francis Ave</t>
  </si>
  <si>
    <t>9529 4th Drive</t>
  </si>
  <si>
    <t>1818 Tree St</t>
  </si>
  <si>
    <t>4431 Rock St</t>
  </si>
  <si>
    <t>4782 Sky Lane</t>
  </si>
  <si>
    <t>7112 Weaver Ave</t>
  </si>
  <si>
    <t>4020 Best Drive</t>
  </si>
  <si>
    <t>2037 5th Drive</t>
  </si>
  <si>
    <t>4699 Texas Ridge</t>
  </si>
  <si>
    <t>1832 Elm Hwy</t>
  </si>
  <si>
    <t>5226 Maple St</t>
  </si>
  <si>
    <t>3771 4th St</t>
  </si>
  <si>
    <t>8701 5th Lane</t>
  </si>
  <si>
    <t>7574 4th St</t>
  </si>
  <si>
    <t>1989 Solo Lane</t>
  </si>
  <si>
    <t>6331 MLK Ave</t>
  </si>
  <si>
    <t>8453 Elm St</t>
  </si>
  <si>
    <t>1422 Flute Ave</t>
  </si>
  <si>
    <t>5058 4th Lane</t>
  </si>
  <si>
    <t>3098 Oak Lane</t>
  </si>
  <si>
    <t>9103 MLK Lane</t>
  </si>
  <si>
    <t>8624 Francis Ave</t>
  </si>
  <si>
    <t>2905 Embaracadero Drive</t>
  </si>
  <si>
    <t>3443 Maple Ridge</t>
  </si>
  <si>
    <t>1618 Maple Hwy</t>
  </si>
  <si>
    <t>3751 Tree Hwy</t>
  </si>
  <si>
    <t>6848 Elm Hwy</t>
  </si>
  <si>
    <t>4237 4th St</t>
  </si>
  <si>
    <t>6581 Rock Ridge</t>
  </si>
  <si>
    <t>7236 Apache Lane</t>
  </si>
  <si>
    <t>3846 4th Hwy</t>
  </si>
  <si>
    <t>5028 Maple Ridge</t>
  </si>
  <si>
    <t>7426 Rock Drive</t>
  </si>
  <si>
    <t>5771 Best St</t>
  </si>
  <si>
    <t>9818 Cherokee Ave</t>
  </si>
  <si>
    <t>7819 2nd Ave</t>
  </si>
  <si>
    <t>1331 Elm Ridge</t>
  </si>
  <si>
    <t>9240 Britain Ave</t>
  </si>
  <si>
    <t>6668 Andromedia Ridge</t>
  </si>
  <si>
    <t>5276 2nd Lane</t>
  </si>
  <si>
    <t>2889 Weaver St</t>
  </si>
  <si>
    <t>1879 4th Lane</t>
  </si>
  <si>
    <t>5499 Elm Hwy</t>
  </si>
  <si>
    <t>8822 Sky St</t>
  </si>
  <si>
    <t>4254 Best Ridge</t>
  </si>
  <si>
    <t>5812 Weaver Ave</t>
  </si>
  <si>
    <t>7155 Apache Drive</t>
  </si>
  <si>
    <t>1376 Pine St</t>
  </si>
  <si>
    <t>3340 3rd Hwy</t>
  </si>
  <si>
    <t>3097 4th Drive</t>
  </si>
  <si>
    <t>1916 Elm St</t>
  </si>
  <si>
    <t>8917 Cherokee Lane</t>
  </si>
  <si>
    <t>8492 Weaver Hwy</t>
  </si>
  <si>
    <t>3753 Francis Lane</t>
  </si>
  <si>
    <t>4545 4th Ridge</t>
  </si>
  <si>
    <t>2272 Embaracadero Drive</t>
  </si>
  <si>
    <t>5341 5th Ave</t>
  </si>
  <si>
    <t>7745 Washington Ridge</t>
  </si>
  <si>
    <t>1275 4th Ridge</t>
  </si>
  <si>
    <t>4857 Weaver St</t>
  </si>
  <si>
    <t>8211 Sky Hwy</t>
  </si>
  <si>
    <t>8617 Best Ave</t>
  </si>
  <si>
    <t>9856 Apache St</t>
  </si>
  <si>
    <t>1951 Best Ave</t>
  </si>
  <si>
    <t>1824 5th Lane</t>
  </si>
  <si>
    <t>7393 Washington St</t>
  </si>
  <si>
    <t>1386 Britain St</t>
  </si>
  <si>
    <t>7928 Maple Ridge</t>
  </si>
  <si>
    <t>1546 Cherokee Ave</t>
  </si>
  <si>
    <t>2003 2nd Hwy</t>
  </si>
  <si>
    <t>9418 5th Hwy</t>
  </si>
  <si>
    <t>8770 1st Lane</t>
  </si>
  <si>
    <t>1087 Flute Drive</t>
  </si>
  <si>
    <t>2217 Tree Lane</t>
  </si>
  <si>
    <t>6741 Oak Ridge</t>
  </si>
  <si>
    <t>2123 MLK Ridge</t>
  </si>
  <si>
    <t>4390 4th Drive</t>
  </si>
  <si>
    <t>1437 3rd Lane</t>
  </si>
  <si>
    <t>1186 Rock St</t>
  </si>
  <si>
    <t>4394 Oak St</t>
  </si>
  <si>
    <t>8368 Cherokee Ave</t>
  </si>
  <si>
    <t>4905 Best Lane</t>
  </si>
  <si>
    <t>3618 Sky Ave</t>
  </si>
  <si>
    <t>5459 MLK Ave</t>
  </si>
  <si>
    <t>1371 Texas Lane</t>
  </si>
  <si>
    <t>2654 Embaracadero St</t>
  </si>
  <si>
    <t>2123 Texas Ave</t>
  </si>
  <si>
    <t>4538 Flute Hwy</t>
  </si>
  <si>
    <t>4434 Weaver St</t>
  </si>
  <si>
    <t>2798 1st Ave</t>
  </si>
  <si>
    <t>2809 Francis Lane</t>
  </si>
  <si>
    <t>7281 Oak St</t>
  </si>
  <si>
    <t>9878 Washington Ave</t>
  </si>
  <si>
    <t>2537 5th Ave</t>
  </si>
  <si>
    <t>8493 Apache Drive</t>
  </si>
  <si>
    <t>2878 Britain Hwy</t>
  </si>
  <si>
    <t>2862 Tree Ridge</t>
  </si>
  <si>
    <t>4453 Best Ave</t>
  </si>
  <si>
    <t>5191 4th St</t>
  </si>
  <si>
    <t>1364 Best St</t>
  </si>
  <si>
    <t>8946 2nd Drive</t>
  </si>
  <si>
    <t>3726 MLK Hwy</t>
  </si>
  <si>
    <t>2820 Britain St</t>
  </si>
  <si>
    <t>2646 MLK Drive</t>
  </si>
  <si>
    <t>6256 Elm St</t>
  </si>
  <si>
    <t>9724 Maple St</t>
  </si>
  <si>
    <t>7397 4th Drive</t>
  </si>
  <si>
    <t>3488 Flute Lane</t>
  </si>
  <si>
    <t>9082 3rd Lane</t>
  </si>
  <si>
    <t>1941 5th Ridge</t>
  </si>
  <si>
    <t>5333 MLK Lane</t>
  </si>
  <si>
    <t>4577 Sky Hwy</t>
  </si>
  <si>
    <t>4814 Lincoln Lane</t>
  </si>
  <si>
    <t>2381 1st Hwy</t>
  </si>
  <si>
    <t>6939 3rd Hwy</t>
  </si>
  <si>
    <t>5269 Flute Hwy</t>
  </si>
  <si>
    <t>7197 2nd Drive</t>
  </si>
  <si>
    <t>1741 Best Ridge</t>
  </si>
  <si>
    <t>9148 4th Hwy</t>
  </si>
  <si>
    <t>4279 Solo Drive</t>
  </si>
  <si>
    <t>9177 Texas Ave</t>
  </si>
  <si>
    <t>5969 Francis St</t>
  </si>
  <si>
    <t>9942 Tree Ave</t>
  </si>
  <si>
    <t>5474 Weaver Hwy</t>
  </si>
  <si>
    <t>1102 Apache Hwy</t>
  </si>
  <si>
    <t>9214 Texas Drive</t>
  </si>
  <si>
    <t>8991 Texas Hwy</t>
  </si>
  <si>
    <t>9580 MLK Ave</t>
  </si>
  <si>
    <t>5868 Best Drive</t>
  </si>
  <si>
    <t>5318 5th Ave</t>
  </si>
  <si>
    <t>7502 Rock Lane</t>
  </si>
  <si>
    <t>4627 Elm Ridge</t>
  </si>
  <si>
    <t>5584 Britain Lane</t>
  </si>
  <si>
    <t>7002 Oak Hwy</t>
  </si>
  <si>
    <t>4780 Best Drive</t>
  </si>
  <si>
    <t>8995 1st Ave</t>
  </si>
  <si>
    <t>5586 2nd St</t>
  </si>
  <si>
    <t>1589 Best Ave</t>
  </si>
  <si>
    <t>1880 Weaver Drive</t>
  </si>
  <si>
    <t>7295 Tree Hwy</t>
  </si>
  <si>
    <t>8832 Pine Drive</t>
  </si>
  <si>
    <t>1620 Oak Ave</t>
  </si>
  <si>
    <t>3847 Elm Hwy</t>
  </si>
  <si>
    <t>3177 MLK Ridge</t>
  </si>
  <si>
    <t>3929 Oak Drive</t>
  </si>
  <si>
    <t>1469 Lincoln Drive</t>
  </si>
  <si>
    <t>9719 4th Lane</t>
  </si>
  <si>
    <t>3196 Cherokee St</t>
  </si>
  <si>
    <t>8492 Andromedia Ridge</t>
  </si>
  <si>
    <t>1353 Washington St</t>
  </si>
  <si>
    <t>6731 Andromedia Hwy</t>
  </si>
  <si>
    <t>5769 Texas Lane</t>
  </si>
  <si>
    <t>2849 Pine Drive</t>
  </si>
  <si>
    <t>2577 Texas Ridge</t>
  </si>
  <si>
    <t>3841 Washington Lane</t>
  </si>
  <si>
    <t>8125 Texas Ridge</t>
  </si>
  <si>
    <t>4826 5th St</t>
  </si>
  <si>
    <t>1578 5th Lane</t>
  </si>
  <si>
    <t>6440 Rock Lane</t>
  </si>
  <si>
    <t>5806 Embaracadero St</t>
  </si>
  <si>
    <t>1472 4th Drive</t>
  </si>
  <si>
    <t>5839 Weaver Lane</t>
  </si>
  <si>
    <t>7630 Rock Drive</t>
  </si>
  <si>
    <t>7144 Andromedia St</t>
  </si>
  <si>
    <t>9988 Rock Ridge</t>
  </si>
  <si>
    <t>7544 Washington Ave</t>
  </si>
  <si>
    <t>7201 Washington Ave</t>
  </si>
  <si>
    <t>8805 Cherokee Drive</t>
  </si>
  <si>
    <t>3275 Pine St</t>
  </si>
  <si>
    <t>7785 Lincoln Lane</t>
  </si>
  <si>
    <t>4994 Lincoln Drive</t>
  </si>
  <si>
    <t>1298 Maple Hwy</t>
  </si>
  <si>
    <t>2644 MLK Drive</t>
  </si>
  <si>
    <t>5630 1st Drive</t>
  </si>
  <si>
    <t>6137 MLK St</t>
  </si>
  <si>
    <t>5383 Maple Drive</t>
  </si>
  <si>
    <t>4460 4th Lane</t>
  </si>
  <si>
    <t>8524 Pine Lane</t>
  </si>
  <si>
    <t>8456 1st Ave</t>
  </si>
  <si>
    <t>3639 Flute Hwy</t>
  </si>
  <si>
    <t>7900 Sky Hwy</t>
  </si>
  <si>
    <t>7835 Cherokee Hwy</t>
  </si>
  <si>
    <t>1030 Pine Lane</t>
  </si>
  <si>
    <t>9278 Francis Ridge</t>
  </si>
  <si>
    <t>6604 Apache Drive</t>
  </si>
  <si>
    <t>2311 4th St</t>
  </si>
  <si>
    <t>9523 Solo Hwy</t>
  </si>
  <si>
    <t>3171 Andromedia Lane</t>
  </si>
  <si>
    <t>2492 Lincoln Lane</t>
  </si>
  <si>
    <t>4477 5th Ave</t>
  </si>
  <si>
    <t>6724 Andromedia St</t>
  </si>
  <si>
    <t>7495 Washington Ave</t>
  </si>
  <si>
    <t>4291 Sky Hwy</t>
  </si>
  <si>
    <t>5650 Rock Ave</t>
  </si>
  <si>
    <t>6888 Elm Ridge</t>
  </si>
  <si>
    <t>2352 Sky Drive</t>
  </si>
  <si>
    <t>5280 Pine Ave</t>
  </si>
  <si>
    <t>6638 Tree Drive</t>
  </si>
  <si>
    <t>5678 Lincoln Drive</t>
  </si>
  <si>
    <t>4496 Pine Lane</t>
  </si>
  <si>
    <t>8845 5th Ave</t>
  </si>
  <si>
    <t>9317 Apache Ave</t>
  </si>
  <si>
    <t>8638 3rd Ave</t>
  </si>
  <si>
    <t>3061 Francis Hwy</t>
  </si>
  <si>
    <t>1173 Andromedia Ave</t>
  </si>
  <si>
    <t>6068 2nd St</t>
  </si>
  <si>
    <t>7937 Weaver Ridge</t>
  </si>
  <si>
    <t>2823 Weaver Lane</t>
  </si>
  <si>
    <t>1809 Sky St</t>
  </si>
  <si>
    <t>9352 Washington Ave</t>
  </si>
  <si>
    <t>2697 Oak Drive</t>
  </si>
  <si>
    <t>1110 4th Drive</t>
  </si>
  <si>
    <t>7535 5th Lane</t>
  </si>
  <si>
    <t>9043 Maple Hwy</t>
  </si>
  <si>
    <t>3777 Maple Ave</t>
  </si>
  <si>
    <t>5608 Solo St</t>
  </si>
  <si>
    <t>6981 Weaver St</t>
  </si>
  <si>
    <t>4369 Maple Lane</t>
  </si>
  <si>
    <t>6931 Elm St</t>
  </si>
  <si>
    <t>7583 Washington Ave</t>
  </si>
  <si>
    <t>7552 3rd St</t>
  </si>
  <si>
    <t>1654 Pine St</t>
  </si>
  <si>
    <t>6058 Andromedia Hwy</t>
  </si>
  <si>
    <t>6536 MLK Hwy</t>
  </si>
  <si>
    <t>8198 Embaracadero Lane</t>
  </si>
  <si>
    <t>3447 Solo Ave</t>
  </si>
  <si>
    <t>1806 Weaver Ridge</t>
  </si>
  <si>
    <t>7930 Texas Ave</t>
  </si>
  <si>
    <t>7082 Oak Ridge</t>
  </si>
  <si>
    <t>6357 Texas Lane</t>
  </si>
  <si>
    <t>9322 Rock Hwy</t>
  </si>
  <si>
    <t>6684 Solo Lane</t>
  </si>
  <si>
    <t>4885 Oak Lane</t>
  </si>
  <si>
    <t>7846 Andromedia Drive</t>
  </si>
  <si>
    <t>3915 Embaracadero St</t>
  </si>
  <si>
    <t>4242 Rock Lane</t>
  </si>
  <si>
    <t>7405 Oak St</t>
  </si>
  <si>
    <t>9633 4th St</t>
  </si>
  <si>
    <t>3492 Britain St</t>
  </si>
  <si>
    <t>7973 4th St</t>
  </si>
  <si>
    <t>3952 Andromedia Lane</t>
  </si>
  <si>
    <t>6702 Andromedia St</t>
  </si>
  <si>
    <t>5455 Oak Hwy</t>
  </si>
  <si>
    <t>2253 Maple Ave</t>
  </si>
  <si>
    <t>7897 Lincoln St</t>
  </si>
  <si>
    <t>8811 Maple Hwy</t>
  </si>
  <si>
    <t>8167 Apache Ave</t>
  </si>
  <si>
    <t>5475 Rock Lane</t>
  </si>
  <si>
    <t>8215 Flute Drive</t>
  </si>
  <si>
    <t>1320 Flute Lane</t>
  </si>
  <si>
    <t>1229 5th Ave</t>
  </si>
  <si>
    <t>3884 Pine Lane</t>
  </si>
  <si>
    <t>7108 Tree St</t>
  </si>
  <si>
    <t>8014 Embaracadero Drive</t>
  </si>
  <si>
    <t>4937 Flute Drive</t>
  </si>
  <si>
    <t>2889 Francis St</t>
  </si>
  <si>
    <t>7504 Flute Drive</t>
  </si>
  <si>
    <t>7570 Cherokee Drive</t>
  </si>
  <si>
    <t>4710 Lincoln Hwy</t>
  </si>
  <si>
    <t>7511 1st Ave</t>
  </si>
  <si>
    <t>7042 Maple Ridge</t>
  </si>
  <si>
    <t>4475 Lincoln Ridge</t>
  </si>
  <si>
    <t>9439 MLK St</t>
  </si>
  <si>
    <t>8269 Sky Hwy</t>
  </si>
  <si>
    <t>5663 Oak Lane</t>
  </si>
  <si>
    <t>4633 5th Lane</t>
  </si>
  <si>
    <t>9682 Cherokee Ridge</t>
  </si>
  <si>
    <t>4755 1st St</t>
  </si>
  <si>
    <t>5312 Francis Ridge</t>
  </si>
  <si>
    <t>1705 Weaver St</t>
  </si>
  <si>
    <t>1643 Washington Hwy</t>
  </si>
  <si>
    <t>6516 Solo Drive</t>
  </si>
  <si>
    <t>6045 Andromedia St</t>
  </si>
  <si>
    <t>3092 Texas Drive</t>
  </si>
  <si>
    <t>7629 5th St</t>
  </si>
  <si>
    <t>6128 Elm Lane</t>
  </si>
  <si>
    <t>1416 Cherokee 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</si>
</sst>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1AD8C-5B52-420B-AACA-EE6734C6275F}">
  <dimension ref="A1:AR1001"/>
  <sheetViews>
    <sheetView tabSelected="1" workbookViewId="0">
      <selection activeCell="E11" sqref="E11"/>
    </sheetView>
  </sheetViews>
  <sheetFormatPr defaultRowHeight="15" x14ac:dyDescent="0.25"/>
  <cols>
    <col min="1" max="1" width="20.140625" bestFit="1" customWidth="1"/>
    <col min="2" max="2" width="15.7109375" bestFit="1" customWidth="1"/>
    <col min="3" max="4" width="12.140625" customWidth="1"/>
    <col min="5" max="5" width="14.42578125" bestFit="1" customWidth="1"/>
    <col min="6" max="6" width="16.140625" customWidth="1"/>
    <col min="7" max="7" width="14" bestFit="1" customWidth="1"/>
    <col min="8" max="8" width="11.85546875" bestFit="1" customWidth="1"/>
    <col min="9" max="9" width="19.85546875" bestFit="1" customWidth="1"/>
    <col min="10" max="10" width="25.140625" bestFit="1" customWidth="1"/>
    <col min="11" max="11" width="16.5703125" bestFit="1" customWidth="1"/>
    <col min="12" max="12" width="13.5703125" bestFit="1" customWidth="1"/>
    <col min="13" max="13" width="14" bestFit="1" customWidth="1"/>
    <col min="14" max="14" width="25.7109375" bestFit="1" customWidth="1"/>
    <col min="15" max="15" width="21" bestFit="1" customWidth="1"/>
    <col min="16" max="16" width="18.28515625" bestFit="1" customWidth="1"/>
    <col min="17" max="17" width="22" bestFit="1" customWidth="1"/>
    <col min="18" max="18" width="14.42578125" bestFit="1" customWidth="1"/>
    <col min="19" max="19" width="13.28515625" bestFit="1" customWidth="1"/>
    <col min="20" max="20" width="15.7109375" bestFit="1" customWidth="1"/>
    <col min="21" max="21" width="22.140625" bestFit="1" customWidth="1"/>
    <col min="22" max="22" width="15.85546875" bestFit="1" customWidth="1"/>
    <col min="23" max="23" width="18.85546875" bestFit="1" customWidth="1"/>
    <col min="24" max="24" width="23" bestFit="1" customWidth="1"/>
    <col min="25" max="25" width="16.140625" bestFit="1" customWidth="1"/>
    <col min="26" max="26" width="14.7109375" bestFit="1" customWidth="1"/>
    <col min="27" max="27" width="23.85546875" bestFit="1" customWidth="1"/>
    <col min="28" max="28" width="27.140625" bestFit="1" customWidth="1"/>
    <col min="29" max="29" width="27.140625" customWidth="1"/>
    <col min="30" max="30" width="30.7109375" bestFit="1" customWidth="1"/>
    <col min="31" max="31" width="19.140625" bestFit="1" customWidth="1"/>
    <col min="32" max="32" width="16.7109375" bestFit="1" customWidth="1"/>
    <col min="33" max="33" width="12.140625" bestFit="1" customWidth="1"/>
    <col min="34" max="34" width="24.7109375" bestFit="1" customWidth="1"/>
    <col min="35" max="35" width="21.28515625" bestFit="1" customWidth="1"/>
    <col min="36" max="36" width="14.140625" bestFit="1" customWidth="1"/>
    <col min="37" max="37" width="16.85546875" bestFit="1" customWidth="1"/>
    <col min="38" max="38" width="15.5703125" bestFit="1" customWidth="1"/>
    <col min="39" max="39" width="13.140625" bestFit="1" customWidth="1"/>
    <col min="40" max="40" width="15.42578125" bestFit="1" customWidth="1"/>
    <col min="41" max="41" width="15.42578125" customWidth="1"/>
    <col min="42" max="42" width="12.140625" bestFit="1" customWidth="1"/>
    <col min="43" max="43" width="12.140625" customWidth="1"/>
    <col min="44" max="44" width="17.28515625" customWidth="1"/>
  </cols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5">
      <c r="A2">
        <v>328</v>
      </c>
      <c r="B2" t="str">
        <f>IF(A2&lt;=24, "0-2 years", IF(A2&lt;=60, "2-5 years", IF(A2&lt;=120, "5-10 years", "10+ years")))</f>
        <v>10+ years</v>
      </c>
      <c r="C2">
        <v>48</v>
      </c>
      <c r="D2" t="str" cm="1">
        <f t="array" ref="D2">_xlfn.IFS(C2&lt;E725, "19-25", C2&lt;33, "26-32", C2&lt;40, "33-39", C2&lt;47, "40-46",C2&lt;54, "47-53", TRUE, "54+")</f>
        <v>19-25</v>
      </c>
      <c r="E2">
        <v>521585</v>
      </c>
      <c r="F2" s="1">
        <v>41929</v>
      </c>
      <c r="G2" t="s">
        <v>44</v>
      </c>
      <c r="H2" t="s">
        <v>45</v>
      </c>
      <c r="I2">
        <v>1000</v>
      </c>
      <c r="J2">
        <v>1406.91</v>
      </c>
      <c r="K2">
        <v>0</v>
      </c>
      <c r="L2">
        <v>466132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>
        <v>53300</v>
      </c>
      <c r="S2">
        <v>0</v>
      </c>
      <c r="T2" s="1">
        <v>42029</v>
      </c>
      <c r="U2" t="s">
        <v>51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>
        <v>5</v>
      </c>
      <c r="AC2" t="str">
        <f>IF(AB2&lt;6, "Night", IF(AB2&lt;12, "Morning", IF(AB2&lt;18, "Afternoon", "Evening")))</f>
        <v>Night</v>
      </c>
      <c r="AD2">
        <v>1</v>
      </c>
      <c r="AE2" t="s">
        <v>58</v>
      </c>
      <c r="AF2">
        <v>1</v>
      </c>
      <c r="AG2">
        <v>2</v>
      </c>
      <c r="AH2" t="s">
        <v>58</v>
      </c>
      <c r="AI2">
        <v>71610</v>
      </c>
      <c r="AJ2">
        <v>6510</v>
      </c>
      <c r="AK2">
        <v>13020</v>
      </c>
      <c r="AL2">
        <v>52080</v>
      </c>
      <c r="AM2" t="s">
        <v>59</v>
      </c>
      <c r="AN2" t="s">
        <v>60</v>
      </c>
      <c r="AO2" cm="1">
        <f t="array" ref="AO2:AO1001">YEAR(T2:T1001)</f>
        <v>2015</v>
      </c>
      <c r="AP2">
        <v>2004</v>
      </c>
      <c r="AQ2">
        <f>AO2-AP2</f>
        <v>11</v>
      </c>
      <c r="AR2" t="s">
        <v>61</v>
      </c>
    </row>
    <row r="3" spans="1:44" x14ac:dyDescent="0.25">
      <c r="A3">
        <v>228</v>
      </c>
      <c r="B3" t="str">
        <f t="shared" ref="B3:B66" si="0">IF(A3&lt;=24, "0-2 years", IF(A3&lt;=60, "2-5 years", IF(A3&lt;=120, "5-10 years", "10+ years")))</f>
        <v>10+ years</v>
      </c>
      <c r="C3">
        <v>42</v>
      </c>
      <c r="D3" t="str" cm="1">
        <f t="array" ref="D3">_xlfn.IFS(C3&lt;26, "19-25", C3&lt;33, "26-32", C3&lt;40, "33-39", C3&lt;47, "40-46",C3&lt;54, "47-53", TRUE, "54+")</f>
        <v>40-46</v>
      </c>
      <c r="E3">
        <v>342868</v>
      </c>
      <c r="F3" s="1">
        <v>38895</v>
      </c>
      <c r="G3" t="s">
        <v>62</v>
      </c>
      <c r="H3" t="s">
        <v>45</v>
      </c>
      <c r="I3">
        <v>2000</v>
      </c>
      <c r="J3">
        <v>1197.22</v>
      </c>
      <c r="K3">
        <v>5000000</v>
      </c>
      <c r="L3">
        <v>468176</v>
      </c>
      <c r="M3" t="s">
        <v>46</v>
      </c>
      <c r="N3" t="s">
        <v>47</v>
      </c>
      <c r="O3" t="s">
        <v>63</v>
      </c>
      <c r="P3" t="s">
        <v>64</v>
      </c>
      <c r="Q3" t="s">
        <v>65</v>
      </c>
      <c r="R3">
        <v>0</v>
      </c>
      <c r="S3">
        <v>0</v>
      </c>
      <c r="T3" s="1">
        <v>42025</v>
      </c>
      <c r="U3" t="s">
        <v>66</v>
      </c>
      <c r="V3" t="s">
        <v>67</v>
      </c>
      <c r="W3" t="s">
        <v>68</v>
      </c>
      <c r="X3" t="s">
        <v>54</v>
      </c>
      <c r="Y3" t="s">
        <v>69</v>
      </c>
      <c r="Z3" t="s">
        <v>70</v>
      </c>
      <c r="AA3" t="s">
        <v>71</v>
      </c>
      <c r="AB3">
        <v>8</v>
      </c>
      <c r="AC3" t="str">
        <f t="shared" ref="AC3:AC66" si="1">IF(AB3&lt;6, "Night", IF(AB3&lt;12, "Morning", IF(AB3&lt;18, "Afternoon", "Evening")))</f>
        <v>Morning</v>
      </c>
      <c r="AD3">
        <v>1</v>
      </c>
      <c r="AE3" t="s">
        <v>67</v>
      </c>
      <c r="AF3">
        <v>0</v>
      </c>
      <c r="AG3">
        <v>0</v>
      </c>
      <c r="AH3" t="s">
        <v>67</v>
      </c>
      <c r="AI3">
        <v>5070</v>
      </c>
      <c r="AJ3">
        <v>780</v>
      </c>
      <c r="AK3">
        <v>780</v>
      </c>
      <c r="AL3">
        <v>3510</v>
      </c>
      <c r="AM3" t="s">
        <v>72</v>
      </c>
      <c r="AN3" t="s">
        <v>73</v>
      </c>
      <c r="AO3">
        <v>2015</v>
      </c>
      <c r="AP3">
        <v>2007</v>
      </c>
      <c r="AQ3">
        <f t="shared" ref="AQ3:AQ66" si="2">AO3-AP3</f>
        <v>8</v>
      </c>
      <c r="AR3" t="s">
        <v>61</v>
      </c>
    </row>
    <row r="4" spans="1:44" x14ac:dyDescent="0.25">
      <c r="A4">
        <v>134</v>
      </c>
      <c r="B4" t="str">
        <f t="shared" si="0"/>
        <v>10+ years</v>
      </c>
      <c r="C4">
        <v>29</v>
      </c>
      <c r="D4" t="str" cm="1">
        <f t="array" ref="D4">_xlfn.IFS(C4&lt;26, "19-25", C4&lt;33, "26-32", C4&lt;40, "33-39", C4&lt;47, "40-46",C4&lt;54, "47-53", TRUE, "54+")</f>
        <v>26-32</v>
      </c>
      <c r="E4">
        <v>687698</v>
      </c>
      <c r="F4" s="1">
        <v>36775</v>
      </c>
      <c r="G4" t="s">
        <v>44</v>
      </c>
      <c r="H4" t="s">
        <v>74</v>
      </c>
      <c r="I4">
        <v>2000</v>
      </c>
      <c r="J4">
        <v>1413.14</v>
      </c>
      <c r="K4">
        <v>5000000</v>
      </c>
      <c r="L4">
        <v>430632</v>
      </c>
      <c r="M4" t="s">
        <v>75</v>
      </c>
      <c r="N4" t="s">
        <v>76</v>
      </c>
      <c r="O4" t="s">
        <v>77</v>
      </c>
      <c r="P4" t="s">
        <v>78</v>
      </c>
      <c r="Q4" t="s">
        <v>79</v>
      </c>
      <c r="R4">
        <v>35100</v>
      </c>
      <c r="S4">
        <v>0</v>
      </c>
      <c r="T4" s="1">
        <v>42057</v>
      </c>
      <c r="U4" t="s">
        <v>80</v>
      </c>
      <c r="V4" t="s">
        <v>81</v>
      </c>
      <c r="W4" t="s">
        <v>68</v>
      </c>
      <c r="X4" t="s">
        <v>54</v>
      </c>
      <c r="Y4" t="s">
        <v>82</v>
      </c>
      <c r="Z4" t="s">
        <v>56</v>
      </c>
      <c r="AA4" t="s">
        <v>83</v>
      </c>
      <c r="AB4">
        <v>7</v>
      </c>
      <c r="AC4" t="str">
        <f t="shared" si="1"/>
        <v>Morning</v>
      </c>
      <c r="AD4">
        <v>3</v>
      </c>
      <c r="AE4" t="s">
        <v>84</v>
      </c>
      <c r="AF4">
        <v>2</v>
      </c>
      <c r="AG4">
        <v>3</v>
      </c>
      <c r="AH4" t="s">
        <v>84</v>
      </c>
      <c r="AI4">
        <v>34650</v>
      </c>
      <c r="AJ4">
        <v>7700</v>
      </c>
      <c r="AK4">
        <v>3850</v>
      </c>
      <c r="AL4">
        <v>23100</v>
      </c>
      <c r="AM4" t="s">
        <v>85</v>
      </c>
      <c r="AN4" t="s">
        <v>86</v>
      </c>
      <c r="AO4">
        <v>2015</v>
      </c>
      <c r="AP4">
        <v>2007</v>
      </c>
      <c r="AQ4">
        <f t="shared" si="2"/>
        <v>8</v>
      </c>
      <c r="AR4" t="s">
        <v>87</v>
      </c>
    </row>
    <row r="5" spans="1:44" x14ac:dyDescent="0.25">
      <c r="A5">
        <v>256</v>
      </c>
      <c r="B5" t="str">
        <f t="shared" si="0"/>
        <v>10+ years</v>
      </c>
      <c r="C5">
        <v>41</v>
      </c>
      <c r="D5" t="str" cm="1">
        <f t="array" ref="D5">_xlfn.IFS(C5&lt;26, "19-25", C5&lt;33, "26-32", C5&lt;40, "33-39", C5&lt;47, "40-46",C5&lt;54, "47-53", TRUE, "54+")</f>
        <v>40-46</v>
      </c>
      <c r="E5">
        <v>227811</v>
      </c>
      <c r="F5" s="1">
        <v>33018</v>
      </c>
      <c r="G5" t="s">
        <v>88</v>
      </c>
      <c r="H5" t="s">
        <v>45</v>
      </c>
      <c r="I5">
        <v>2000</v>
      </c>
      <c r="J5">
        <v>1415.74</v>
      </c>
      <c r="K5">
        <v>6000000</v>
      </c>
      <c r="L5">
        <v>608117</v>
      </c>
      <c r="M5" t="s">
        <v>75</v>
      </c>
      <c r="N5" t="s">
        <v>76</v>
      </c>
      <c r="O5" t="s">
        <v>89</v>
      </c>
      <c r="P5" t="s">
        <v>78</v>
      </c>
      <c r="Q5" t="s">
        <v>90</v>
      </c>
      <c r="R5">
        <v>48900</v>
      </c>
      <c r="S5">
        <v>-62400</v>
      </c>
      <c r="T5" s="1">
        <v>42014</v>
      </c>
      <c r="U5" t="s">
        <v>51</v>
      </c>
      <c r="V5" t="s">
        <v>91</v>
      </c>
      <c r="W5" t="s">
        <v>53</v>
      </c>
      <c r="X5" t="s">
        <v>54</v>
      </c>
      <c r="Y5" t="s">
        <v>44</v>
      </c>
      <c r="Z5" t="s">
        <v>92</v>
      </c>
      <c r="AA5" t="s">
        <v>93</v>
      </c>
      <c r="AB5">
        <v>5</v>
      </c>
      <c r="AC5" t="str">
        <f t="shared" si="1"/>
        <v>Night</v>
      </c>
      <c r="AD5">
        <v>1</v>
      </c>
      <c r="AE5" t="s">
        <v>67</v>
      </c>
      <c r="AF5">
        <v>1</v>
      </c>
      <c r="AG5">
        <v>2</v>
      </c>
      <c r="AH5" t="s">
        <v>84</v>
      </c>
      <c r="AI5">
        <v>63400</v>
      </c>
      <c r="AJ5">
        <v>6340</v>
      </c>
      <c r="AK5">
        <v>6340</v>
      </c>
      <c r="AL5">
        <v>50720</v>
      </c>
      <c r="AM5" t="s">
        <v>94</v>
      </c>
      <c r="AN5" t="s">
        <v>95</v>
      </c>
      <c r="AO5">
        <v>2015</v>
      </c>
      <c r="AP5">
        <v>2014</v>
      </c>
      <c r="AQ5">
        <f t="shared" si="2"/>
        <v>1</v>
      </c>
      <c r="AR5" t="s">
        <v>61</v>
      </c>
    </row>
    <row r="6" spans="1:44" x14ac:dyDescent="0.25">
      <c r="A6">
        <v>228</v>
      </c>
      <c r="B6" t="str">
        <f t="shared" si="0"/>
        <v>10+ years</v>
      </c>
      <c r="C6">
        <v>44</v>
      </c>
      <c r="D6" t="str" cm="1">
        <f t="array" ref="D6">_xlfn.IFS(C6&lt;26, "19-25", C6&lt;33, "26-32", C6&lt;40, "33-39", C6&lt;47, "40-46",C6&lt;54, "47-53", TRUE, "54+")</f>
        <v>40-46</v>
      </c>
      <c r="E6">
        <v>367455</v>
      </c>
      <c r="F6" s="1">
        <v>41796</v>
      </c>
      <c r="G6" t="s">
        <v>88</v>
      </c>
      <c r="H6" t="s">
        <v>96</v>
      </c>
      <c r="I6">
        <v>1000</v>
      </c>
      <c r="J6">
        <v>1583.91</v>
      </c>
      <c r="K6">
        <v>6000000</v>
      </c>
      <c r="L6">
        <v>610706</v>
      </c>
      <c r="M6" t="s">
        <v>46</v>
      </c>
      <c r="N6" t="s">
        <v>97</v>
      </c>
      <c r="O6" t="s">
        <v>77</v>
      </c>
      <c r="P6" t="s">
        <v>78</v>
      </c>
      <c r="Q6" t="s">
        <v>90</v>
      </c>
      <c r="R6">
        <v>66000</v>
      </c>
      <c r="S6">
        <v>-46000</v>
      </c>
      <c r="T6" s="1">
        <v>42052</v>
      </c>
      <c r="U6" t="s">
        <v>66</v>
      </c>
      <c r="V6" t="s">
        <v>67</v>
      </c>
      <c r="W6" t="s">
        <v>68</v>
      </c>
      <c r="X6" t="s">
        <v>98</v>
      </c>
      <c r="Y6" t="s">
        <v>82</v>
      </c>
      <c r="Z6" t="s">
        <v>92</v>
      </c>
      <c r="AA6" t="s">
        <v>99</v>
      </c>
      <c r="AB6">
        <v>20</v>
      </c>
      <c r="AC6" t="str">
        <f t="shared" si="1"/>
        <v>Evening</v>
      </c>
      <c r="AD6">
        <v>1</v>
      </c>
      <c r="AE6" t="s">
        <v>84</v>
      </c>
      <c r="AF6">
        <v>0</v>
      </c>
      <c r="AG6">
        <v>1</v>
      </c>
      <c r="AH6" t="s">
        <v>84</v>
      </c>
      <c r="AI6">
        <v>6500</v>
      </c>
      <c r="AJ6">
        <v>1300</v>
      </c>
      <c r="AK6">
        <v>650</v>
      </c>
      <c r="AL6">
        <v>4550</v>
      </c>
      <c r="AM6" t="s">
        <v>100</v>
      </c>
      <c r="AN6" t="s">
        <v>101</v>
      </c>
      <c r="AO6">
        <v>2015</v>
      </c>
      <c r="AP6">
        <v>2009</v>
      </c>
      <c r="AQ6">
        <f t="shared" si="2"/>
        <v>6</v>
      </c>
      <c r="AR6" t="s">
        <v>87</v>
      </c>
    </row>
    <row r="7" spans="1:44" x14ac:dyDescent="0.25">
      <c r="A7">
        <v>256</v>
      </c>
      <c r="B7" t="str">
        <f t="shared" si="0"/>
        <v>10+ years</v>
      </c>
      <c r="C7">
        <v>39</v>
      </c>
      <c r="D7" t="str" cm="1">
        <f t="array" ref="D7">_xlfn.IFS(C7&lt;26, "19-25", C7&lt;33, "26-32", C7&lt;40, "33-39", C7&lt;47, "40-46",C7&lt;54, "47-53", TRUE, "54+")</f>
        <v>33-39</v>
      </c>
      <c r="E7">
        <v>104594</v>
      </c>
      <c r="F7" s="1">
        <v>39002</v>
      </c>
      <c r="G7" t="s">
        <v>44</v>
      </c>
      <c r="H7" t="s">
        <v>45</v>
      </c>
      <c r="I7">
        <v>1000</v>
      </c>
      <c r="J7">
        <v>1351.1</v>
      </c>
      <c r="K7">
        <v>0</v>
      </c>
      <c r="L7">
        <v>478456</v>
      </c>
      <c r="M7" t="s">
        <v>75</v>
      </c>
      <c r="N7" t="s">
        <v>76</v>
      </c>
      <c r="O7" t="s">
        <v>102</v>
      </c>
      <c r="P7" t="s">
        <v>103</v>
      </c>
      <c r="Q7" t="s">
        <v>90</v>
      </c>
      <c r="R7">
        <v>0</v>
      </c>
      <c r="S7">
        <v>0</v>
      </c>
      <c r="T7" s="1">
        <v>42006</v>
      </c>
      <c r="U7" t="s">
        <v>80</v>
      </c>
      <c r="V7" t="s">
        <v>81</v>
      </c>
      <c r="W7" t="s">
        <v>53</v>
      </c>
      <c r="X7" t="s">
        <v>104</v>
      </c>
      <c r="Y7" t="s">
        <v>55</v>
      </c>
      <c r="Z7" t="s">
        <v>92</v>
      </c>
      <c r="AA7" t="s">
        <v>105</v>
      </c>
      <c r="AB7">
        <v>19</v>
      </c>
      <c r="AC7" t="str">
        <f t="shared" si="1"/>
        <v>Evening</v>
      </c>
      <c r="AD7">
        <v>3</v>
      </c>
      <c r="AE7" t="s">
        <v>84</v>
      </c>
      <c r="AF7">
        <v>0</v>
      </c>
      <c r="AG7">
        <v>2</v>
      </c>
      <c r="AH7" t="s">
        <v>84</v>
      </c>
      <c r="AI7">
        <v>64100</v>
      </c>
      <c r="AJ7">
        <v>6410</v>
      </c>
      <c r="AK7">
        <v>6410</v>
      </c>
      <c r="AL7">
        <v>51280</v>
      </c>
      <c r="AM7" t="s">
        <v>59</v>
      </c>
      <c r="AN7">
        <v>95</v>
      </c>
      <c r="AO7">
        <v>2015</v>
      </c>
      <c r="AP7">
        <v>2003</v>
      </c>
      <c r="AQ7">
        <f t="shared" si="2"/>
        <v>12</v>
      </c>
      <c r="AR7" t="s">
        <v>61</v>
      </c>
    </row>
    <row r="8" spans="1:44" x14ac:dyDescent="0.25">
      <c r="A8">
        <v>137</v>
      </c>
      <c r="B8" t="str">
        <f t="shared" si="0"/>
        <v>10+ years</v>
      </c>
      <c r="C8">
        <v>34</v>
      </c>
      <c r="D8" t="str" cm="1">
        <f t="array" ref="D8">_xlfn.IFS(C8&lt;26, "19-25", C8&lt;33, "26-32", C8&lt;40, "33-39", C8&lt;47, "40-46",C8&lt;54, "47-53", TRUE, "54+")</f>
        <v>33-39</v>
      </c>
      <c r="E8">
        <v>413978</v>
      </c>
      <c r="F8" s="1">
        <v>36681</v>
      </c>
      <c r="G8" t="s">
        <v>62</v>
      </c>
      <c r="H8" t="s">
        <v>45</v>
      </c>
      <c r="I8">
        <v>1000</v>
      </c>
      <c r="J8">
        <v>1333.35</v>
      </c>
      <c r="K8">
        <v>0</v>
      </c>
      <c r="L8">
        <v>441716</v>
      </c>
      <c r="M8" t="s">
        <v>46</v>
      </c>
      <c r="N8" t="s">
        <v>76</v>
      </c>
      <c r="O8" t="s">
        <v>106</v>
      </c>
      <c r="P8" t="s">
        <v>78</v>
      </c>
      <c r="Q8" t="s">
        <v>50</v>
      </c>
      <c r="R8">
        <v>0</v>
      </c>
      <c r="S8">
        <v>-77000</v>
      </c>
      <c r="T8" s="1">
        <v>42017</v>
      </c>
      <c r="U8" t="s">
        <v>80</v>
      </c>
      <c r="V8" t="s">
        <v>91</v>
      </c>
      <c r="W8" t="s">
        <v>68</v>
      </c>
      <c r="X8" t="s">
        <v>54</v>
      </c>
      <c r="Y8" t="s">
        <v>82</v>
      </c>
      <c r="Z8" t="s">
        <v>107</v>
      </c>
      <c r="AA8" t="s">
        <v>108</v>
      </c>
      <c r="AB8">
        <v>0</v>
      </c>
      <c r="AC8" t="str">
        <f t="shared" si="1"/>
        <v>Night</v>
      </c>
      <c r="AD8">
        <v>3</v>
      </c>
      <c r="AE8" t="s">
        <v>67</v>
      </c>
      <c r="AF8">
        <v>0</v>
      </c>
      <c r="AG8">
        <v>0</v>
      </c>
      <c r="AH8" t="s">
        <v>67</v>
      </c>
      <c r="AI8">
        <v>78650</v>
      </c>
      <c r="AJ8">
        <v>21450</v>
      </c>
      <c r="AK8">
        <v>7150</v>
      </c>
      <c r="AL8">
        <v>50050</v>
      </c>
      <c r="AM8" t="s">
        <v>109</v>
      </c>
      <c r="AN8" t="s">
        <v>110</v>
      </c>
      <c r="AO8">
        <v>2015</v>
      </c>
      <c r="AP8">
        <v>2012</v>
      </c>
      <c r="AQ8">
        <f t="shared" si="2"/>
        <v>3</v>
      </c>
      <c r="AR8" t="s">
        <v>87</v>
      </c>
    </row>
    <row r="9" spans="1:44" x14ac:dyDescent="0.25">
      <c r="A9">
        <v>165</v>
      </c>
      <c r="B9" t="str">
        <f t="shared" si="0"/>
        <v>10+ years</v>
      </c>
      <c r="C9">
        <v>37</v>
      </c>
      <c r="D9" t="str" cm="1">
        <f t="array" ref="D9">_xlfn.IFS(C9&lt;26, "19-25", C9&lt;33, "26-32", C9&lt;40, "33-39", C9&lt;47, "40-46",C9&lt;54, "47-53", TRUE, "54+")</f>
        <v>33-39</v>
      </c>
      <c r="E9">
        <v>429027</v>
      </c>
      <c r="F9" s="1">
        <v>32907</v>
      </c>
      <c r="G9" t="s">
        <v>88</v>
      </c>
      <c r="H9" t="s">
        <v>74</v>
      </c>
      <c r="I9">
        <v>1000</v>
      </c>
      <c r="J9">
        <v>1137.03</v>
      </c>
      <c r="K9">
        <v>0</v>
      </c>
      <c r="L9">
        <v>603195</v>
      </c>
      <c r="M9" t="s">
        <v>46</v>
      </c>
      <c r="N9" t="s">
        <v>97</v>
      </c>
      <c r="O9" t="s">
        <v>102</v>
      </c>
      <c r="P9" t="s">
        <v>111</v>
      </c>
      <c r="Q9" t="s">
        <v>90</v>
      </c>
      <c r="R9">
        <v>0</v>
      </c>
      <c r="S9">
        <v>0</v>
      </c>
      <c r="T9" s="1">
        <v>42062</v>
      </c>
      <c r="U9" t="s">
        <v>80</v>
      </c>
      <c r="V9" t="s">
        <v>91</v>
      </c>
      <c r="W9" t="s">
        <v>112</v>
      </c>
      <c r="X9" t="s">
        <v>54</v>
      </c>
      <c r="Y9" t="s">
        <v>69</v>
      </c>
      <c r="Z9" t="s">
        <v>56</v>
      </c>
      <c r="AA9" t="s">
        <v>113</v>
      </c>
      <c r="AB9">
        <v>23</v>
      </c>
      <c r="AC9" t="str">
        <f t="shared" si="1"/>
        <v>Evening</v>
      </c>
      <c r="AD9">
        <v>3</v>
      </c>
      <c r="AE9" t="s">
        <v>67</v>
      </c>
      <c r="AF9">
        <v>2</v>
      </c>
      <c r="AG9">
        <v>2</v>
      </c>
      <c r="AH9" t="s">
        <v>58</v>
      </c>
      <c r="AI9">
        <v>51590</v>
      </c>
      <c r="AJ9">
        <v>9380</v>
      </c>
      <c r="AK9">
        <v>9380</v>
      </c>
      <c r="AL9">
        <v>32830</v>
      </c>
      <c r="AM9" t="s">
        <v>114</v>
      </c>
      <c r="AN9" t="s">
        <v>115</v>
      </c>
      <c r="AO9">
        <v>2015</v>
      </c>
      <c r="AP9">
        <v>2015</v>
      </c>
      <c r="AQ9">
        <f t="shared" si="2"/>
        <v>0</v>
      </c>
      <c r="AR9" t="s">
        <v>87</v>
      </c>
    </row>
    <row r="10" spans="1:44" x14ac:dyDescent="0.25">
      <c r="A10">
        <v>27</v>
      </c>
      <c r="B10" t="str">
        <f t="shared" si="0"/>
        <v>2-5 years</v>
      </c>
      <c r="C10">
        <v>33</v>
      </c>
      <c r="D10" t="str" cm="1">
        <f t="array" ref="D10">_xlfn.IFS(C10&lt;26, "19-25", C10&lt;33, "26-32", C10&lt;40, "33-39", C10&lt;47, "40-46",C10&lt;54, "47-53", TRUE, "54+")</f>
        <v>33-39</v>
      </c>
      <c r="E10">
        <v>485665</v>
      </c>
      <c r="F10" s="1">
        <v>35466</v>
      </c>
      <c r="G10" t="s">
        <v>88</v>
      </c>
      <c r="H10" t="s">
        <v>74</v>
      </c>
      <c r="I10">
        <v>500</v>
      </c>
      <c r="J10">
        <v>1442.99</v>
      </c>
      <c r="K10">
        <v>0</v>
      </c>
      <c r="L10">
        <v>601734</v>
      </c>
      <c r="M10" t="s">
        <v>75</v>
      </c>
      <c r="N10" t="s">
        <v>76</v>
      </c>
      <c r="O10" t="s">
        <v>116</v>
      </c>
      <c r="P10" t="s">
        <v>117</v>
      </c>
      <c r="Q10" t="s">
        <v>79</v>
      </c>
      <c r="R10">
        <v>0</v>
      </c>
      <c r="S10">
        <v>0</v>
      </c>
      <c r="T10" s="1">
        <v>42034</v>
      </c>
      <c r="U10" t="s">
        <v>51</v>
      </c>
      <c r="V10" t="s">
        <v>91</v>
      </c>
      <c r="W10" t="s">
        <v>112</v>
      </c>
      <c r="X10" t="s">
        <v>54</v>
      </c>
      <c r="Y10" t="s">
        <v>118</v>
      </c>
      <c r="Z10" t="s">
        <v>92</v>
      </c>
      <c r="AA10" t="s">
        <v>119</v>
      </c>
      <c r="AB10">
        <v>21</v>
      </c>
      <c r="AC10" t="str">
        <f t="shared" si="1"/>
        <v>Evening</v>
      </c>
      <c r="AD10">
        <v>1</v>
      </c>
      <c r="AE10" t="s">
        <v>84</v>
      </c>
      <c r="AF10">
        <v>1</v>
      </c>
      <c r="AG10">
        <v>1</v>
      </c>
      <c r="AH10" t="s">
        <v>58</v>
      </c>
      <c r="AI10">
        <v>27700</v>
      </c>
      <c r="AJ10">
        <v>2770</v>
      </c>
      <c r="AK10">
        <v>2770</v>
      </c>
      <c r="AL10">
        <v>22160</v>
      </c>
      <c r="AM10" t="s">
        <v>120</v>
      </c>
      <c r="AN10" t="s">
        <v>121</v>
      </c>
      <c r="AO10">
        <v>2015</v>
      </c>
      <c r="AP10">
        <v>2012</v>
      </c>
      <c r="AQ10">
        <f t="shared" si="2"/>
        <v>3</v>
      </c>
      <c r="AR10" t="s">
        <v>87</v>
      </c>
    </row>
    <row r="11" spans="1:44" x14ac:dyDescent="0.25">
      <c r="A11">
        <v>212</v>
      </c>
      <c r="B11" t="str">
        <f t="shared" si="0"/>
        <v>10+ years</v>
      </c>
      <c r="C11">
        <v>42</v>
      </c>
      <c r="D11" t="str" cm="1">
        <f t="array" ref="D11">_xlfn.IFS(C11&lt;26, "19-25", C11&lt;33, "26-32", C11&lt;40, "33-39", C11&lt;47, "40-46",C11&lt;54, "47-53", TRUE, "54+")</f>
        <v>40-46</v>
      </c>
      <c r="E11">
        <v>636550</v>
      </c>
      <c r="F11" s="1">
        <v>40749</v>
      </c>
      <c r="G11" t="s">
        <v>88</v>
      </c>
      <c r="H11" t="s">
        <v>74</v>
      </c>
      <c r="I11">
        <v>500</v>
      </c>
      <c r="J11">
        <v>1315.68</v>
      </c>
      <c r="K11">
        <v>0</v>
      </c>
      <c r="L11">
        <v>600983</v>
      </c>
      <c r="M11" t="s">
        <v>46</v>
      </c>
      <c r="N11" t="s">
        <v>76</v>
      </c>
      <c r="O11" t="s">
        <v>122</v>
      </c>
      <c r="P11" t="s">
        <v>123</v>
      </c>
      <c r="Q11" t="s">
        <v>124</v>
      </c>
      <c r="R11">
        <v>0</v>
      </c>
      <c r="S11">
        <v>-39300</v>
      </c>
      <c r="T11" s="1">
        <v>42009</v>
      </c>
      <c r="U11" t="s">
        <v>51</v>
      </c>
      <c r="V11" t="s">
        <v>81</v>
      </c>
      <c r="W11" t="s">
        <v>112</v>
      </c>
      <c r="X11" t="s">
        <v>125</v>
      </c>
      <c r="Y11" t="s">
        <v>126</v>
      </c>
      <c r="Z11" t="s">
        <v>127</v>
      </c>
      <c r="AA11" t="s">
        <v>128</v>
      </c>
      <c r="AB11">
        <v>14</v>
      </c>
      <c r="AC11" t="str">
        <f t="shared" si="1"/>
        <v>Afternoon</v>
      </c>
      <c r="AD11">
        <v>1</v>
      </c>
      <c r="AE11" t="s">
        <v>84</v>
      </c>
      <c r="AF11">
        <v>2</v>
      </c>
      <c r="AG11">
        <v>1</v>
      </c>
      <c r="AH11" t="s">
        <v>67</v>
      </c>
      <c r="AI11">
        <v>42300</v>
      </c>
      <c r="AJ11">
        <v>4700</v>
      </c>
      <c r="AK11">
        <v>4700</v>
      </c>
      <c r="AL11">
        <v>32900</v>
      </c>
      <c r="AM11" t="s">
        <v>59</v>
      </c>
      <c r="AN11" t="s">
        <v>60</v>
      </c>
      <c r="AO11">
        <v>2015</v>
      </c>
      <c r="AP11">
        <v>1996</v>
      </c>
      <c r="AQ11">
        <f t="shared" si="2"/>
        <v>19</v>
      </c>
      <c r="AR11" t="s">
        <v>87</v>
      </c>
    </row>
    <row r="12" spans="1:44" x14ac:dyDescent="0.25">
      <c r="A12">
        <v>235</v>
      </c>
      <c r="B12" t="str">
        <f t="shared" si="0"/>
        <v>10+ years</v>
      </c>
      <c r="C12">
        <v>42</v>
      </c>
      <c r="D12" t="str" cm="1">
        <f t="array" ref="D12">_xlfn.IFS(C12&lt;26, "19-25", C12&lt;33, "26-32", C12&lt;40, "33-39", C12&lt;47, "40-46",C12&lt;54, "47-53", TRUE, "54+")</f>
        <v>40-46</v>
      </c>
      <c r="E12">
        <v>543610</v>
      </c>
      <c r="F12" s="1">
        <v>37402</v>
      </c>
      <c r="G12" t="s">
        <v>44</v>
      </c>
      <c r="H12" t="s">
        <v>74</v>
      </c>
      <c r="I12">
        <v>500</v>
      </c>
      <c r="J12">
        <v>1253.1199999999999</v>
      </c>
      <c r="K12">
        <v>4000000</v>
      </c>
      <c r="L12">
        <v>462283</v>
      </c>
      <c r="M12" t="s">
        <v>75</v>
      </c>
      <c r="N12" t="s">
        <v>129</v>
      </c>
      <c r="O12" t="s">
        <v>130</v>
      </c>
      <c r="P12" t="s">
        <v>131</v>
      </c>
      <c r="Q12" t="s">
        <v>65</v>
      </c>
      <c r="R12">
        <v>38400</v>
      </c>
      <c r="S12">
        <v>0</v>
      </c>
      <c r="T12" s="1">
        <v>42010</v>
      </c>
      <c r="U12" t="s">
        <v>51</v>
      </c>
      <c r="V12" t="s">
        <v>91</v>
      </c>
      <c r="W12" t="s">
        <v>112</v>
      </c>
      <c r="X12" t="s">
        <v>54</v>
      </c>
      <c r="Y12" t="s">
        <v>82</v>
      </c>
      <c r="Z12" t="s">
        <v>132</v>
      </c>
      <c r="AA12" t="s">
        <v>133</v>
      </c>
      <c r="AB12">
        <v>22</v>
      </c>
      <c r="AC12" t="str">
        <f t="shared" si="1"/>
        <v>Evening</v>
      </c>
      <c r="AD12">
        <v>1</v>
      </c>
      <c r="AE12" t="s">
        <v>58</v>
      </c>
      <c r="AF12">
        <v>2</v>
      </c>
      <c r="AG12">
        <v>2</v>
      </c>
      <c r="AH12" t="s">
        <v>67</v>
      </c>
      <c r="AI12">
        <v>87010</v>
      </c>
      <c r="AJ12">
        <v>7910</v>
      </c>
      <c r="AK12">
        <v>15820</v>
      </c>
      <c r="AL12">
        <v>63280</v>
      </c>
      <c r="AM12" t="s">
        <v>134</v>
      </c>
      <c r="AN12" t="s">
        <v>135</v>
      </c>
      <c r="AO12">
        <v>2015</v>
      </c>
      <c r="AP12">
        <v>2002</v>
      </c>
      <c r="AQ12">
        <f t="shared" si="2"/>
        <v>13</v>
      </c>
      <c r="AR12" t="s">
        <v>87</v>
      </c>
    </row>
    <row r="13" spans="1:44" x14ac:dyDescent="0.25">
      <c r="A13">
        <v>447</v>
      </c>
      <c r="B13" t="str">
        <f t="shared" si="0"/>
        <v>10+ years</v>
      </c>
      <c r="C13">
        <v>61</v>
      </c>
      <c r="D13" t="str" cm="1">
        <f t="array" ref="D13">_xlfn.IFS(C13&lt;26, "19-25", C13&lt;33, "26-32", C13&lt;40, "33-39", C13&lt;47, "40-46",C13&lt;54, "47-53", TRUE, "54+")</f>
        <v>54+</v>
      </c>
      <c r="E13">
        <v>214618</v>
      </c>
      <c r="F13" s="1">
        <v>36309</v>
      </c>
      <c r="G13" t="s">
        <v>44</v>
      </c>
      <c r="H13" t="s">
        <v>74</v>
      </c>
      <c r="I13">
        <v>2000</v>
      </c>
      <c r="J13">
        <v>1137.1600000000001</v>
      </c>
      <c r="K13">
        <v>0</v>
      </c>
      <c r="L13">
        <v>615561</v>
      </c>
      <c r="M13" t="s">
        <v>75</v>
      </c>
      <c r="N13" t="s">
        <v>136</v>
      </c>
      <c r="O13" t="s">
        <v>130</v>
      </c>
      <c r="P13" t="s">
        <v>137</v>
      </c>
      <c r="Q13" t="s">
        <v>65</v>
      </c>
      <c r="R13">
        <v>0</v>
      </c>
      <c r="S13">
        <v>-51000</v>
      </c>
      <c r="T13" s="1">
        <v>42050</v>
      </c>
      <c r="U13" t="s">
        <v>80</v>
      </c>
      <c r="V13" t="s">
        <v>91</v>
      </c>
      <c r="W13" t="s">
        <v>53</v>
      </c>
      <c r="X13" t="s">
        <v>104</v>
      </c>
      <c r="Y13" t="s">
        <v>55</v>
      </c>
      <c r="Z13" t="s">
        <v>107</v>
      </c>
      <c r="AA13" t="s">
        <v>138</v>
      </c>
      <c r="AB13">
        <v>21</v>
      </c>
      <c r="AC13" t="str">
        <f t="shared" si="1"/>
        <v>Evening</v>
      </c>
      <c r="AD13">
        <v>3</v>
      </c>
      <c r="AE13" t="s">
        <v>58</v>
      </c>
      <c r="AF13">
        <v>1</v>
      </c>
      <c r="AG13">
        <v>2</v>
      </c>
      <c r="AH13" t="s">
        <v>58</v>
      </c>
      <c r="AI13">
        <v>114920</v>
      </c>
      <c r="AJ13">
        <v>17680</v>
      </c>
      <c r="AK13">
        <v>17680</v>
      </c>
      <c r="AL13">
        <v>79560</v>
      </c>
      <c r="AM13" t="s">
        <v>114</v>
      </c>
      <c r="AN13" t="s">
        <v>139</v>
      </c>
      <c r="AO13">
        <v>2015</v>
      </c>
      <c r="AP13">
        <v>2006</v>
      </c>
      <c r="AQ13">
        <f t="shared" si="2"/>
        <v>9</v>
      </c>
      <c r="AR13" t="s">
        <v>87</v>
      </c>
    </row>
    <row r="14" spans="1:44" x14ac:dyDescent="0.25">
      <c r="A14">
        <v>60</v>
      </c>
      <c r="B14" t="str">
        <f t="shared" si="0"/>
        <v>2-5 years</v>
      </c>
      <c r="C14">
        <v>23</v>
      </c>
      <c r="D14" t="str" cm="1">
        <f t="array" ref="D14">_xlfn.IFS(C14&lt;26, "19-25", C14&lt;33, "26-32", C14&lt;40, "33-39", C14&lt;47, "40-46",C14&lt;54, "47-53", TRUE, "54+")</f>
        <v>19-25</v>
      </c>
      <c r="E14">
        <v>842643</v>
      </c>
      <c r="F14" s="1">
        <v>35754</v>
      </c>
      <c r="G14" t="s">
        <v>44</v>
      </c>
      <c r="H14" t="s">
        <v>96</v>
      </c>
      <c r="I14">
        <v>500</v>
      </c>
      <c r="J14">
        <v>1215.3599999999999</v>
      </c>
      <c r="K14">
        <v>3000000</v>
      </c>
      <c r="L14">
        <v>432220</v>
      </c>
      <c r="M14" t="s">
        <v>46</v>
      </c>
      <c r="N14" t="s">
        <v>47</v>
      </c>
      <c r="O14" t="s">
        <v>140</v>
      </c>
      <c r="P14" t="s">
        <v>64</v>
      </c>
      <c r="Q14" t="s">
        <v>124</v>
      </c>
      <c r="R14">
        <v>0</v>
      </c>
      <c r="S14">
        <v>0</v>
      </c>
      <c r="T14" s="1">
        <v>42026</v>
      </c>
      <c r="U14" t="s">
        <v>51</v>
      </c>
      <c r="V14" t="s">
        <v>81</v>
      </c>
      <c r="W14" t="s">
        <v>112</v>
      </c>
      <c r="X14" t="s">
        <v>141</v>
      </c>
      <c r="Y14" t="s">
        <v>55</v>
      </c>
      <c r="Z14" t="s">
        <v>132</v>
      </c>
      <c r="AA14" t="s">
        <v>142</v>
      </c>
      <c r="AB14">
        <v>9</v>
      </c>
      <c r="AC14" t="str">
        <f t="shared" si="1"/>
        <v>Morning</v>
      </c>
      <c r="AD14">
        <v>1</v>
      </c>
      <c r="AE14" t="s">
        <v>58</v>
      </c>
      <c r="AF14">
        <v>1</v>
      </c>
      <c r="AG14">
        <v>0</v>
      </c>
      <c r="AH14" t="s">
        <v>84</v>
      </c>
      <c r="AI14">
        <v>56520</v>
      </c>
      <c r="AJ14">
        <v>4710</v>
      </c>
      <c r="AK14">
        <v>9420</v>
      </c>
      <c r="AL14">
        <v>42390</v>
      </c>
      <c r="AM14" t="s">
        <v>59</v>
      </c>
      <c r="AN14">
        <v>95</v>
      </c>
      <c r="AO14">
        <v>2015</v>
      </c>
      <c r="AP14">
        <v>2000</v>
      </c>
      <c r="AQ14">
        <f t="shared" si="2"/>
        <v>15</v>
      </c>
      <c r="AR14" t="s">
        <v>87</v>
      </c>
    </row>
    <row r="15" spans="1:44" x14ac:dyDescent="0.25">
      <c r="A15">
        <v>121</v>
      </c>
      <c r="B15" t="str">
        <f t="shared" si="0"/>
        <v>10+ years</v>
      </c>
      <c r="C15">
        <v>34</v>
      </c>
      <c r="D15" t="str" cm="1">
        <f t="array" ref="D15">_xlfn.IFS(C15&lt;26, "19-25", C15&lt;33, "26-32", C15&lt;40, "33-39", C15&lt;47, "40-46",C15&lt;54, "47-53", TRUE, "54+")</f>
        <v>33-39</v>
      </c>
      <c r="E15">
        <v>626808</v>
      </c>
      <c r="F15" s="1">
        <v>41208</v>
      </c>
      <c r="G15" t="s">
        <v>44</v>
      </c>
      <c r="H15" t="s">
        <v>74</v>
      </c>
      <c r="I15">
        <v>1000</v>
      </c>
      <c r="J15">
        <v>936.61</v>
      </c>
      <c r="K15">
        <v>0</v>
      </c>
      <c r="L15">
        <v>464652</v>
      </c>
      <c r="M15" t="s">
        <v>75</v>
      </c>
      <c r="N15" t="s">
        <v>47</v>
      </c>
      <c r="O15" t="s">
        <v>89</v>
      </c>
      <c r="P15" t="s">
        <v>103</v>
      </c>
      <c r="Q15" t="s">
        <v>124</v>
      </c>
      <c r="R15">
        <v>52800</v>
      </c>
      <c r="S15">
        <v>-32800</v>
      </c>
      <c r="T15" s="1">
        <v>42012</v>
      </c>
      <c r="U15" t="s">
        <v>143</v>
      </c>
      <c r="V15" t="s">
        <v>67</v>
      </c>
      <c r="W15" t="s">
        <v>68</v>
      </c>
      <c r="X15" t="s">
        <v>98</v>
      </c>
      <c r="Y15" t="s">
        <v>55</v>
      </c>
      <c r="Z15" t="s">
        <v>107</v>
      </c>
      <c r="AA15" t="s">
        <v>144</v>
      </c>
      <c r="AB15">
        <v>5</v>
      </c>
      <c r="AC15" t="str">
        <f t="shared" si="1"/>
        <v>Night</v>
      </c>
      <c r="AD15">
        <v>1</v>
      </c>
      <c r="AE15" t="s">
        <v>84</v>
      </c>
      <c r="AF15">
        <v>1</v>
      </c>
      <c r="AG15">
        <v>1</v>
      </c>
      <c r="AH15" t="s">
        <v>84</v>
      </c>
      <c r="AI15">
        <v>7280</v>
      </c>
      <c r="AJ15">
        <v>1120</v>
      </c>
      <c r="AK15">
        <v>1120</v>
      </c>
      <c r="AL15">
        <v>5040</v>
      </c>
      <c r="AM15" t="s">
        <v>120</v>
      </c>
      <c r="AN15" t="s">
        <v>145</v>
      </c>
      <c r="AO15">
        <v>2015</v>
      </c>
      <c r="AP15">
        <v>2010</v>
      </c>
      <c r="AQ15">
        <f t="shared" si="2"/>
        <v>5</v>
      </c>
      <c r="AR15" t="s">
        <v>87</v>
      </c>
    </row>
    <row r="16" spans="1:44" x14ac:dyDescent="0.25">
      <c r="A16">
        <v>180</v>
      </c>
      <c r="B16" t="str">
        <f t="shared" si="0"/>
        <v>10+ years</v>
      </c>
      <c r="C16">
        <v>38</v>
      </c>
      <c r="D16" t="str" cm="1">
        <f t="array" ref="D16">_xlfn.IFS(C16&lt;26, "19-25", C16&lt;33, "26-32", C16&lt;40, "33-39", C16&lt;47, "40-46",C16&lt;54, "47-53", TRUE, "54+")</f>
        <v>33-39</v>
      </c>
      <c r="E16">
        <v>644081</v>
      </c>
      <c r="F16" s="1">
        <v>36157</v>
      </c>
      <c r="G16" t="s">
        <v>44</v>
      </c>
      <c r="H16" t="s">
        <v>45</v>
      </c>
      <c r="I16">
        <v>2000</v>
      </c>
      <c r="J16">
        <v>1301.1300000000001</v>
      </c>
      <c r="K16">
        <v>0</v>
      </c>
      <c r="L16">
        <v>476685</v>
      </c>
      <c r="M16" t="s">
        <v>75</v>
      </c>
      <c r="N16" t="s">
        <v>146</v>
      </c>
      <c r="O16" t="s">
        <v>63</v>
      </c>
      <c r="P16" t="s">
        <v>78</v>
      </c>
      <c r="Q16" t="s">
        <v>147</v>
      </c>
      <c r="R16">
        <v>41300</v>
      </c>
      <c r="S16">
        <v>-55500</v>
      </c>
      <c r="T16" s="1">
        <v>42019</v>
      </c>
      <c r="U16" t="s">
        <v>51</v>
      </c>
      <c r="V16" t="s">
        <v>81</v>
      </c>
      <c r="W16" t="s">
        <v>112</v>
      </c>
      <c r="X16" t="s">
        <v>54</v>
      </c>
      <c r="Y16" t="s">
        <v>55</v>
      </c>
      <c r="Z16" t="s">
        <v>107</v>
      </c>
      <c r="AA16" t="s">
        <v>148</v>
      </c>
      <c r="AB16">
        <v>12</v>
      </c>
      <c r="AC16" t="str">
        <f t="shared" si="1"/>
        <v>Afternoon</v>
      </c>
      <c r="AD16">
        <v>1</v>
      </c>
      <c r="AE16" t="s">
        <v>84</v>
      </c>
      <c r="AF16">
        <v>0</v>
      </c>
      <c r="AG16">
        <v>2</v>
      </c>
      <c r="AH16" t="s">
        <v>58</v>
      </c>
      <c r="AI16">
        <v>46200</v>
      </c>
      <c r="AJ16">
        <v>4200</v>
      </c>
      <c r="AK16">
        <v>8400</v>
      </c>
      <c r="AL16">
        <v>33600</v>
      </c>
      <c r="AM16" t="s">
        <v>85</v>
      </c>
      <c r="AN16" t="s">
        <v>149</v>
      </c>
      <c r="AO16">
        <v>2015</v>
      </c>
      <c r="AP16">
        <v>2003</v>
      </c>
      <c r="AQ16">
        <f t="shared" si="2"/>
        <v>12</v>
      </c>
      <c r="AR16" t="s">
        <v>61</v>
      </c>
    </row>
    <row r="17" spans="1:44" x14ac:dyDescent="0.25">
      <c r="A17">
        <v>473</v>
      </c>
      <c r="B17" t="str">
        <f t="shared" si="0"/>
        <v>10+ years</v>
      </c>
      <c r="C17">
        <v>58</v>
      </c>
      <c r="D17" t="str" cm="1">
        <f t="array" ref="D17">_xlfn.IFS(C17&lt;26, "19-25", C17&lt;33, "26-32", C17&lt;40, "33-39", C17&lt;47, "40-46",C17&lt;54, "47-53", TRUE, "54+")</f>
        <v>54+</v>
      </c>
      <c r="E17">
        <v>892874</v>
      </c>
      <c r="F17" s="1">
        <v>33896</v>
      </c>
      <c r="G17" t="s">
        <v>62</v>
      </c>
      <c r="H17" t="s">
        <v>74</v>
      </c>
      <c r="I17">
        <v>2000</v>
      </c>
      <c r="J17">
        <v>1131.4000000000001</v>
      </c>
      <c r="K17">
        <v>0</v>
      </c>
      <c r="L17">
        <v>458733</v>
      </c>
      <c r="M17" t="s">
        <v>75</v>
      </c>
      <c r="N17" t="s">
        <v>47</v>
      </c>
      <c r="O17" t="s">
        <v>150</v>
      </c>
      <c r="P17" t="s">
        <v>151</v>
      </c>
      <c r="Q17" t="s">
        <v>65</v>
      </c>
      <c r="R17">
        <v>55700</v>
      </c>
      <c r="S17">
        <v>0</v>
      </c>
      <c r="T17" s="1">
        <v>42033</v>
      </c>
      <c r="U17" t="s">
        <v>80</v>
      </c>
      <c r="V17" t="s">
        <v>52</v>
      </c>
      <c r="W17" t="s">
        <v>53</v>
      </c>
      <c r="X17" t="s">
        <v>125</v>
      </c>
      <c r="Y17" t="s">
        <v>118</v>
      </c>
      <c r="Z17" t="s">
        <v>127</v>
      </c>
      <c r="AA17" t="s">
        <v>152</v>
      </c>
      <c r="AB17">
        <v>12</v>
      </c>
      <c r="AC17" t="str">
        <f t="shared" si="1"/>
        <v>Afternoon</v>
      </c>
      <c r="AD17">
        <v>4</v>
      </c>
      <c r="AE17" t="s">
        <v>58</v>
      </c>
      <c r="AF17">
        <v>0</v>
      </c>
      <c r="AG17">
        <v>0</v>
      </c>
      <c r="AH17" t="s">
        <v>84</v>
      </c>
      <c r="AI17">
        <v>63120</v>
      </c>
      <c r="AJ17">
        <v>10520</v>
      </c>
      <c r="AK17">
        <v>10520</v>
      </c>
      <c r="AL17">
        <v>42080</v>
      </c>
      <c r="AM17" t="s">
        <v>100</v>
      </c>
      <c r="AN17" t="s">
        <v>153</v>
      </c>
      <c r="AO17">
        <v>2015</v>
      </c>
      <c r="AP17">
        <v>1999</v>
      </c>
      <c r="AQ17">
        <f t="shared" si="2"/>
        <v>16</v>
      </c>
      <c r="AR17" t="s">
        <v>61</v>
      </c>
    </row>
    <row r="18" spans="1:44" x14ac:dyDescent="0.25">
      <c r="A18">
        <v>70</v>
      </c>
      <c r="B18" t="str">
        <f t="shared" si="0"/>
        <v>5-10 years</v>
      </c>
      <c r="C18">
        <v>26</v>
      </c>
      <c r="D18" t="str" cm="1">
        <f t="array" ref="D18">_xlfn.IFS(C18&lt;26, "19-25", C18&lt;33, "26-32", C18&lt;40, "33-39", C18&lt;47, "40-46",C18&lt;54, "47-53", TRUE, "54+")</f>
        <v>26-32</v>
      </c>
      <c r="E18">
        <v>558938</v>
      </c>
      <c r="F18" s="1">
        <v>38511</v>
      </c>
      <c r="G18" t="s">
        <v>44</v>
      </c>
      <c r="H18" t="s">
        <v>96</v>
      </c>
      <c r="I18">
        <v>1000</v>
      </c>
      <c r="J18">
        <v>1199.44</v>
      </c>
      <c r="K18">
        <v>5000000</v>
      </c>
      <c r="L18">
        <v>619884</v>
      </c>
      <c r="M18" t="s">
        <v>46</v>
      </c>
      <c r="N18" t="s">
        <v>146</v>
      </c>
      <c r="O18" t="s">
        <v>63</v>
      </c>
      <c r="P18" t="s">
        <v>154</v>
      </c>
      <c r="Q18" t="s">
        <v>79</v>
      </c>
      <c r="R18">
        <v>63600</v>
      </c>
      <c r="S18">
        <v>0</v>
      </c>
      <c r="T18" s="1">
        <v>42057</v>
      </c>
      <c r="U18" t="s">
        <v>80</v>
      </c>
      <c r="V18" t="s">
        <v>81</v>
      </c>
      <c r="W18" t="s">
        <v>53</v>
      </c>
      <c r="X18" t="s">
        <v>125</v>
      </c>
      <c r="Y18" t="s">
        <v>82</v>
      </c>
      <c r="Z18" t="s">
        <v>70</v>
      </c>
      <c r="AA18" t="s">
        <v>155</v>
      </c>
      <c r="AB18">
        <v>0</v>
      </c>
      <c r="AC18" t="str">
        <f t="shared" si="1"/>
        <v>Night</v>
      </c>
      <c r="AD18">
        <v>3</v>
      </c>
      <c r="AE18" t="s">
        <v>67</v>
      </c>
      <c r="AF18">
        <v>1</v>
      </c>
      <c r="AG18">
        <v>2</v>
      </c>
      <c r="AH18" t="s">
        <v>58</v>
      </c>
      <c r="AI18">
        <v>52110</v>
      </c>
      <c r="AJ18">
        <v>5790</v>
      </c>
      <c r="AK18">
        <v>5790</v>
      </c>
      <c r="AL18">
        <v>40530</v>
      </c>
      <c r="AM18" t="s">
        <v>109</v>
      </c>
      <c r="AN18" t="s">
        <v>156</v>
      </c>
      <c r="AO18">
        <v>2015</v>
      </c>
      <c r="AP18">
        <v>2012</v>
      </c>
      <c r="AQ18">
        <f t="shared" si="2"/>
        <v>3</v>
      </c>
      <c r="AR18" t="s">
        <v>87</v>
      </c>
    </row>
    <row r="19" spans="1:44" x14ac:dyDescent="0.25">
      <c r="A19">
        <v>140</v>
      </c>
      <c r="B19" t="str">
        <f t="shared" si="0"/>
        <v>10+ years</v>
      </c>
      <c r="C19">
        <v>31</v>
      </c>
      <c r="D19" t="str" cm="1">
        <f t="array" ref="D19">_xlfn.IFS(C19&lt;26, "19-25", C19&lt;33, "26-32", C19&lt;40, "33-39", C19&lt;47, "40-46",C19&lt;54, "47-53", TRUE, "54+")</f>
        <v>26-32</v>
      </c>
      <c r="E19">
        <v>275265</v>
      </c>
      <c r="F19" s="1">
        <v>38306</v>
      </c>
      <c r="G19" t="s">
        <v>62</v>
      </c>
      <c r="H19" t="s">
        <v>96</v>
      </c>
      <c r="I19">
        <v>500</v>
      </c>
      <c r="J19">
        <v>708.64</v>
      </c>
      <c r="K19">
        <v>6000000</v>
      </c>
      <c r="L19">
        <v>470610</v>
      </c>
      <c r="M19" t="s">
        <v>46</v>
      </c>
      <c r="N19" t="s">
        <v>136</v>
      </c>
      <c r="O19" t="s">
        <v>63</v>
      </c>
      <c r="P19" t="s">
        <v>64</v>
      </c>
      <c r="Q19" t="s">
        <v>90</v>
      </c>
      <c r="R19">
        <v>53500</v>
      </c>
      <c r="S19">
        <v>0</v>
      </c>
      <c r="T19" s="1">
        <v>42010</v>
      </c>
      <c r="U19" t="s">
        <v>51</v>
      </c>
      <c r="V19" t="s">
        <v>52</v>
      </c>
      <c r="W19" t="s">
        <v>112</v>
      </c>
      <c r="X19" t="s">
        <v>54</v>
      </c>
      <c r="Y19" t="s">
        <v>118</v>
      </c>
      <c r="Z19" t="s">
        <v>107</v>
      </c>
      <c r="AA19" t="s">
        <v>157</v>
      </c>
      <c r="AB19">
        <v>9</v>
      </c>
      <c r="AC19" t="str">
        <f t="shared" si="1"/>
        <v>Morning</v>
      </c>
      <c r="AD19">
        <v>1</v>
      </c>
      <c r="AE19" t="s">
        <v>84</v>
      </c>
      <c r="AF19">
        <v>0</v>
      </c>
      <c r="AG19">
        <v>2</v>
      </c>
      <c r="AH19" t="s">
        <v>58</v>
      </c>
      <c r="AI19">
        <v>77880</v>
      </c>
      <c r="AJ19">
        <v>14160</v>
      </c>
      <c r="AK19">
        <v>7080</v>
      </c>
      <c r="AL19">
        <v>56640</v>
      </c>
      <c r="AM19" t="s">
        <v>158</v>
      </c>
      <c r="AN19" t="s">
        <v>159</v>
      </c>
      <c r="AO19">
        <v>2015</v>
      </c>
      <c r="AP19">
        <v>2015</v>
      </c>
      <c r="AQ19">
        <f t="shared" si="2"/>
        <v>0</v>
      </c>
      <c r="AR19" t="s">
        <v>87</v>
      </c>
    </row>
    <row r="20" spans="1:44" x14ac:dyDescent="0.25">
      <c r="A20">
        <v>160</v>
      </c>
      <c r="B20" t="str">
        <f t="shared" si="0"/>
        <v>10+ years</v>
      </c>
      <c r="C20">
        <v>37</v>
      </c>
      <c r="D20" t="str" cm="1">
        <f t="array" ref="D20">_xlfn.IFS(C20&lt;26, "19-25", C20&lt;33, "26-32", C20&lt;40, "33-39", C20&lt;47, "40-46",C20&lt;54, "47-53", TRUE, "54+")</f>
        <v>33-39</v>
      </c>
      <c r="E20">
        <v>921202</v>
      </c>
      <c r="F20" s="1">
        <v>42001</v>
      </c>
      <c r="G20" t="s">
        <v>44</v>
      </c>
      <c r="H20" t="s">
        <v>96</v>
      </c>
      <c r="I20">
        <v>500</v>
      </c>
      <c r="J20">
        <v>1374.22</v>
      </c>
      <c r="K20">
        <v>0</v>
      </c>
      <c r="L20">
        <v>472135</v>
      </c>
      <c r="M20" t="s">
        <v>75</v>
      </c>
      <c r="N20" t="s">
        <v>47</v>
      </c>
      <c r="O20" t="s">
        <v>48</v>
      </c>
      <c r="P20" t="s">
        <v>160</v>
      </c>
      <c r="Q20" t="s">
        <v>65</v>
      </c>
      <c r="R20">
        <v>45500</v>
      </c>
      <c r="S20">
        <v>-37800</v>
      </c>
      <c r="T20" s="1">
        <v>42023</v>
      </c>
      <c r="U20" t="s">
        <v>51</v>
      </c>
      <c r="V20" t="s">
        <v>52</v>
      </c>
      <c r="W20" t="s">
        <v>112</v>
      </c>
      <c r="X20" t="s">
        <v>125</v>
      </c>
      <c r="Y20" t="s">
        <v>82</v>
      </c>
      <c r="Z20" t="s">
        <v>161</v>
      </c>
      <c r="AA20" t="s">
        <v>162</v>
      </c>
      <c r="AB20">
        <v>19</v>
      </c>
      <c r="AC20" t="str">
        <f t="shared" si="1"/>
        <v>Evening</v>
      </c>
      <c r="AD20">
        <v>1</v>
      </c>
      <c r="AE20" t="s">
        <v>58</v>
      </c>
      <c r="AF20">
        <v>1</v>
      </c>
      <c r="AG20">
        <v>0</v>
      </c>
      <c r="AH20" t="s">
        <v>84</v>
      </c>
      <c r="AI20">
        <v>72930</v>
      </c>
      <c r="AJ20">
        <v>6630</v>
      </c>
      <c r="AK20">
        <v>13260</v>
      </c>
      <c r="AL20">
        <v>53040</v>
      </c>
      <c r="AM20" t="s">
        <v>100</v>
      </c>
      <c r="AN20" t="s">
        <v>163</v>
      </c>
      <c r="AO20">
        <v>2015</v>
      </c>
      <c r="AP20">
        <v>2015</v>
      </c>
      <c r="AQ20">
        <f t="shared" si="2"/>
        <v>0</v>
      </c>
      <c r="AR20" t="s">
        <v>87</v>
      </c>
    </row>
    <row r="21" spans="1:44" x14ac:dyDescent="0.25">
      <c r="A21">
        <v>196</v>
      </c>
      <c r="B21" t="str">
        <f t="shared" si="0"/>
        <v>10+ years</v>
      </c>
      <c r="C21">
        <v>39</v>
      </c>
      <c r="D21" t="str" cm="1">
        <f t="array" ref="D21">_xlfn.IFS(C21&lt;26, "19-25", C21&lt;33, "26-32", C21&lt;40, "33-39", C21&lt;47, "40-46",C21&lt;54, "47-53", TRUE, "54+")</f>
        <v>33-39</v>
      </c>
      <c r="E21">
        <v>143972</v>
      </c>
      <c r="F21" s="1">
        <v>33818</v>
      </c>
      <c r="G21" t="s">
        <v>62</v>
      </c>
      <c r="H21" t="s">
        <v>96</v>
      </c>
      <c r="I21">
        <v>2000</v>
      </c>
      <c r="J21">
        <v>1475.73</v>
      </c>
      <c r="K21">
        <v>0</v>
      </c>
      <c r="L21">
        <v>477670</v>
      </c>
      <c r="M21" t="s">
        <v>75</v>
      </c>
      <c r="N21" t="s">
        <v>136</v>
      </c>
      <c r="O21" t="s">
        <v>164</v>
      </c>
      <c r="P21" t="s">
        <v>123</v>
      </c>
      <c r="Q21" t="s">
        <v>79</v>
      </c>
      <c r="R21">
        <v>57000</v>
      </c>
      <c r="S21">
        <v>-27300</v>
      </c>
      <c r="T21" s="1">
        <v>42057</v>
      </c>
      <c r="U21" t="s">
        <v>80</v>
      </c>
      <c r="V21" t="s">
        <v>52</v>
      </c>
      <c r="W21" t="s">
        <v>53</v>
      </c>
      <c r="X21" t="s">
        <v>54</v>
      </c>
      <c r="Y21" t="s">
        <v>69</v>
      </c>
      <c r="Z21" t="s">
        <v>56</v>
      </c>
      <c r="AA21" t="s">
        <v>165</v>
      </c>
      <c r="AB21">
        <v>8</v>
      </c>
      <c r="AC21" t="str">
        <f t="shared" si="1"/>
        <v>Morning</v>
      </c>
      <c r="AD21">
        <v>3</v>
      </c>
      <c r="AE21" t="s">
        <v>67</v>
      </c>
      <c r="AF21">
        <v>2</v>
      </c>
      <c r="AG21">
        <v>0</v>
      </c>
      <c r="AH21" t="s">
        <v>84</v>
      </c>
      <c r="AI21">
        <v>60400</v>
      </c>
      <c r="AJ21">
        <v>6040</v>
      </c>
      <c r="AK21">
        <v>6040</v>
      </c>
      <c r="AL21">
        <v>48320</v>
      </c>
      <c r="AM21" t="s">
        <v>109</v>
      </c>
      <c r="AN21" t="s">
        <v>110</v>
      </c>
      <c r="AO21">
        <v>2015</v>
      </c>
      <c r="AP21">
        <v>2014</v>
      </c>
      <c r="AQ21">
        <f t="shared" si="2"/>
        <v>1</v>
      </c>
      <c r="AR21" t="s">
        <v>87</v>
      </c>
    </row>
    <row r="22" spans="1:44" x14ac:dyDescent="0.25">
      <c r="A22">
        <v>460</v>
      </c>
      <c r="B22" t="str">
        <f t="shared" si="0"/>
        <v>10+ years</v>
      </c>
      <c r="C22">
        <v>62</v>
      </c>
      <c r="D22" t="str" cm="1">
        <f t="array" ref="D22">_xlfn.IFS(C22&lt;26, "19-25", C22&lt;33, "26-32", C22&lt;40, "33-39", C22&lt;47, "40-46",C22&lt;54, "47-53", TRUE, "54+")</f>
        <v>54+</v>
      </c>
      <c r="E22">
        <v>183430</v>
      </c>
      <c r="F22" s="1">
        <v>37432</v>
      </c>
      <c r="G22" t="s">
        <v>62</v>
      </c>
      <c r="H22" t="s">
        <v>45</v>
      </c>
      <c r="I22">
        <v>1000</v>
      </c>
      <c r="J22">
        <v>1187.96</v>
      </c>
      <c r="K22">
        <v>4000000</v>
      </c>
      <c r="L22">
        <v>618845</v>
      </c>
      <c r="M22" t="s">
        <v>46</v>
      </c>
      <c r="N22" t="s">
        <v>166</v>
      </c>
      <c r="O22" t="s">
        <v>116</v>
      </c>
      <c r="P22" t="s">
        <v>103</v>
      </c>
      <c r="Q22" t="s">
        <v>79</v>
      </c>
      <c r="R22">
        <v>0</v>
      </c>
      <c r="S22">
        <v>0</v>
      </c>
      <c r="T22" s="1">
        <v>42005</v>
      </c>
      <c r="U22" t="s">
        <v>80</v>
      </c>
      <c r="V22" t="s">
        <v>81</v>
      </c>
      <c r="W22" t="s">
        <v>68</v>
      </c>
      <c r="X22" t="s">
        <v>54</v>
      </c>
      <c r="Y22" t="s">
        <v>82</v>
      </c>
      <c r="Z22" t="s">
        <v>56</v>
      </c>
      <c r="AA22" t="s">
        <v>167</v>
      </c>
      <c r="AB22">
        <v>20</v>
      </c>
      <c r="AC22" t="str">
        <f t="shared" si="1"/>
        <v>Evening</v>
      </c>
      <c r="AD22">
        <v>3</v>
      </c>
      <c r="AE22" t="s">
        <v>84</v>
      </c>
      <c r="AF22">
        <v>1</v>
      </c>
      <c r="AG22">
        <v>0</v>
      </c>
      <c r="AH22" t="s">
        <v>67</v>
      </c>
      <c r="AI22">
        <v>47160</v>
      </c>
      <c r="AJ22">
        <v>0</v>
      </c>
      <c r="AK22">
        <v>5240</v>
      </c>
      <c r="AL22">
        <v>41920</v>
      </c>
      <c r="AM22" t="s">
        <v>158</v>
      </c>
      <c r="AN22" t="s">
        <v>168</v>
      </c>
      <c r="AO22">
        <v>2015</v>
      </c>
      <c r="AP22">
        <v>2011</v>
      </c>
      <c r="AQ22">
        <f t="shared" si="2"/>
        <v>4</v>
      </c>
      <c r="AR22" t="s">
        <v>87</v>
      </c>
    </row>
    <row r="23" spans="1:44" x14ac:dyDescent="0.25">
      <c r="A23">
        <v>217</v>
      </c>
      <c r="B23" t="str">
        <f t="shared" si="0"/>
        <v>10+ years</v>
      </c>
      <c r="C23">
        <v>41</v>
      </c>
      <c r="D23" t="str" cm="1">
        <f t="array" ref="D23">_xlfn.IFS(C23&lt;26, "19-25", C23&lt;33, "26-32", C23&lt;40, "33-39", C23&lt;47, "40-46",C23&lt;54, "47-53", TRUE, "54+")</f>
        <v>40-46</v>
      </c>
      <c r="E23">
        <v>431876</v>
      </c>
      <c r="F23" s="1">
        <v>38683</v>
      </c>
      <c r="G23" t="s">
        <v>88</v>
      </c>
      <c r="H23" t="s">
        <v>96</v>
      </c>
      <c r="I23">
        <v>2000</v>
      </c>
      <c r="J23">
        <v>875.15</v>
      </c>
      <c r="K23">
        <v>0</v>
      </c>
      <c r="L23">
        <v>442479</v>
      </c>
      <c r="M23" t="s">
        <v>75</v>
      </c>
      <c r="N23" t="s">
        <v>97</v>
      </c>
      <c r="O23" t="s">
        <v>63</v>
      </c>
      <c r="P23" t="s">
        <v>137</v>
      </c>
      <c r="Q23" t="s">
        <v>79</v>
      </c>
      <c r="R23">
        <v>46700</v>
      </c>
      <c r="S23">
        <v>0</v>
      </c>
      <c r="T23" s="1">
        <v>42045</v>
      </c>
      <c r="U23" t="s">
        <v>80</v>
      </c>
      <c r="V23" t="s">
        <v>52</v>
      </c>
      <c r="W23" t="s">
        <v>112</v>
      </c>
      <c r="X23" t="s">
        <v>54</v>
      </c>
      <c r="Y23" t="s">
        <v>55</v>
      </c>
      <c r="Z23" t="s">
        <v>92</v>
      </c>
      <c r="AA23" t="s">
        <v>169</v>
      </c>
      <c r="AB23">
        <v>15</v>
      </c>
      <c r="AC23" t="str">
        <f t="shared" si="1"/>
        <v>Afternoon</v>
      </c>
      <c r="AD23">
        <v>3</v>
      </c>
      <c r="AE23" t="s">
        <v>67</v>
      </c>
      <c r="AF23">
        <v>1</v>
      </c>
      <c r="AG23">
        <v>2</v>
      </c>
      <c r="AH23" t="s">
        <v>67</v>
      </c>
      <c r="AI23">
        <v>37840</v>
      </c>
      <c r="AJ23">
        <v>0</v>
      </c>
      <c r="AK23">
        <v>4730</v>
      </c>
      <c r="AL23">
        <v>33110</v>
      </c>
      <c r="AM23" t="s">
        <v>100</v>
      </c>
      <c r="AN23" t="s">
        <v>101</v>
      </c>
      <c r="AO23">
        <v>2015</v>
      </c>
      <c r="AP23">
        <v>1996</v>
      </c>
      <c r="AQ23">
        <f t="shared" si="2"/>
        <v>19</v>
      </c>
      <c r="AR23" t="s">
        <v>87</v>
      </c>
    </row>
    <row r="24" spans="1:44" x14ac:dyDescent="0.25">
      <c r="A24">
        <v>370</v>
      </c>
      <c r="B24" t="str">
        <f t="shared" si="0"/>
        <v>10+ years</v>
      </c>
      <c r="C24">
        <v>55</v>
      </c>
      <c r="D24" t="str" cm="1">
        <f t="array" ref="D24">_xlfn.IFS(C24&lt;26, "19-25", C24&lt;33, "26-32", C24&lt;40, "33-39", C24&lt;47, "40-46",C24&lt;54, "47-53", TRUE, "54+")</f>
        <v>54+</v>
      </c>
      <c r="E24">
        <v>285496</v>
      </c>
      <c r="F24" s="1">
        <v>34481</v>
      </c>
      <c r="G24" t="s">
        <v>88</v>
      </c>
      <c r="H24" t="s">
        <v>74</v>
      </c>
      <c r="I24">
        <v>2000</v>
      </c>
      <c r="J24">
        <v>972.18</v>
      </c>
      <c r="K24">
        <v>0</v>
      </c>
      <c r="L24">
        <v>443920</v>
      </c>
      <c r="M24" t="s">
        <v>46</v>
      </c>
      <c r="N24" t="s">
        <v>136</v>
      </c>
      <c r="O24" t="s">
        <v>106</v>
      </c>
      <c r="P24" t="s">
        <v>170</v>
      </c>
      <c r="Q24" t="s">
        <v>65</v>
      </c>
      <c r="R24">
        <v>72700</v>
      </c>
      <c r="S24">
        <v>-68200</v>
      </c>
      <c r="T24" s="1">
        <v>42015</v>
      </c>
      <c r="U24" t="s">
        <v>80</v>
      </c>
      <c r="V24" t="s">
        <v>81</v>
      </c>
      <c r="W24" t="s">
        <v>53</v>
      </c>
      <c r="X24" t="s">
        <v>141</v>
      </c>
      <c r="Y24" t="s">
        <v>55</v>
      </c>
      <c r="Z24" t="s">
        <v>127</v>
      </c>
      <c r="AA24" t="s">
        <v>171</v>
      </c>
      <c r="AB24">
        <v>20</v>
      </c>
      <c r="AC24" t="str">
        <f t="shared" si="1"/>
        <v>Evening</v>
      </c>
      <c r="AD24">
        <v>3</v>
      </c>
      <c r="AE24" t="s">
        <v>84</v>
      </c>
      <c r="AF24">
        <v>0</v>
      </c>
      <c r="AG24">
        <v>0</v>
      </c>
      <c r="AH24" t="s">
        <v>58</v>
      </c>
      <c r="AI24">
        <v>71520</v>
      </c>
      <c r="AJ24">
        <v>17880</v>
      </c>
      <c r="AK24">
        <v>5960</v>
      </c>
      <c r="AL24">
        <v>47680</v>
      </c>
      <c r="AM24" t="s">
        <v>158</v>
      </c>
      <c r="AN24" t="s">
        <v>172</v>
      </c>
      <c r="AO24">
        <v>2015</v>
      </c>
      <c r="AP24">
        <v>2000</v>
      </c>
      <c r="AQ24">
        <f t="shared" si="2"/>
        <v>15</v>
      </c>
      <c r="AR24" t="s">
        <v>61</v>
      </c>
    </row>
    <row r="25" spans="1:44" x14ac:dyDescent="0.25">
      <c r="A25">
        <v>413</v>
      </c>
      <c r="B25" t="str">
        <f t="shared" si="0"/>
        <v>10+ years</v>
      </c>
      <c r="C25">
        <v>55</v>
      </c>
      <c r="D25" t="str" cm="1">
        <f t="array" ref="D25">_xlfn.IFS(C25&lt;26, "19-25", C25&lt;33, "26-32", C25&lt;40, "33-39", C25&lt;47, "40-46",C25&lt;54, "47-53", TRUE, "54+")</f>
        <v>54+</v>
      </c>
      <c r="E25">
        <v>115399</v>
      </c>
      <c r="F25" s="1">
        <v>33277</v>
      </c>
      <c r="G25" t="s">
        <v>62</v>
      </c>
      <c r="H25" t="s">
        <v>74</v>
      </c>
      <c r="I25">
        <v>2000</v>
      </c>
      <c r="J25">
        <v>1268.79</v>
      </c>
      <c r="K25">
        <v>0</v>
      </c>
      <c r="L25">
        <v>453148</v>
      </c>
      <c r="M25" t="s">
        <v>46</v>
      </c>
      <c r="N25" t="s">
        <v>47</v>
      </c>
      <c r="O25" t="s">
        <v>122</v>
      </c>
      <c r="P25" t="s">
        <v>173</v>
      </c>
      <c r="Q25" t="s">
        <v>79</v>
      </c>
      <c r="R25">
        <v>0</v>
      </c>
      <c r="S25">
        <v>-31000</v>
      </c>
      <c r="T25" s="1">
        <v>42023</v>
      </c>
      <c r="U25" t="s">
        <v>51</v>
      </c>
      <c r="V25" t="s">
        <v>91</v>
      </c>
      <c r="W25" t="s">
        <v>112</v>
      </c>
      <c r="X25" t="s">
        <v>141</v>
      </c>
      <c r="Y25" t="s">
        <v>118</v>
      </c>
      <c r="Z25" t="s">
        <v>132</v>
      </c>
      <c r="AA25" t="s">
        <v>174</v>
      </c>
      <c r="AB25">
        <v>15</v>
      </c>
      <c r="AC25" t="str">
        <f t="shared" si="1"/>
        <v>Afternoon</v>
      </c>
      <c r="AD25">
        <v>1</v>
      </c>
      <c r="AE25" t="s">
        <v>67</v>
      </c>
      <c r="AF25">
        <v>2</v>
      </c>
      <c r="AG25">
        <v>2</v>
      </c>
      <c r="AH25" t="s">
        <v>67</v>
      </c>
      <c r="AI25">
        <v>98160</v>
      </c>
      <c r="AJ25">
        <v>8180</v>
      </c>
      <c r="AK25">
        <v>16360</v>
      </c>
      <c r="AL25">
        <v>73620</v>
      </c>
      <c r="AM25" t="s">
        <v>85</v>
      </c>
      <c r="AN25" t="s">
        <v>86</v>
      </c>
      <c r="AO25">
        <v>2015</v>
      </c>
      <c r="AP25">
        <v>2011</v>
      </c>
      <c r="AQ25">
        <f t="shared" si="2"/>
        <v>4</v>
      </c>
      <c r="AR25" t="s">
        <v>61</v>
      </c>
    </row>
    <row r="26" spans="1:44" x14ac:dyDescent="0.25">
      <c r="A26">
        <v>237</v>
      </c>
      <c r="B26" t="str">
        <f t="shared" si="0"/>
        <v>10+ years</v>
      </c>
      <c r="C26">
        <v>40</v>
      </c>
      <c r="D26" t="str" cm="1">
        <f t="array" ref="D26">_xlfn.IFS(C26&lt;26, "19-25", C26&lt;33, "26-32", C26&lt;40, "33-39", C26&lt;47, "40-46",C26&lt;54, "47-53", TRUE, "54+")</f>
        <v>40-46</v>
      </c>
      <c r="E26">
        <v>736882</v>
      </c>
      <c r="F26" s="1">
        <v>35097</v>
      </c>
      <c r="G26" t="s">
        <v>62</v>
      </c>
      <c r="H26" t="s">
        <v>74</v>
      </c>
      <c r="I26">
        <v>1000</v>
      </c>
      <c r="J26">
        <v>883.31</v>
      </c>
      <c r="K26">
        <v>0</v>
      </c>
      <c r="L26">
        <v>434733</v>
      </c>
      <c r="M26" t="s">
        <v>46</v>
      </c>
      <c r="N26" t="s">
        <v>146</v>
      </c>
      <c r="O26" t="s">
        <v>48</v>
      </c>
      <c r="P26" t="s">
        <v>175</v>
      </c>
      <c r="Q26" t="s">
        <v>50</v>
      </c>
      <c r="R26">
        <v>0</v>
      </c>
      <c r="S26">
        <v>-53500</v>
      </c>
      <c r="T26" s="1">
        <v>42059</v>
      </c>
      <c r="U26" t="s">
        <v>51</v>
      </c>
      <c r="V26" t="s">
        <v>81</v>
      </c>
      <c r="W26" t="s">
        <v>68</v>
      </c>
      <c r="X26" t="s">
        <v>125</v>
      </c>
      <c r="Y26" t="s">
        <v>69</v>
      </c>
      <c r="Z26" t="s">
        <v>70</v>
      </c>
      <c r="AA26" t="s">
        <v>176</v>
      </c>
      <c r="AB26">
        <v>6</v>
      </c>
      <c r="AC26" t="str">
        <f t="shared" si="1"/>
        <v>Morning</v>
      </c>
      <c r="AD26">
        <v>1</v>
      </c>
      <c r="AE26" t="s">
        <v>84</v>
      </c>
      <c r="AF26">
        <v>1</v>
      </c>
      <c r="AG26">
        <v>3</v>
      </c>
      <c r="AH26" t="s">
        <v>84</v>
      </c>
      <c r="AI26">
        <v>77880</v>
      </c>
      <c r="AJ26">
        <v>7080</v>
      </c>
      <c r="AK26">
        <v>14160</v>
      </c>
      <c r="AL26">
        <v>56640</v>
      </c>
      <c r="AM26" t="s">
        <v>134</v>
      </c>
      <c r="AN26" t="s">
        <v>177</v>
      </c>
      <c r="AO26">
        <v>2015</v>
      </c>
      <c r="AP26">
        <v>2005</v>
      </c>
      <c r="AQ26">
        <f t="shared" si="2"/>
        <v>10</v>
      </c>
      <c r="AR26" t="s">
        <v>87</v>
      </c>
    </row>
    <row r="27" spans="1:44" x14ac:dyDescent="0.25">
      <c r="A27">
        <v>8</v>
      </c>
      <c r="B27" t="str">
        <f t="shared" si="0"/>
        <v>0-2 years</v>
      </c>
      <c r="C27">
        <v>35</v>
      </c>
      <c r="D27" t="str" cm="1">
        <f t="array" ref="D27">_xlfn.IFS(C27&lt;26, "19-25", C27&lt;33, "26-32", C27&lt;40, "33-39", C27&lt;47, "40-46",C27&lt;54, "47-53", TRUE, "54+")</f>
        <v>33-39</v>
      </c>
      <c r="E27">
        <v>699044</v>
      </c>
      <c r="F27" s="1">
        <v>41613</v>
      </c>
      <c r="G27" t="s">
        <v>44</v>
      </c>
      <c r="H27" t="s">
        <v>74</v>
      </c>
      <c r="I27">
        <v>2000</v>
      </c>
      <c r="J27">
        <v>1266.92</v>
      </c>
      <c r="K27">
        <v>0</v>
      </c>
      <c r="L27">
        <v>613982</v>
      </c>
      <c r="M27" t="s">
        <v>46</v>
      </c>
      <c r="N27" t="s">
        <v>129</v>
      </c>
      <c r="O27" t="s">
        <v>77</v>
      </c>
      <c r="P27" t="s">
        <v>178</v>
      </c>
      <c r="Q27" t="s">
        <v>79</v>
      </c>
      <c r="R27">
        <v>0</v>
      </c>
      <c r="S27">
        <v>0</v>
      </c>
      <c r="T27" s="1">
        <v>42013</v>
      </c>
      <c r="U27" t="s">
        <v>80</v>
      </c>
      <c r="V27" t="s">
        <v>81</v>
      </c>
      <c r="W27" t="s">
        <v>53</v>
      </c>
      <c r="X27" t="s">
        <v>125</v>
      </c>
      <c r="Y27" t="s">
        <v>44</v>
      </c>
      <c r="Z27" t="s">
        <v>92</v>
      </c>
      <c r="AA27" t="s">
        <v>179</v>
      </c>
      <c r="AB27">
        <v>16</v>
      </c>
      <c r="AC27" t="str">
        <f t="shared" si="1"/>
        <v>Afternoon</v>
      </c>
      <c r="AD27">
        <v>3</v>
      </c>
      <c r="AE27" t="s">
        <v>84</v>
      </c>
      <c r="AF27">
        <v>1</v>
      </c>
      <c r="AG27">
        <v>3</v>
      </c>
      <c r="AH27" t="s">
        <v>58</v>
      </c>
      <c r="AI27">
        <v>71500</v>
      </c>
      <c r="AJ27">
        <v>16500</v>
      </c>
      <c r="AK27">
        <v>11000</v>
      </c>
      <c r="AL27">
        <v>44000</v>
      </c>
      <c r="AM27" t="s">
        <v>134</v>
      </c>
      <c r="AN27" t="s">
        <v>177</v>
      </c>
      <c r="AO27">
        <v>2015</v>
      </c>
      <c r="AP27">
        <v>2006</v>
      </c>
      <c r="AQ27">
        <f t="shared" si="2"/>
        <v>9</v>
      </c>
      <c r="AR27" t="s">
        <v>61</v>
      </c>
    </row>
    <row r="28" spans="1:44" x14ac:dyDescent="0.25">
      <c r="A28">
        <v>257</v>
      </c>
      <c r="B28" t="str">
        <f t="shared" si="0"/>
        <v>10+ years</v>
      </c>
      <c r="C28">
        <v>43</v>
      </c>
      <c r="D28" t="str" cm="1">
        <f t="array" ref="D28">_xlfn.IFS(C28&lt;26, "19-25", C28&lt;33, "26-32", C28&lt;40, "33-39", C28&lt;47, "40-46",C28&lt;54, "47-53", TRUE, "54+")</f>
        <v>40-46</v>
      </c>
      <c r="E28">
        <v>863236</v>
      </c>
      <c r="F28" s="1">
        <v>33136</v>
      </c>
      <c r="G28" t="s">
        <v>62</v>
      </c>
      <c r="H28" t="s">
        <v>74</v>
      </c>
      <c r="I28">
        <v>2000</v>
      </c>
      <c r="J28">
        <v>1322.1</v>
      </c>
      <c r="K28">
        <v>0</v>
      </c>
      <c r="L28">
        <v>436984</v>
      </c>
      <c r="M28" t="s">
        <v>46</v>
      </c>
      <c r="N28" t="s">
        <v>136</v>
      </c>
      <c r="O28" t="s">
        <v>106</v>
      </c>
      <c r="P28" t="s">
        <v>117</v>
      </c>
      <c r="Q28" t="s">
        <v>79</v>
      </c>
      <c r="R28">
        <v>0</v>
      </c>
      <c r="S28">
        <v>-29200</v>
      </c>
      <c r="T28" s="1">
        <v>42032</v>
      </c>
      <c r="U28" t="s">
        <v>143</v>
      </c>
      <c r="V28" t="s">
        <v>67</v>
      </c>
      <c r="W28" t="s">
        <v>68</v>
      </c>
      <c r="X28" t="s">
        <v>54</v>
      </c>
      <c r="Y28" t="s">
        <v>180</v>
      </c>
      <c r="Z28" t="s">
        <v>92</v>
      </c>
      <c r="AA28" t="s">
        <v>181</v>
      </c>
      <c r="AB28">
        <v>4</v>
      </c>
      <c r="AC28" t="str">
        <f t="shared" si="1"/>
        <v>Night</v>
      </c>
      <c r="AD28">
        <v>1</v>
      </c>
      <c r="AE28" t="s">
        <v>58</v>
      </c>
      <c r="AF28">
        <v>1</v>
      </c>
      <c r="AG28">
        <v>3</v>
      </c>
      <c r="AH28" t="s">
        <v>58</v>
      </c>
      <c r="AI28">
        <v>9020</v>
      </c>
      <c r="AJ28">
        <v>1640</v>
      </c>
      <c r="AK28">
        <v>820</v>
      </c>
      <c r="AL28">
        <v>6560</v>
      </c>
      <c r="AM28" t="s">
        <v>120</v>
      </c>
      <c r="AN28" t="s">
        <v>121</v>
      </c>
      <c r="AO28">
        <v>2015</v>
      </c>
      <c r="AP28">
        <v>2005</v>
      </c>
      <c r="AQ28">
        <f t="shared" si="2"/>
        <v>10</v>
      </c>
      <c r="AR28" t="s">
        <v>87</v>
      </c>
    </row>
    <row r="29" spans="1:44" x14ac:dyDescent="0.25">
      <c r="A29">
        <v>202</v>
      </c>
      <c r="B29" t="str">
        <f t="shared" si="0"/>
        <v>10+ years</v>
      </c>
      <c r="C29">
        <v>34</v>
      </c>
      <c r="D29" t="str" cm="1">
        <f t="array" ref="D29">_xlfn.IFS(C29&lt;26, "19-25", C29&lt;33, "26-32", C29&lt;40, "33-39", C29&lt;47, "40-46",C29&lt;54, "47-53", TRUE, "54+")</f>
        <v>33-39</v>
      </c>
      <c r="E29">
        <v>608513</v>
      </c>
      <c r="F29" s="1">
        <v>37455</v>
      </c>
      <c r="G29" t="s">
        <v>62</v>
      </c>
      <c r="H29" t="s">
        <v>74</v>
      </c>
      <c r="I29">
        <v>500</v>
      </c>
      <c r="J29">
        <v>848.07</v>
      </c>
      <c r="K29">
        <v>3000000</v>
      </c>
      <c r="L29">
        <v>607730</v>
      </c>
      <c r="M29" t="s">
        <v>46</v>
      </c>
      <c r="N29" t="s">
        <v>166</v>
      </c>
      <c r="O29" t="s">
        <v>130</v>
      </c>
      <c r="P29" t="s">
        <v>173</v>
      </c>
      <c r="Q29" t="s">
        <v>147</v>
      </c>
      <c r="R29">
        <v>31000</v>
      </c>
      <c r="S29">
        <v>-30200</v>
      </c>
      <c r="T29" s="1">
        <v>42011</v>
      </c>
      <c r="U29" t="s">
        <v>66</v>
      </c>
      <c r="V29" t="s">
        <v>67</v>
      </c>
      <c r="W29" t="s">
        <v>68</v>
      </c>
      <c r="X29" t="s">
        <v>98</v>
      </c>
      <c r="Y29" t="s">
        <v>69</v>
      </c>
      <c r="Z29" t="s">
        <v>161</v>
      </c>
      <c r="AA29" t="s">
        <v>182</v>
      </c>
      <c r="AB29">
        <v>5</v>
      </c>
      <c r="AC29" t="str">
        <f t="shared" si="1"/>
        <v>Night</v>
      </c>
      <c r="AD29">
        <v>1</v>
      </c>
      <c r="AE29" t="s">
        <v>58</v>
      </c>
      <c r="AF29">
        <v>2</v>
      </c>
      <c r="AG29">
        <v>1</v>
      </c>
      <c r="AH29" t="s">
        <v>67</v>
      </c>
      <c r="AI29">
        <v>5720</v>
      </c>
      <c r="AJ29">
        <v>1040</v>
      </c>
      <c r="AK29">
        <v>520</v>
      </c>
      <c r="AL29">
        <v>4160</v>
      </c>
      <c r="AM29" t="s">
        <v>158</v>
      </c>
      <c r="AN29" t="s">
        <v>172</v>
      </c>
      <c r="AO29">
        <v>2015</v>
      </c>
      <c r="AP29">
        <v>2003</v>
      </c>
      <c r="AQ29">
        <f t="shared" si="2"/>
        <v>12</v>
      </c>
      <c r="AR29" t="s">
        <v>61</v>
      </c>
    </row>
    <row r="30" spans="1:44" x14ac:dyDescent="0.25">
      <c r="A30">
        <v>224</v>
      </c>
      <c r="B30" t="str">
        <f t="shared" si="0"/>
        <v>10+ years</v>
      </c>
      <c r="C30">
        <v>40</v>
      </c>
      <c r="D30" t="str" cm="1">
        <f t="array" ref="D30">_xlfn.IFS(C30&lt;26, "19-25", C30&lt;33, "26-32", C30&lt;40, "33-39", C30&lt;47, "40-46",C30&lt;54, "47-53", TRUE, "54+")</f>
        <v>40-46</v>
      </c>
      <c r="E30">
        <v>914088</v>
      </c>
      <c r="F30" s="1">
        <v>32912</v>
      </c>
      <c r="G30" t="s">
        <v>44</v>
      </c>
      <c r="H30" t="s">
        <v>74</v>
      </c>
      <c r="I30">
        <v>2000</v>
      </c>
      <c r="J30">
        <v>1291.7</v>
      </c>
      <c r="K30">
        <v>0</v>
      </c>
      <c r="L30">
        <v>609837</v>
      </c>
      <c r="M30" t="s">
        <v>75</v>
      </c>
      <c r="N30" t="s">
        <v>166</v>
      </c>
      <c r="O30" t="s">
        <v>77</v>
      </c>
      <c r="P30" t="s">
        <v>175</v>
      </c>
      <c r="Q30" t="s">
        <v>147</v>
      </c>
      <c r="R30">
        <v>0</v>
      </c>
      <c r="S30">
        <v>-55600</v>
      </c>
      <c r="T30" s="1">
        <v>42012</v>
      </c>
      <c r="U30" t="s">
        <v>51</v>
      </c>
      <c r="V30" t="s">
        <v>52</v>
      </c>
      <c r="W30" t="s">
        <v>68</v>
      </c>
      <c r="X30" t="s">
        <v>125</v>
      </c>
      <c r="Y30" t="s">
        <v>55</v>
      </c>
      <c r="Z30" t="s">
        <v>132</v>
      </c>
      <c r="AA30" t="s">
        <v>183</v>
      </c>
      <c r="AB30">
        <v>21</v>
      </c>
      <c r="AC30" t="str">
        <f t="shared" si="1"/>
        <v>Evening</v>
      </c>
      <c r="AD30">
        <v>1</v>
      </c>
      <c r="AE30" t="s">
        <v>84</v>
      </c>
      <c r="AF30">
        <v>1</v>
      </c>
      <c r="AG30">
        <v>0</v>
      </c>
      <c r="AH30" t="s">
        <v>58</v>
      </c>
      <c r="AI30">
        <v>69840</v>
      </c>
      <c r="AJ30">
        <v>7760</v>
      </c>
      <c r="AK30">
        <v>15520</v>
      </c>
      <c r="AL30">
        <v>46560</v>
      </c>
      <c r="AM30" t="s">
        <v>85</v>
      </c>
      <c r="AN30" t="s">
        <v>149</v>
      </c>
      <c r="AO30">
        <v>2015</v>
      </c>
      <c r="AP30">
        <v>2009</v>
      </c>
      <c r="AQ30">
        <f t="shared" si="2"/>
        <v>6</v>
      </c>
      <c r="AR30" t="s">
        <v>87</v>
      </c>
    </row>
    <row r="31" spans="1:44" x14ac:dyDescent="0.25">
      <c r="A31">
        <v>241</v>
      </c>
      <c r="B31" t="str">
        <f t="shared" si="0"/>
        <v>10+ years</v>
      </c>
      <c r="C31">
        <v>45</v>
      </c>
      <c r="D31" t="str" cm="1">
        <f t="array" ref="D31">_xlfn.IFS(C31&lt;26, "19-25", C31&lt;33, "26-32", C31&lt;40, "33-39", C31&lt;47, "40-46",C31&lt;54, "47-53", TRUE, "54+")</f>
        <v>40-46</v>
      </c>
      <c r="E31">
        <v>596785</v>
      </c>
      <c r="F31" s="1">
        <v>41702</v>
      </c>
      <c r="G31" t="s">
        <v>88</v>
      </c>
      <c r="H31" t="s">
        <v>96</v>
      </c>
      <c r="I31">
        <v>2000</v>
      </c>
      <c r="J31">
        <v>1104.5</v>
      </c>
      <c r="K31">
        <v>0</v>
      </c>
      <c r="L31">
        <v>432211</v>
      </c>
      <c r="M31" t="s">
        <v>75</v>
      </c>
      <c r="N31" t="s">
        <v>76</v>
      </c>
      <c r="O31" t="s">
        <v>63</v>
      </c>
      <c r="P31" t="s">
        <v>184</v>
      </c>
      <c r="Q31" t="s">
        <v>90</v>
      </c>
      <c r="R31">
        <v>0</v>
      </c>
      <c r="S31">
        <v>0</v>
      </c>
      <c r="T31" s="1">
        <v>42050</v>
      </c>
      <c r="U31" t="s">
        <v>51</v>
      </c>
      <c r="V31" t="s">
        <v>81</v>
      </c>
      <c r="W31" t="s">
        <v>68</v>
      </c>
      <c r="X31" t="s">
        <v>54</v>
      </c>
      <c r="Y31" t="s">
        <v>55</v>
      </c>
      <c r="Z31" t="s">
        <v>161</v>
      </c>
      <c r="AA31" t="s">
        <v>185</v>
      </c>
      <c r="AB31">
        <v>5</v>
      </c>
      <c r="AC31" t="str">
        <f t="shared" si="1"/>
        <v>Night</v>
      </c>
      <c r="AD31">
        <v>1</v>
      </c>
      <c r="AE31" t="s">
        <v>84</v>
      </c>
      <c r="AF31">
        <v>2</v>
      </c>
      <c r="AG31">
        <v>2</v>
      </c>
      <c r="AH31" t="s">
        <v>84</v>
      </c>
      <c r="AI31">
        <v>91650</v>
      </c>
      <c r="AJ31">
        <v>14100</v>
      </c>
      <c r="AK31">
        <v>14100</v>
      </c>
      <c r="AL31">
        <v>63450</v>
      </c>
      <c r="AM31" t="s">
        <v>100</v>
      </c>
      <c r="AN31" t="s">
        <v>163</v>
      </c>
      <c r="AO31">
        <v>2015</v>
      </c>
      <c r="AP31">
        <v>2011</v>
      </c>
      <c r="AQ31">
        <f t="shared" si="2"/>
        <v>4</v>
      </c>
      <c r="AR31" t="s">
        <v>87</v>
      </c>
    </row>
    <row r="32" spans="1:44" x14ac:dyDescent="0.25">
      <c r="A32">
        <v>64</v>
      </c>
      <c r="B32" t="str">
        <f t="shared" si="0"/>
        <v>5-10 years</v>
      </c>
      <c r="C32">
        <v>25</v>
      </c>
      <c r="D32" t="str" cm="1">
        <f t="array" ref="D32">_xlfn.IFS(C32&lt;26, "19-25", C32&lt;33, "26-32", C32&lt;40, "33-39", C32&lt;47, "40-46",C32&lt;54, "47-53", TRUE, "54+")</f>
        <v>19-25</v>
      </c>
      <c r="E32">
        <v>908616</v>
      </c>
      <c r="F32" s="1">
        <v>36574</v>
      </c>
      <c r="G32" t="s">
        <v>88</v>
      </c>
      <c r="H32" t="s">
        <v>45</v>
      </c>
      <c r="I32">
        <v>1000</v>
      </c>
      <c r="J32">
        <v>954.16</v>
      </c>
      <c r="K32">
        <v>0</v>
      </c>
      <c r="L32">
        <v>473328</v>
      </c>
      <c r="M32" t="s">
        <v>46</v>
      </c>
      <c r="N32" t="s">
        <v>129</v>
      </c>
      <c r="O32" t="s">
        <v>106</v>
      </c>
      <c r="P32" t="s">
        <v>186</v>
      </c>
      <c r="Q32" t="s">
        <v>50</v>
      </c>
      <c r="R32">
        <v>53200</v>
      </c>
      <c r="S32">
        <v>0</v>
      </c>
      <c r="T32" s="1">
        <v>42022</v>
      </c>
      <c r="U32" t="s">
        <v>80</v>
      </c>
      <c r="V32" t="s">
        <v>52</v>
      </c>
      <c r="W32" t="s">
        <v>53</v>
      </c>
      <c r="X32" t="s">
        <v>141</v>
      </c>
      <c r="Y32" t="s">
        <v>55</v>
      </c>
      <c r="Z32" t="s">
        <v>56</v>
      </c>
      <c r="AA32" t="s">
        <v>187</v>
      </c>
      <c r="AB32">
        <v>22</v>
      </c>
      <c r="AC32" t="str">
        <f t="shared" si="1"/>
        <v>Evening</v>
      </c>
      <c r="AD32">
        <v>4</v>
      </c>
      <c r="AE32" t="s">
        <v>84</v>
      </c>
      <c r="AF32">
        <v>0</v>
      </c>
      <c r="AG32">
        <v>0</v>
      </c>
      <c r="AH32" t="s">
        <v>67</v>
      </c>
      <c r="AI32">
        <v>75600</v>
      </c>
      <c r="AJ32">
        <v>12600</v>
      </c>
      <c r="AK32">
        <v>12600</v>
      </c>
      <c r="AL32">
        <v>50400</v>
      </c>
      <c r="AM32" t="s">
        <v>120</v>
      </c>
      <c r="AN32" t="s">
        <v>188</v>
      </c>
      <c r="AO32">
        <v>2015</v>
      </c>
      <c r="AP32">
        <v>2005</v>
      </c>
      <c r="AQ32">
        <f t="shared" si="2"/>
        <v>10</v>
      </c>
      <c r="AR32" t="s">
        <v>87</v>
      </c>
    </row>
    <row r="33" spans="1:44" x14ac:dyDescent="0.25">
      <c r="A33">
        <v>166</v>
      </c>
      <c r="B33" t="str">
        <f t="shared" si="0"/>
        <v>10+ years</v>
      </c>
      <c r="C33">
        <v>37</v>
      </c>
      <c r="D33" t="str" cm="1">
        <f t="array" ref="D33">_xlfn.IFS(C33&lt;26, "19-25", C33&lt;33, "26-32", C33&lt;40, "33-39", C33&lt;47, "40-46",C33&lt;54, "47-53", TRUE, "54+")</f>
        <v>33-39</v>
      </c>
      <c r="E33">
        <v>666333</v>
      </c>
      <c r="F33" s="1">
        <v>39618</v>
      </c>
      <c r="G33" t="s">
        <v>88</v>
      </c>
      <c r="H33" t="s">
        <v>74</v>
      </c>
      <c r="I33">
        <v>2000</v>
      </c>
      <c r="J33">
        <v>1337.28</v>
      </c>
      <c r="K33">
        <v>8000000</v>
      </c>
      <c r="L33">
        <v>610393</v>
      </c>
      <c r="M33" t="s">
        <v>46</v>
      </c>
      <c r="N33" t="s">
        <v>166</v>
      </c>
      <c r="O33" t="s">
        <v>48</v>
      </c>
      <c r="P33" t="s">
        <v>64</v>
      </c>
      <c r="Q33" t="s">
        <v>50</v>
      </c>
      <c r="R33">
        <v>27500</v>
      </c>
      <c r="S33">
        <v>0</v>
      </c>
      <c r="T33" s="1">
        <v>42063</v>
      </c>
      <c r="U33" t="s">
        <v>80</v>
      </c>
      <c r="V33" t="s">
        <v>52</v>
      </c>
      <c r="W33" t="s">
        <v>53</v>
      </c>
      <c r="X33" t="s">
        <v>54</v>
      </c>
      <c r="Y33" t="s">
        <v>118</v>
      </c>
      <c r="Z33" t="s">
        <v>70</v>
      </c>
      <c r="AA33" t="s">
        <v>189</v>
      </c>
      <c r="AB33">
        <v>10</v>
      </c>
      <c r="AC33" t="str">
        <f t="shared" si="1"/>
        <v>Morning</v>
      </c>
      <c r="AD33">
        <v>3</v>
      </c>
      <c r="AE33" t="s">
        <v>84</v>
      </c>
      <c r="AF33">
        <v>2</v>
      </c>
      <c r="AG33">
        <v>2</v>
      </c>
      <c r="AH33" t="s">
        <v>67</v>
      </c>
      <c r="AI33">
        <v>67140</v>
      </c>
      <c r="AJ33">
        <v>7460</v>
      </c>
      <c r="AK33">
        <v>7460</v>
      </c>
      <c r="AL33">
        <v>52220</v>
      </c>
      <c r="AM33" t="s">
        <v>134</v>
      </c>
      <c r="AN33" t="s">
        <v>135</v>
      </c>
      <c r="AO33">
        <v>2015</v>
      </c>
      <c r="AP33">
        <v>2006</v>
      </c>
      <c r="AQ33">
        <f t="shared" si="2"/>
        <v>9</v>
      </c>
      <c r="AR33" t="s">
        <v>61</v>
      </c>
    </row>
    <row r="34" spans="1:44" x14ac:dyDescent="0.25">
      <c r="A34">
        <v>155</v>
      </c>
      <c r="B34" t="str">
        <f t="shared" si="0"/>
        <v>10+ years</v>
      </c>
      <c r="C34">
        <v>35</v>
      </c>
      <c r="D34" t="str" cm="1">
        <f t="array" ref="D34">_xlfn.IFS(C34&lt;26, "19-25", C34&lt;33, "26-32", C34&lt;40, "33-39", C34&lt;47, "40-46",C34&lt;54, "47-53", TRUE, "54+")</f>
        <v>33-39</v>
      </c>
      <c r="E34">
        <v>336614</v>
      </c>
      <c r="F34" s="1">
        <v>37834</v>
      </c>
      <c r="G34" t="s">
        <v>88</v>
      </c>
      <c r="H34" t="s">
        <v>96</v>
      </c>
      <c r="I34">
        <v>1000</v>
      </c>
      <c r="J34">
        <v>1088.3399999999999</v>
      </c>
      <c r="K34">
        <v>0</v>
      </c>
      <c r="L34">
        <v>614780</v>
      </c>
      <c r="M34" t="s">
        <v>75</v>
      </c>
      <c r="N34" t="s">
        <v>97</v>
      </c>
      <c r="O34" t="s">
        <v>190</v>
      </c>
      <c r="P34" t="s">
        <v>160</v>
      </c>
      <c r="Q34" t="s">
        <v>65</v>
      </c>
      <c r="R34">
        <v>81100</v>
      </c>
      <c r="S34">
        <v>0</v>
      </c>
      <c r="T34" s="1">
        <v>42059</v>
      </c>
      <c r="U34" t="s">
        <v>80</v>
      </c>
      <c r="V34" t="s">
        <v>91</v>
      </c>
      <c r="W34" t="s">
        <v>112</v>
      </c>
      <c r="X34" t="s">
        <v>54</v>
      </c>
      <c r="Y34" t="s">
        <v>82</v>
      </c>
      <c r="Z34" t="s">
        <v>92</v>
      </c>
      <c r="AA34" t="s">
        <v>191</v>
      </c>
      <c r="AB34">
        <v>16</v>
      </c>
      <c r="AC34" t="str">
        <f t="shared" si="1"/>
        <v>Afternoon</v>
      </c>
      <c r="AD34">
        <v>3</v>
      </c>
      <c r="AE34" t="s">
        <v>58</v>
      </c>
      <c r="AF34">
        <v>2</v>
      </c>
      <c r="AG34">
        <v>3</v>
      </c>
      <c r="AH34" t="s">
        <v>84</v>
      </c>
      <c r="AI34">
        <v>29790</v>
      </c>
      <c r="AJ34">
        <v>3310</v>
      </c>
      <c r="AK34">
        <v>3310</v>
      </c>
      <c r="AL34">
        <v>23170</v>
      </c>
      <c r="AM34" t="s">
        <v>192</v>
      </c>
      <c r="AN34" t="s">
        <v>193</v>
      </c>
      <c r="AO34">
        <v>2015</v>
      </c>
      <c r="AP34">
        <v>2008</v>
      </c>
      <c r="AQ34">
        <f t="shared" si="2"/>
        <v>7</v>
      </c>
      <c r="AR34" t="s">
        <v>87</v>
      </c>
    </row>
    <row r="35" spans="1:44" x14ac:dyDescent="0.25">
      <c r="A35">
        <v>114</v>
      </c>
      <c r="B35" t="str">
        <f t="shared" si="0"/>
        <v>5-10 years</v>
      </c>
      <c r="C35">
        <v>30</v>
      </c>
      <c r="D35" t="str" cm="1">
        <f t="array" ref="D35">_xlfn.IFS(C35&lt;26, "19-25", C35&lt;33, "26-32", C35&lt;40, "33-39", C35&lt;47, "40-46",C35&lt;54, "47-53", TRUE, "54+")</f>
        <v>26-32</v>
      </c>
      <c r="E35">
        <v>584859</v>
      </c>
      <c r="F35" s="1">
        <v>33698</v>
      </c>
      <c r="G35" t="s">
        <v>88</v>
      </c>
      <c r="H35" t="s">
        <v>74</v>
      </c>
      <c r="I35">
        <v>1000</v>
      </c>
      <c r="J35">
        <v>1558.29</v>
      </c>
      <c r="K35">
        <v>0</v>
      </c>
      <c r="L35">
        <v>472248</v>
      </c>
      <c r="M35" t="s">
        <v>46</v>
      </c>
      <c r="N35" t="s">
        <v>136</v>
      </c>
      <c r="O35" t="s">
        <v>194</v>
      </c>
      <c r="P35" t="s">
        <v>186</v>
      </c>
      <c r="Q35" t="s">
        <v>124</v>
      </c>
      <c r="R35">
        <v>51400</v>
      </c>
      <c r="S35">
        <v>-64000</v>
      </c>
      <c r="T35" s="1">
        <v>42013</v>
      </c>
      <c r="U35" t="s">
        <v>80</v>
      </c>
      <c r="V35" t="s">
        <v>91</v>
      </c>
      <c r="W35" t="s">
        <v>53</v>
      </c>
      <c r="X35" t="s">
        <v>141</v>
      </c>
      <c r="Y35" t="s">
        <v>82</v>
      </c>
      <c r="Z35" t="s">
        <v>127</v>
      </c>
      <c r="AA35" t="s">
        <v>195</v>
      </c>
      <c r="AB35">
        <v>1</v>
      </c>
      <c r="AC35" t="str">
        <f t="shared" si="1"/>
        <v>Night</v>
      </c>
      <c r="AD35">
        <v>3</v>
      </c>
      <c r="AE35" t="s">
        <v>84</v>
      </c>
      <c r="AF35">
        <v>1</v>
      </c>
      <c r="AG35">
        <v>2</v>
      </c>
      <c r="AH35" t="s">
        <v>67</v>
      </c>
      <c r="AI35">
        <v>77110</v>
      </c>
      <c r="AJ35">
        <v>14020</v>
      </c>
      <c r="AK35">
        <v>14020</v>
      </c>
      <c r="AL35">
        <v>49070</v>
      </c>
      <c r="AM35" t="s">
        <v>158</v>
      </c>
      <c r="AN35" t="s">
        <v>168</v>
      </c>
      <c r="AO35">
        <v>2015</v>
      </c>
      <c r="AP35">
        <v>2015</v>
      </c>
      <c r="AQ35">
        <f t="shared" si="2"/>
        <v>0</v>
      </c>
      <c r="AR35" t="s">
        <v>87</v>
      </c>
    </row>
    <row r="36" spans="1:44" x14ac:dyDescent="0.25">
      <c r="A36">
        <v>149</v>
      </c>
      <c r="B36" t="str">
        <f t="shared" si="0"/>
        <v>10+ years</v>
      </c>
      <c r="C36">
        <v>37</v>
      </c>
      <c r="D36" t="str" cm="1">
        <f t="array" ref="D36">_xlfn.IFS(C36&lt;26, "19-25", C36&lt;33, "26-32", C36&lt;40, "33-39", C36&lt;47, "40-46",C36&lt;54, "47-53", TRUE, "54+")</f>
        <v>33-39</v>
      </c>
      <c r="E36">
        <v>990493</v>
      </c>
      <c r="F36" s="1">
        <v>33251</v>
      </c>
      <c r="G36" t="s">
        <v>88</v>
      </c>
      <c r="H36" t="s">
        <v>96</v>
      </c>
      <c r="I36">
        <v>500</v>
      </c>
      <c r="J36">
        <v>1415.68</v>
      </c>
      <c r="K36">
        <v>0</v>
      </c>
      <c r="L36">
        <v>603381</v>
      </c>
      <c r="M36" t="s">
        <v>46</v>
      </c>
      <c r="N36" t="s">
        <v>76</v>
      </c>
      <c r="O36" t="s">
        <v>106</v>
      </c>
      <c r="P36" t="s">
        <v>160</v>
      </c>
      <c r="Q36" t="s">
        <v>79</v>
      </c>
      <c r="R36">
        <v>0</v>
      </c>
      <c r="S36">
        <v>0</v>
      </c>
      <c r="T36" s="1">
        <v>42047</v>
      </c>
      <c r="U36" t="s">
        <v>51</v>
      </c>
      <c r="V36" t="s">
        <v>52</v>
      </c>
      <c r="W36" t="s">
        <v>112</v>
      </c>
      <c r="X36" t="s">
        <v>104</v>
      </c>
      <c r="Y36" t="s">
        <v>118</v>
      </c>
      <c r="Z36" t="s">
        <v>127</v>
      </c>
      <c r="AA36" t="s">
        <v>196</v>
      </c>
      <c r="AB36">
        <v>17</v>
      </c>
      <c r="AC36" t="str">
        <f t="shared" si="1"/>
        <v>Afternoon</v>
      </c>
      <c r="AD36">
        <v>1</v>
      </c>
      <c r="AE36" t="s">
        <v>58</v>
      </c>
      <c r="AF36">
        <v>0</v>
      </c>
      <c r="AG36">
        <v>1</v>
      </c>
      <c r="AH36" t="s">
        <v>58</v>
      </c>
      <c r="AI36">
        <v>64800</v>
      </c>
      <c r="AJ36">
        <v>10800</v>
      </c>
      <c r="AK36">
        <v>5400</v>
      </c>
      <c r="AL36">
        <v>48600</v>
      </c>
      <c r="AM36" t="s">
        <v>114</v>
      </c>
      <c r="AN36" t="s">
        <v>139</v>
      </c>
      <c r="AO36">
        <v>2015</v>
      </c>
      <c r="AP36">
        <v>1999</v>
      </c>
      <c r="AQ36">
        <f t="shared" si="2"/>
        <v>16</v>
      </c>
      <c r="AR36" t="s">
        <v>87</v>
      </c>
    </row>
    <row r="37" spans="1:44" x14ac:dyDescent="0.25">
      <c r="A37">
        <v>147</v>
      </c>
      <c r="B37" t="str">
        <f t="shared" si="0"/>
        <v>10+ years</v>
      </c>
      <c r="C37">
        <v>33</v>
      </c>
      <c r="D37" t="str" cm="1">
        <f t="array" ref="D37">_xlfn.IFS(C37&lt;26, "19-25", C37&lt;33, "26-32", C37&lt;40, "33-39", C37&lt;47, "40-46",C37&lt;54, "47-53", TRUE, "54+")</f>
        <v>33-39</v>
      </c>
      <c r="E37">
        <v>129872</v>
      </c>
      <c r="F37" s="1">
        <v>40398</v>
      </c>
      <c r="G37" t="s">
        <v>44</v>
      </c>
      <c r="H37" t="s">
        <v>74</v>
      </c>
      <c r="I37">
        <v>1000</v>
      </c>
      <c r="J37">
        <v>1334.15</v>
      </c>
      <c r="K37">
        <v>6000000</v>
      </c>
      <c r="L37">
        <v>479224</v>
      </c>
      <c r="M37" t="s">
        <v>46</v>
      </c>
      <c r="N37" t="s">
        <v>136</v>
      </c>
      <c r="O37" t="s">
        <v>48</v>
      </c>
      <c r="P37" t="s">
        <v>64</v>
      </c>
      <c r="Q37" t="s">
        <v>147</v>
      </c>
      <c r="R37">
        <v>53300</v>
      </c>
      <c r="S37">
        <v>-49200</v>
      </c>
      <c r="T37" s="1">
        <v>42028</v>
      </c>
      <c r="U37" t="s">
        <v>51</v>
      </c>
      <c r="V37" t="s">
        <v>91</v>
      </c>
      <c r="W37" t="s">
        <v>53</v>
      </c>
      <c r="X37" t="s">
        <v>125</v>
      </c>
      <c r="Y37" t="s">
        <v>118</v>
      </c>
      <c r="Z37" t="s">
        <v>107</v>
      </c>
      <c r="AA37" t="s">
        <v>197</v>
      </c>
      <c r="AB37">
        <v>15</v>
      </c>
      <c r="AC37" t="str">
        <f t="shared" si="1"/>
        <v>Afternoon</v>
      </c>
      <c r="AD37">
        <v>1</v>
      </c>
      <c r="AE37" t="s">
        <v>58</v>
      </c>
      <c r="AF37">
        <v>2</v>
      </c>
      <c r="AG37">
        <v>0</v>
      </c>
      <c r="AH37" t="s">
        <v>58</v>
      </c>
      <c r="AI37">
        <v>53100</v>
      </c>
      <c r="AJ37">
        <v>10620</v>
      </c>
      <c r="AK37">
        <v>5310</v>
      </c>
      <c r="AL37">
        <v>37170</v>
      </c>
      <c r="AM37" t="s">
        <v>72</v>
      </c>
      <c r="AN37" t="s">
        <v>198</v>
      </c>
      <c r="AO37">
        <v>2015</v>
      </c>
      <c r="AP37">
        <v>1995</v>
      </c>
      <c r="AQ37">
        <f t="shared" si="2"/>
        <v>20</v>
      </c>
      <c r="AR37" t="s">
        <v>61</v>
      </c>
    </row>
    <row r="38" spans="1:44" x14ac:dyDescent="0.25">
      <c r="A38">
        <v>62</v>
      </c>
      <c r="B38" t="str">
        <f t="shared" si="0"/>
        <v>5-10 years</v>
      </c>
      <c r="C38">
        <v>28</v>
      </c>
      <c r="D38" t="str" cm="1">
        <f t="array" ref="D38">_xlfn.IFS(C38&lt;26, "19-25", C38&lt;33, "26-32", C38&lt;40, "33-39", C38&lt;47, "40-46",C38&lt;54, "47-53", TRUE, "54+")</f>
        <v>26-32</v>
      </c>
      <c r="E38">
        <v>200152</v>
      </c>
      <c r="F38" s="1">
        <v>37689</v>
      </c>
      <c r="G38" t="s">
        <v>88</v>
      </c>
      <c r="H38" t="s">
        <v>74</v>
      </c>
      <c r="I38">
        <v>1000</v>
      </c>
      <c r="J38">
        <v>988.45</v>
      </c>
      <c r="K38">
        <v>0</v>
      </c>
      <c r="L38">
        <v>430141</v>
      </c>
      <c r="M38" t="s">
        <v>75</v>
      </c>
      <c r="N38" t="s">
        <v>129</v>
      </c>
      <c r="O38" t="s">
        <v>140</v>
      </c>
      <c r="P38" t="s">
        <v>123</v>
      </c>
      <c r="Q38" t="s">
        <v>90</v>
      </c>
      <c r="R38">
        <v>0</v>
      </c>
      <c r="S38">
        <v>0</v>
      </c>
      <c r="T38" s="1">
        <v>42013</v>
      </c>
      <c r="U38" t="s">
        <v>51</v>
      </c>
      <c r="V38" t="s">
        <v>81</v>
      </c>
      <c r="W38" t="s">
        <v>112</v>
      </c>
      <c r="X38" t="s">
        <v>54</v>
      </c>
      <c r="Y38" t="s">
        <v>82</v>
      </c>
      <c r="Z38" t="s">
        <v>161</v>
      </c>
      <c r="AA38" t="s">
        <v>199</v>
      </c>
      <c r="AB38">
        <v>3</v>
      </c>
      <c r="AC38" t="str">
        <f t="shared" si="1"/>
        <v>Night</v>
      </c>
      <c r="AD38">
        <v>1</v>
      </c>
      <c r="AE38" t="s">
        <v>67</v>
      </c>
      <c r="AF38">
        <v>1</v>
      </c>
      <c r="AG38">
        <v>1</v>
      </c>
      <c r="AH38" t="s">
        <v>58</v>
      </c>
      <c r="AI38">
        <v>60200</v>
      </c>
      <c r="AJ38">
        <v>6020</v>
      </c>
      <c r="AK38">
        <v>6020</v>
      </c>
      <c r="AL38">
        <v>48160</v>
      </c>
      <c r="AM38" t="s">
        <v>158</v>
      </c>
      <c r="AN38" t="s">
        <v>172</v>
      </c>
      <c r="AO38">
        <v>2015</v>
      </c>
      <c r="AP38">
        <v>2004</v>
      </c>
      <c r="AQ38">
        <f t="shared" si="2"/>
        <v>11</v>
      </c>
      <c r="AR38" t="s">
        <v>61</v>
      </c>
    </row>
    <row r="39" spans="1:44" x14ac:dyDescent="0.25">
      <c r="A39">
        <v>289</v>
      </c>
      <c r="B39" t="str">
        <f t="shared" si="0"/>
        <v>10+ years</v>
      </c>
      <c r="C39">
        <v>49</v>
      </c>
      <c r="D39" t="str" cm="1">
        <f t="array" ref="D39">_xlfn.IFS(C39&lt;26, "19-25", C39&lt;33, "26-32", C39&lt;40, "33-39", C39&lt;47, "40-46",C39&lt;54, "47-53", TRUE, "54+")</f>
        <v>47-53</v>
      </c>
      <c r="E39">
        <v>933293</v>
      </c>
      <c r="F39" s="1">
        <v>34003</v>
      </c>
      <c r="G39" t="s">
        <v>88</v>
      </c>
      <c r="H39" t="s">
        <v>96</v>
      </c>
      <c r="I39">
        <v>2000</v>
      </c>
      <c r="J39">
        <v>1222.48</v>
      </c>
      <c r="K39">
        <v>0</v>
      </c>
      <c r="L39">
        <v>620757</v>
      </c>
      <c r="M39" t="s">
        <v>75</v>
      </c>
      <c r="N39" t="s">
        <v>166</v>
      </c>
      <c r="O39" t="s">
        <v>122</v>
      </c>
      <c r="P39" t="s">
        <v>117</v>
      </c>
      <c r="Q39" t="s">
        <v>90</v>
      </c>
      <c r="R39">
        <v>0</v>
      </c>
      <c r="S39">
        <v>0</v>
      </c>
      <c r="T39" s="1">
        <v>42022</v>
      </c>
      <c r="U39" t="s">
        <v>143</v>
      </c>
      <c r="V39" t="s">
        <v>67</v>
      </c>
      <c r="W39" t="s">
        <v>68</v>
      </c>
      <c r="X39" t="s">
        <v>98</v>
      </c>
      <c r="Y39" t="s">
        <v>118</v>
      </c>
      <c r="Z39" t="s">
        <v>92</v>
      </c>
      <c r="AA39" t="s">
        <v>200</v>
      </c>
      <c r="AB39">
        <v>16</v>
      </c>
      <c r="AC39" t="str">
        <f t="shared" si="1"/>
        <v>Afternoon</v>
      </c>
      <c r="AD39">
        <v>1</v>
      </c>
      <c r="AE39" t="s">
        <v>84</v>
      </c>
      <c r="AF39">
        <v>1</v>
      </c>
      <c r="AG39">
        <v>1</v>
      </c>
      <c r="AH39" t="s">
        <v>58</v>
      </c>
      <c r="AI39">
        <v>5330</v>
      </c>
      <c r="AJ39">
        <v>1230</v>
      </c>
      <c r="AK39">
        <v>820</v>
      </c>
      <c r="AL39">
        <v>3280</v>
      </c>
      <c r="AM39" t="s">
        <v>158</v>
      </c>
      <c r="AN39" t="s">
        <v>159</v>
      </c>
      <c r="AO39">
        <v>2015</v>
      </c>
      <c r="AP39">
        <v>2001</v>
      </c>
      <c r="AQ39">
        <f t="shared" si="2"/>
        <v>14</v>
      </c>
      <c r="AR39" t="s">
        <v>87</v>
      </c>
    </row>
    <row r="40" spans="1:44" x14ac:dyDescent="0.25">
      <c r="A40">
        <v>431</v>
      </c>
      <c r="B40" t="str">
        <f t="shared" si="0"/>
        <v>10+ years</v>
      </c>
      <c r="C40">
        <v>54</v>
      </c>
      <c r="D40" t="str" cm="1">
        <f t="array" ref="D40">_xlfn.IFS(C40&lt;26, "19-25", C40&lt;33, "26-32", C40&lt;40, "33-39", C40&lt;47, "40-46",C40&lt;54, "47-53", TRUE, "54+")</f>
        <v>54+</v>
      </c>
      <c r="E40">
        <v>485664</v>
      </c>
      <c r="F40" s="1">
        <v>37585</v>
      </c>
      <c r="G40" t="s">
        <v>62</v>
      </c>
      <c r="H40" t="s">
        <v>96</v>
      </c>
      <c r="I40">
        <v>2000</v>
      </c>
      <c r="J40">
        <v>1155.55</v>
      </c>
      <c r="K40">
        <v>0</v>
      </c>
      <c r="L40">
        <v>615901</v>
      </c>
      <c r="M40" t="s">
        <v>75</v>
      </c>
      <c r="N40" t="s">
        <v>47</v>
      </c>
      <c r="O40" t="s">
        <v>48</v>
      </c>
      <c r="P40" t="s">
        <v>103</v>
      </c>
      <c r="Q40" t="s">
        <v>90</v>
      </c>
      <c r="R40">
        <v>65700</v>
      </c>
      <c r="S40">
        <v>0</v>
      </c>
      <c r="T40" s="1">
        <v>42025</v>
      </c>
      <c r="U40" t="s">
        <v>80</v>
      </c>
      <c r="V40" t="s">
        <v>81</v>
      </c>
      <c r="W40" t="s">
        <v>53</v>
      </c>
      <c r="X40" t="s">
        <v>54</v>
      </c>
      <c r="Y40" t="s">
        <v>82</v>
      </c>
      <c r="Z40" t="s">
        <v>127</v>
      </c>
      <c r="AA40" t="s">
        <v>201</v>
      </c>
      <c r="AB40">
        <v>4</v>
      </c>
      <c r="AC40" t="str">
        <f t="shared" si="1"/>
        <v>Night</v>
      </c>
      <c r="AD40">
        <v>3</v>
      </c>
      <c r="AE40" t="s">
        <v>67</v>
      </c>
      <c r="AF40">
        <v>2</v>
      </c>
      <c r="AG40">
        <v>0</v>
      </c>
      <c r="AH40" t="s">
        <v>67</v>
      </c>
      <c r="AI40">
        <v>62300</v>
      </c>
      <c r="AJ40">
        <v>12460</v>
      </c>
      <c r="AK40">
        <v>6230</v>
      </c>
      <c r="AL40">
        <v>43610</v>
      </c>
      <c r="AM40" t="s">
        <v>202</v>
      </c>
      <c r="AN40" t="s">
        <v>203</v>
      </c>
      <c r="AO40">
        <v>2015</v>
      </c>
      <c r="AP40">
        <v>2007</v>
      </c>
      <c r="AQ40">
        <f t="shared" si="2"/>
        <v>8</v>
      </c>
      <c r="AR40" t="s">
        <v>87</v>
      </c>
    </row>
    <row r="41" spans="1:44" x14ac:dyDescent="0.25">
      <c r="A41">
        <v>199</v>
      </c>
      <c r="B41" t="str">
        <f t="shared" si="0"/>
        <v>10+ years</v>
      </c>
      <c r="C41">
        <v>37</v>
      </c>
      <c r="D41" t="str" cm="1">
        <f t="array" ref="D41">_xlfn.IFS(C41&lt;26, "19-25", C41&lt;33, "26-32", C41&lt;40, "33-39", C41&lt;47, "40-46",C41&lt;54, "47-53", TRUE, "54+")</f>
        <v>33-39</v>
      </c>
      <c r="E41">
        <v>982871</v>
      </c>
      <c r="F41" s="1">
        <v>35638</v>
      </c>
      <c r="G41" t="s">
        <v>62</v>
      </c>
      <c r="H41" t="s">
        <v>45</v>
      </c>
      <c r="I41">
        <v>500</v>
      </c>
      <c r="J41">
        <v>1262.08</v>
      </c>
      <c r="K41">
        <v>0</v>
      </c>
      <c r="L41">
        <v>474615</v>
      </c>
      <c r="M41" t="s">
        <v>46</v>
      </c>
      <c r="N41" t="s">
        <v>166</v>
      </c>
      <c r="O41" t="s">
        <v>102</v>
      </c>
      <c r="P41" t="s">
        <v>186</v>
      </c>
      <c r="Q41" t="s">
        <v>124</v>
      </c>
      <c r="R41">
        <v>48500</v>
      </c>
      <c r="S41">
        <v>0</v>
      </c>
      <c r="T41" s="1">
        <v>42012</v>
      </c>
      <c r="U41" t="s">
        <v>51</v>
      </c>
      <c r="V41" t="s">
        <v>91</v>
      </c>
      <c r="W41" t="s">
        <v>53</v>
      </c>
      <c r="X41" t="s">
        <v>141</v>
      </c>
      <c r="Y41" t="s">
        <v>126</v>
      </c>
      <c r="Z41" t="s">
        <v>56</v>
      </c>
      <c r="AA41" t="s">
        <v>204</v>
      </c>
      <c r="AB41">
        <v>4</v>
      </c>
      <c r="AC41" t="str">
        <f t="shared" si="1"/>
        <v>Night</v>
      </c>
      <c r="AD41">
        <v>1</v>
      </c>
      <c r="AE41" t="s">
        <v>67</v>
      </c>
      <c r="AF41">
        <v>0</v>
      </c>
      <c r="AG41">
        <v>3</v>
      </c>
      <c r="AH41" t="s">
        <v>84</v>
      </c>
      <c r="AI41">
        <v>60170</v>
      </c>
      <c r="AJ41">
        <v>10940</v>
      </c>
      <c r="AK41">
        <v>10940</v>
      </c>
      <c r="AL41">
        <v>38290</v>
      </c>
      <c r="AM41" t="s">
        <v>109</v>
      </c>
      <c r="AN41" t="s">
        <v>110</v>
      </c>
      <c r="AO41">
        <v>2015</v>
      </c>
      <c r="AP41">
        <v>2011</v>
      </c>
      <c r="AQ41">
        <f t="shared" si="2"/>
        <v>4</v>
      </c>
      <c r="AR41" t="s">
        <v>61</v>
      </c>
    </row>
    <row r="42" spans="1:44" x14ac:dyDescent="0.25">
      <c r="A42">
        <v>79</v>
      </c>
      <c r="B42" t="str">
        <f t="shared" si="0"/>
        <v>5-10 years</v>
      </c>
      <c r="C42">
        <v>26</v>
      </c>
      <c r="D42" t="str" cm="1">
        <f t="array" ref="D42">_xlfn.IFS(C42&lt;26, "19-25", C42&lt;33, "26-32", C42&lt;40, "33-39", C42&lt;47, "40-46",C42&lt;54, "47-53", TRUE, "54+")</f>
        <v>26-32</v>
      </c>
      <c r="E42">
        <v>206213</v>
      </c>
      <c r="F42" s="1">
        <v>34827</v>
      </c>
      <c r="G42" t="s">
        <v>88</v>
      </c>
      <c r="H42" t="s">
        <v>74</v>
      </c>
      <c r="I42">
        <v>500</v>
      </c>
      <c r="J42">
        <v>1451.62</v>
      </c>
      <c r="K42">
        <v>0</v>
      </c>
      <c r="L42">
        <v>456446</v>
      </c>
      <c r="M42" t="s">
        <v>46</v>
      </c>
      <c r="N42" t="s">
        <v>97</v>
      </c>
      <c r="O42" t="s">
        <v>102</v>
      </c>
      <c r="P42" t="s">
        <v>175</v>
      </c>
      <c r="Q42" t="s">
        <v>147</v>
      </c>
      <c r="R42">
        <v>0</v>
      </c>
      <c r="S42">
        <v>-55700</v>
      </c>
      <c r="T42" s="1">
        <v>42007</v>
      </c>
      <c r="U42" t="s">
        <v>51</v>
      </c>
      <c r="V42" t="s">
        <v>81</v>
      </c>
      <c r="W42" t="s">
        <v>68</v>
      </c>
      <c r="X42" t="s">
        <v>141</v>
      </c>
      <c r="Y42" t="s">
        <v>118</v>
      </c>
      <c r="Z42" t="s">
        <v>56</v>
      </c>
      <c r="AA42" t="s">
        <v>205</v>
      </c>
      <c r="AB42">
        <v>19</v>
      </c>
      <c r="AC42" t="str">
        <f t="shared" si="1"/>
        <v>Evening</v>
      </c>
      <c r="AD42">
        <v>1</v>
      </c>
      <c r="AE42" t="s">
        <v>84</v>
      </c>
      <c r="AF42">
        <v>2</v>
      </c>
      <c r="AG42">
        <v>2</v>
      </c>
      <c r="AH42" t="s">
        <v>67</v>
      </c>
      <c r="AI42">
        <v>40000</v>
      </c>
      <c r="AJ42">
        <v>8000</v>
      </c>
      <c r="AK42">
        <v>4000</v>
      </c>
      <c r="AL42">
        <v>28000</v>
      </c>
      <c r="AM42" t="s">
        <v>192</v>
      </c>
      <c r="AN42" t="s">
        <v>206</v>
      </c>
      <c r="AO42">
        <v>2015</v>
      </c>
      <c r="AP42">
        <v>2010</v>
      </c>
      <c r="AQ42">
        <f t="shared" si="2"/>
        <v>5</v>
      </c>
      <c r="AR42" t="s">
        <v>87</v>
      </c>
    </row>
    <row r="43" spans="1:44" x14ac:dyDescent="0.25">
      <c r="A43">
        <v>116</v>
      </c>
      <c r="B43" t="str">
        <f t="shared" si="0"/>
        <v>5-10 years</v>
      </c>
      <c r="C43">
        <v>34</v>
      </c>
      <c r="D43" t="str" cm="1">
        <f t="array" ref="D43">_xlfn.IFS(C43&lt;26, "19-25", C43&lt;33, "26-32", C43&lt;40, "33-39", C43&lt;47, "40-46",C43&lt;54, "47-53", TRUE, "54+")</f>
        <v>33-39</v>
      </c>
      <c r="E43">
        <v>616337</v>
      </c>
      <c r="F43" s="1">
        <v>41151</v>
      </c>
      <c r="G43" t="s">
        <v>62</v>
      </c>
      <c r="H43" t="s">
        <v>45</v>
      </c>
      <c r="I43">
        <v>500</v>
      </c>
      <c r="J43">
        <v>1737.66</v>
      </c>
      <c r="K43">
        <v>0</v>
      </c>
      <c r="L43">
        <v>470577</v>
      </c>
      <c r="M43" t="s">
        <v>46</v>
      </c>
      <c r="N43" t="s">
        <v>97</v>
      </c>
      <c r="O43" t="s">
        <v>150</v>
      </c>
      <c r="P43" t="s">
        <v>173</v>
      </c>
      <c r="Q43" t="s">
        <v>90</v>
      </c>
      <c r="R43">
        <v>0</v>
      </c>
      <c r="S43">
        <v>-24100</v>
      </c>
      <c r="T43" s="1">
        <v>42005</v>
      </c>
      <c r="U43" t="s">
        <v>51</v>
      </c>
      <c r="V43" t="s">
        <v>52</v>
      </c>
      <c r="W43" t="s">
        <v>53</v>
      </c>
      <c r="X43" t="s">
        <v>54</v>
      </c>
      <c r="Y43" t="s">
        <v>118</v>
      </c>
      <c r="Z43" t="s">
        <v>161</v>
      </c>
      <c r="AA43" t="s">
        <v>207</v>
      </c>
      <c r="AB43">
        <v>1</v>
      </c>
      <c r="AC43" t="str">
        <f t="shared" si="1"/>
        <v>Night</v>
      </c>
      <c r="AD43">
        <v>1</v>
      </c>
      <c r="AE43" t="s">
        <v>67</v>
      </c>
      <c r="AF43">
        <v>1</v>
      </c>
      <c r="AG43">
        <v>1</v>
      </c>
      <c r="AH43" t="s">
        <v>67</v>
      </c>
      <c r="AI43">
        <v>97080</v>
      </c>
      <c r="AJ43">
        <v>16180</v>
      </c>
      <c r="AK43">
        <v>16180</v>
      </c>
      <c r="AL43">
        <v>64720</v>
      </c>
      <c r="AM43" t="s">
        <v>192</v>
      </c>
      <c r="AN43" t="s">
        <v>208</v>
      </c>
      <c r="AO43">
        <v>2015</v>
      </c>
      <c r="AP43">
        <v>2001</v>
      </c>
      <c r="AQ43">
        <f t="shared" si="2"/>
        <v>14</v>
      </c>
      <c r="AR43" t="s">
        <v>61</v>
      </c>
    </row>
    <row r="44" spans="1:44" x14ac:dyDescent="0.25">
      <c r="A44">
        <v>37</v>
      </c>
      <c r="B44" t="str">
        <f t="shared" si="0"/>
        <v>2-5 years</v>
      </c>
      <c r="C44">
        <v>23</v>
      </c>
      <c r="D44" t="str" cm="1">
        <f t="array" ref="D44">_xlfn.IFS(C44&lt;26, "19-25", C44&lt;33, "26-32", C44&lt;40, "33-39", C44&lt;47, "40-46",C44&lt;54, "47-53", TRUE, "54+")</f>
        <v>19-25</v>
      </c>
      <c r="E44">
        <v>448961</v>
      </c>
      <c r="F44" s="1">
        <v>38837</v>
      </c>
      <c r="G44" t="s">
        <v>88</v>
      </c>
      <c r="H44" t="s">
        <v>96</v>
      </c>
      <c r="I44">
        <v>500</v>
      </c>
      <c r="J44">
        <v>1475.93</v>
      </c>
      <c r="K44">
        <v>0</v>
      </c>
      <c r="L44">
        <v>441648</v>
      </c>
      <c r="M44" t="s">
        <v>75</v>
      </c>
      <c r="N44" t="s">
        <v>146</v>
      </c>
      <c r="O44" t="s">
        <v>106</v>
      </c>
      <c r="P44" t="s">
        <v>154</v>
      </c>
      <c r="Q44" t="s">
        <v>50</v>
      </c>
      <c r="R44">
        <v>0</v>
      </c>
      <c r="S44">
        <v>-67400</v>
      </c>
      <c r="T44" s="1">
        <v>42020</v>
      </c>
      <c r="U44" t="s">
        <v>80</v>
      </c>
      <c r="V44" t="s">
        <v>52</v>
      </c>
      <c r="W44" t="s">
        <v>68</v>
      </c>
      <c r="X44" t="s">
        <v>125</v>
      </c>
      <c r="Y44" t="s">
        <v>55</v>
      </c>
      <c r="Z44" t="s">
        <v>107</v>
      </c>
      <c r="AA44" t="s">
        <v>209</v>
      </c>
      <c r="AB44">
        <v>17</v>
      </c>
      <c r="AC44" t="str">
        <f t="shared" si="1"/>
        <v>Afternoon</v>
      </c>
      <c r="AD44">
        <v>3</v>
      </c>
      <c r="AE44" t="s">
        <v>58</v>
      </c>
      <c r="AF44">
        <v>1</v>
      </c>
      <c r="AG44">
        <v>0</v>
      </c>
      <c r="AH44" t="s">
        <v>84</v>
      </c>
      <c r="AI44">
        <v>51660</v>
      </c>
      <c r="AJ44">
        <v>5740</v>
      </c>
      <c r="AK44">
        <v>5740</v>
      </c>
      <c r="AL44">
        <v>40180</v>
      </c>
      <c r="AM44" t="s">
        <v>85</v>
      </c>
      <c r="AN44" t="s">
        <v>86</v>
      </c>
      <c r="AO44">
        <v>2015</v>
      </c>
      <c r="AP44">
        <v>2010</v>
      </c>
      <c r="AQ44">
        <f t="shared" si="2"/>
        <v>5</v>
      </c>
      <c r="AR44" t="s">
        <v>87</v>
      </c>
    </row>
    <row r="45" spans="1:44" x14ac:dyDescent="0.25">
      <c r="A45">
        <v>106</v>
      </c>
      <c r="B45" t="str">
        <f t="shared" si="0"/>
        <v>5-10 years</v>
      </c>
      <c r="C45">
        <v>30</v>
      </c>
      <c r="D45" t="str" cm="1">
        <f t="array" ref="D45">_xlfn.IFS(C45&lt;26, "19-25", C45&lt;33, "26-32", C45&lt;40, "33-39", C45&lt;47, "40-46",C45&lt;54, "47-53", TRUE, "54+")</f>
        <v>26-32</v>
      </c>
      <c r="E45">
        <v>790442</v>
      </c>
      <c r="F45" s="1">
        <v>37724</v>
      </c>
      <c r="G45" t="s">
        <v>44</v>
      </c>
      <c r="H45" t="s">
        <v>45</v>
      </c>
      <c r="I45">
        <v>500</v>
      </c>
      <c r="J45">
        <v>538.16999999999996</v>
      </c>
      <c r="K45">
        <v>0</v>
      </c>
      <c r="L45">
        <v>433782</v>
      </c>
      <c r="M45" t="s">
        <v>75</v>
      </c>
      <c r="N45" t="s">
        <v>76</v>
      </c>
      <c r="O45" t="s">
        <v>150</v>
      </c>
      <c r="P45" t="s">
        <v>64</v>
      </c>
      <c r="Q45" t="s">
        <v>79</v>
      </c>
      <c r="R45">
        <v>49700</v>
      </c>
      <c r="S45">
        <v>-60200</v>
      </c>
      <c r="T45" s="1">
        <v>42045</v>
      </c>
      <c r="U45" t="s">
        <v>51</v>
      </c>
      <c r="V45" t="s">
        <v>81</v>
      </c>
      <c r="W45" t="s">
        <v>112</v>
      </c>
      <c r="X45" t="s">
        <v>125</v>
      </c>
      <c r="Y45" t="s">
        <v>126</v>
      </c>
      <c r="Z45" t="s">
        <v>92</v>
      </c>
      <c r="AA45" t="s">
        <v>210</v>
      </c>
      <c r="AB45">
        <v>23</v>
      </c>
      <c r="AC45" t="str">
        <f t="shared" si="1"/>
        <v>Evening</v>
      </c>
      <c r="AD45">
        <v>1</v>
      </c>
      <c r="AE45" t="s">
        <v>84</v>
      </c>
      <c r="AF45">
        <v>2</v>
      </c>
      <c r="AG45">
        <v>2</v>
      </c>
      <c r="AH45" t="s">
        <v>84</v>
      </c>
      <c r="AI45">
        <v>51120</v>
      </c>
      <c r="AJ45">
        <v>5680</v>
      </c>
      <c r="AK45">
        <v>5680</v>
      </c>
      <c r="AL45">
        <v>39760</v>
      </c>
      <c r="AM45" t="s">
        <v>72</v>
      </c>
      <c r="AN45" t="s">
        <v>73</v>
      </c>
      <c r="AO45">
        <v>2015</v>
      </c>
      <c r="AP45">
        <v>2005</v>
      </c>
      <c r="AQ45">
        <f t="shared" si="2"/>
        <v>10</v>
      </c>
      <c r="AR45" t="s">
        <v>87</v>
      </c>
    </row>
    <row r="46" spans="1:44" x14ac:dyDescent="0.25">
      <c r="A46">
        <v>269</v>
      </c>
      <c r="B46" t="str">
        <f t="shared" si="0"/>
        <v>10+ years</v>
      </c>
      <c r="C46">
        <v>44</v>
      </c>
      <c r="D46" t="str" cm="1">
        <f t="array" ref="D46">_xlfn.IFS(C46&lt;26, "19-25", C46&lt;33, "26-32", C46&lt;40, "33-39", C46&lt;47, "40-46",C46&lt;54, "47-53", TRUE, "54+")</f>
        <v>40-46</v>
      </c>
      <c r="E46">
        <v>108844</v>
      </c>
      <c r="F46" s="1">
        <v>39421</v>
      </c>
      <c r="G46" t="s">
        <v>88</v>
      </c>
      <c r="H46" t="s">
        <v>74</v>
      </c>
      <c r="I46">
        <v>2000</v>
      </c>
      <c r="J46">
        <v>1081.08</v>
      </c>
      <c r="K46">
        <v>0</v>
      </c>
      <c r="L46">
        <v>468104</v>
      </c>
      <c r="M46" t="s">
        <v>46</v>
      </c>
      <c r="N46" t="s">
        <v>166</v>
      </c>
      <c r="O46" t="s">
        <v>122</v>
      </c>
      <c r="P46" t="s">
        <v>64</v>
      </c>
      <c r="Q46" t="s">
        <v>90</v>
      </c>
      <c r="R46">
        <v>36400</v>
      </c>
      <c r="S46">
        <v>-28700</v>
      </c>
      <c r="T46" s="1">
        <v>42049</v>
      </c>
      <c r="U46" t="s">
        <v>51</v>
      </c>
      <c r="V46" t="s">
        <v>91</v>
      </c>
      <c r="W46" t="s">
        <v>68</v>
      </c>
      <c r="X46" t="s">
        <v>125</v>
      </c>
      <c r="Y46" t="s">
        <v>55</v>
      </c>
      <c r="Z46" t="s">
        <v>107</v>
      </c>
      <c r="AA46" t="s">
        <v>211</v>
      </c>
      <c r="AB46">
        <v>14</v>
      </c>
      <c r="AC46" t="str">
        <f t="shared" si="1"/>
        <v>Afternoon</v>
      </c>
      <c r="AD46">
        <v>1</v>
      </c>
      <c r="AE46" t="s">
        <v>58</v>
      </c>
      <c r="AF46">
        <v>0</v>
      </c>
      <c r="AG46">
        <v>2</v>
      </c>
      <c r="AH46" t="s">
        <v>67</v>
      </c>
      <c r="AI46">
        <v>56400</v>
      </c>
      <c r="AJ46">
        <v>11280</v>
      </c>
      <c r="AK46">
        <v>11280</v>
      </c>
      <c r="AL46">
        <v>33840</v>
      </c>
      <c r="AM46" t="s">
        <v>120</v>
      </c>
      <c r="AN46" t="s">
        <v>145</v>
      </c>
      <c r="AO46">
        <v>2015</v>
      </c>
      <c r="AP46">
        <v>2014</v>
      </c>
      <c r="AQ46">
        <f t="shared" si="2"/>
        <v>1</v>
      </c>
      <c r="AR46" t="s">
        <v>87</v>
      </c>
    </row>
    <row r="47" spans="1:44" x14ac:dyDescent="0.25">
      <c r="A47">
        <v>265</v>
      </c>
      <c r="B47" t="str">
        <f t="shared" si="0"/>
        <v>10+ years</v>
      </c>
      <c r="C47">
        <v>40</v>
      </c>
      <c r="D47" t="str" cm="1">
        <f t="array" ref="D47">_xlfn.IFS(C47&lt;26, "19-25", C47&lt;33, "26-32", C47&lt;40, "33-39", C47&lt;47, "40-46",C47&lt;54, "47-53", TRUE, "54+")</f>
        <v>40-46</v>
      </c>
      <c r="E47">
        <v>430029</v>
      </c>
      <c r="F47" s="1">
        <v>38950</v>
      </c>
      <c r="G47" t="s">
        <v>88</v>
      </c>
      <c r="H47" t="s">
        <v>45</v>
      </c>
      <c r="I47">
        <v>1000</v>
      </c>
      <c r="J47">
        <v>1454.43</v>
      </c>
      <c r="K47">
        <v>0</v>
      </c>
      <c r="L47">
        <v>459407</v>
      </c>
      <c r="M47" t="s">
        <v>75</v>
      </c>
      <c r="N47" t="s">
        <v>47</v>
      </c>
      <c r="O47" t="s">
        <v>140</v>
      </c>
      <c r="P47" t="s">
        <v>160</v>
      </c>
      <c r="Q47" t="s">
        <v>50</v>
      </c>
      <c r="R47">
        <v>0</v>
      </c>
      <c r="S47">
        <v>0</v>
      </c>
      <c r="T47" s="1">
        <v>42056</v>
      </c>
      <c r="U47" t="s">
        <v>80</v>
      </c>
      <c r="V47" t="s">
        <v>81</v>
      </c>
      <c r="W47" t="s">
        <v>112</v>
      </c>
      <c r="X47" t="s">
        <v>125</v>
      </c>
      <c r="Y47" t="s">
        <v>82</v>
      </c>
      <c r="Z47" t="s">
        <v>92</v>
      </c>
      <c r="AA47" t="s">
        <v>212</v>
      </c>
      <c r="AB47">
        <v>17</v>
      </c>
      <c r="AC47" t="str">
        <f t="shared" si="1"/>
        <v>Afternoon</v>
      </c>
      <c r="AD47">
        <v>3</v>
      </c>
      <c r="AE47" t="s">
        <v>84</v>
      </c>
      <c r="AF47">
        <v>2</v>
      </c>
      <c r="AG47">
        <v>3</v>
      </c>
      <c r="AH47" t="s">
        <v>67</v>
      </c>
      <c r="AI47">
        <v>55120</v>
      </c>
      <c r="AJ47">
        <v>6890</v>
      </c>
      <c r="AK47">
        <v>0</v>
      </c>
      <c r="AL47">
        <v>48230</v>
      </c>
      <c r="AM47" t="s">
        <v>100</v>
      </c>
      <c r="AN47" t="s">
        <v>153</v>
      </c>
      <c r="AO47">
        <v>2015</v>
      </c>
      <c r="AP47">
        <v>2002</v>
      </c>
      <c r="AQ47">
        <f t="shared" si="2"/>
        <v>13</v>
      </c>
      <c r="AR47" t="s">
        <v>87</v>
      </c>
    </row>
    <row r="48" spans="1:44" x14ac:dyDescent="0.25">
      <c r="A48">
        <v>163</v>
      </c>
      <c r="B48" t="str">
        <f t="shared" si="0"/>
        <v>10+ years</v>
      </c>
      <c r="C48">
        <v>33</v>
      </c>
      <c r="D48" t="str" cm="1">
        <f t="array" ref="D48">_xlfn.IFS(C48&lt;26, "19-25", C48&lt;33, "26-32", C48&lt;40, "33-39", C48&lt;47, "40-46",C48&lt;54, "47-53", TRUE, "54+")</f>
        <v>33-39</v>
      </c>
      <c r="E48">
        <v>529112</v>
      </c>
      <c r="F48" s="1">
        <v>32881</v>
      </c>
      <c r="G48" t="s">
        <v>62</v>
      </c>
      <c r="H48" t="s">
        <v>74</v>
      </c>
      <c r="I48">
        <v>500</v>
      </c>
      <c r="J48">
        <v>1240.47</v>
      </c>
      <c r="K48">
        <v>0</v>
      </c>
      <c r="L48">
        <v>472573</v>
      </c>
      <c r="M48" t="s">
        <v>75</v>
      </c>
      <c r="N48" t="s">
        <v>97</v>
      </c>
      <c r="O48" t="s">
        <v>116</v>
      </c>
      <c r="P48" t="s">
        <v>178</v>
      </c>
      <c r="Q48" t="s">
        <v>50</v>
      </c>
      <c r="R48">
        <v>35300</v>
      </c>
      <c r="S48">
        <v>0</v>
      </c>
      <c r="T48" s="1">
        <v>42053</v>
      </c>
      <c r="U48" t="s">
        <v>80</v>
      </c>
      <c r="V48" t="s">
        <v>81</v>
      </c>
      <c r="W48" t="s">
        <v>112</v>
      </c>
      <c r="X48" t="s">
        <v>104</v>
      </c>
      <c r="Y48" t="s">
        <v>126</v>
      </c>
      <c r="Z48" t="s">
        <v>132</v>
      </c>
      <c r="AA48" t="s">
        <v>213</v>
      </c>
      <c r="AB48">
        <v>11</v>
      </c>
      <c r="AC48" t="str">
        <f t="shared" si="1"/>
        <v>Morning</v>
      </c>
      <c r="AD48">
        <v>3</v>
      </c>
      <c r="AE48" t="s">
        <v>58</v>
      </c>
      <c r="AF48">
        <v>1</v>
      </c>
      <c r="AG48">
        <v>1</v>
      </c>
      <c r="AH48" t="s">
        <v>67</v>
      </c>
      <c r="AI48">
        <v>77110</v>
      </c>
      <c r="AJ48">
        <v>0</v>
      </c>
      <c r="AK48">
        <v>14020</v>
      </c>
      <c r="AL48">
        <v>63090</v>
      </c>
      <c r="AM48" t="s">
        <v>214</v>
      </c>
      <c r="AN48" t="s">
        <v>215</v>
      </c>
      <c r="AO48">
        <v>2015</v>
      </c>
      <c r="AP48">
        <v>2014</v>
      </c>
      <c r="AQ48">
        <f t="shared" si="2"/>
        <v>1</v>
      </c>
      <c r="AR48" t="s">
        <v>87</v>
      </c>
    </row>
    <row r="49" spans="1:44" x14ac:dyDescent="0.25">
      <c r="A49">
        <v>355</v>
      </c>
      <c r="B49" t="str">
        <f t="shared" si="0"/>
        <v>10+ years</v>
      </c>
      <c r="C49">
        <v>47</v>
      </c>
      <c r="D49" t="str" cm="1">
        <f t="array" ref="D49">_xlfn.IFS(C49&lt;26, "19-25", C49&lt;33, "26-32", C49&lt;40, "33-39", C49&lt;47, "40-46",C49&lt;54, "47-53", TRUE, "54+")</f>
        <v>47-53</v>
      </c>
      <c r="E49">
        <v>939631</v>
      </c>
      <c r="F49" s="1">
        <v>32950</v>
      </c>
      <c r="G49" t="s">
        <v>44</v>
      </c>
      <c r="H49" t="s">
        <v>96</v>
      </c>
      <c r="I49">
        <v>2000</v>
      </c>
      <c r="J49">
        <v>1273.7</v>
      </c>
      <c r="K49">
        <v>4000000</v>
      </c>
      <c r="L49">
        <v>433473</v>
      </c>
      <c r="M49" t="s">
        <v>46</v>
      </c>
      <c r="N49" t="s">
        <v>146</v>
      </c>
      <c r="O49" t="s">
        <v>116</v>
      </c>
      <c r="P49" t="s">
        <v>175</v>
      </c>
      <c r="Q49" t="s">
        <v>50</v>
      </c>
      <c r="R49">
        <v>0</v>
      </c>
      <c r="S49">
        <v>0</v>
      </c>
      <c r="T49" s="1">
        <v>42014</v>
      </c>
      <c r="U49" t="s">
        <v>80</v>
      </c>
      <c r="V49" t="s">
        <v>91</v>
      </c>
      <c r="W49" t="s">
        <v>53</v>
      </c>
      <c r="X49" t="s">
        <v>104</v>
      </c>
      <c r="Y49" t="s">
        <v>118</v>
      </c>
      <c r="Z49" t="s">
        <v>92</v>
      </c>
      <c r="AA49" t="s">
        <v>216</v>
      </c>
      <c r="AB49">
        <v>19</v>
      </c>
      <c r="AC49" t="str">
        <f t="shared" si="1"/>
        <v>Evening</v>
      </c>
      <c r="AD49">
        <v>3</v>
      </c>
      <c r="AE49" t="s">
        <v>84</v>
      </c>
      <c r="AF49">
        <v>2</v>
      </c>
      <c r="AG49">
        <v>1</v>
      </c>
      <c r="AH49" t="s">
        <v>84</v>
      </c>
      <c r="AI49">
        <v>62800</v>
      </c>
      <c r="AJ49">
        <v>6280</v>
      </c>
      <c r="AK49">
        <v>6280</v>
      </c>
      <c r="AL49">
        <v>50240</v>
      </c>
      <c r="AM49" t="s">
        <v>114</v>
      </c>
      <c r="AN49" t="s">
        <v>139</v>
      </c>
      <c r="AO49">
        <v>2015</v>
      </c>
      <c r="AP49">
        <v>2003</v>
      </c>
      <c r="AQ49">
        <f t="shared" si="2"/>
        <v>12</v>
      </c>
      <c r="AR49" t="s">
        <v>61</v>
      </c>
    </row>
    <row r="50" spans="1:44" x14ac:dyDescent="0.25">
      <c r="A50">
        <v>175</v>
      </c>
      <c r="B50" t="str">
        <f t="shared" si="0"/>
        <v>10+ years</v>
      </c>
      <c r="C50">
        <v>34</v>
      </c>
      <c r="D50" t="str" cm="1">
        <f t="array" ref="D50">_xlfn.IFS(C50&lt;26, "19-25", C50&lt;33, "26-32", C50&lt;40, "33-39", C50&lt;47, "40-46",C50&lt;54, "47-53", TRUE, "54+")</f>
        <v>33-39</v>
      </c>
      <c r="E50">
        <v>866931</v>
      </c>
      <c r="F50" s="1">
        <v>39454</v>
      </c>
      <c r="G50" t="s">
        <v>62</v>
      </c>
      <c r="H50" t="s">
        <v>96</v>
      </c>
      <c r="I50">
        <v>1000</v>
      </c>
      <c r="J50">
        <v>1123.8699999999999</v>
      </c>
      <c r="K50">
        <v>8000000</v>
      </c>
      <c r="L50">
        <v>446326</v>
      </c>
      <c r="M50" t="s">
        <v>75</v>
      </c>
      <c r="N50" t="s">
        <v>76</v>
      </c>
      <c r="O50" t="s">
        <v>140</v>
      </c>
      <c r="P50" t="s">
        <v>131</v>
      </c>
      <c r="Q50" t="s">
        <v>65</v>
      </c>
      <c r="R50">
        <v>0</v>
      </c>
      <c r="S50">
        <v>0</v>
      </c>
      <c r="T50" s="1">
        <v>42061</v>
      </c>
      <c r="U50" t="s">
        <v>66</v>
      </c>
      <c r="V50" t="s">
        <v>67</v>
      </c>
      <c r="W50" t="s">
        <v>217</v>
      </c>
      <c r="X50" t="s">
        <v>54</v>
      </c>
      <c r="Y50" t="s">
        <v>82</v>
      </c>
      <c r="Z50" t="s">
        <v>92</v>
      </c>
      <c r="AA50" t="s">
        <v>218</v>
      </c>
      <c r="AB50">
        <v>5</v>
      </c>
      <c r="AC50" t="str">
        <f t="shared" si="1"/>
        <v>Night</v>
      </c>
      <c r="AD50">
        <v>1</v>
      </c>
      <c r="AE50" t="s">
        <v>67</v>
      </c>
      <c r="AF50">
        <v>2</v>
      </c>
      <c r="AG50">
        <v>0</v>
      </c>
      <c r="AH50" t="s">
        <v>58</v>
      </c>
      <c r="AI50">
        <v>7290</v>
      </c>
      <c r="AJ50">
        <v>810</v>
      </c>
      <c r="AK50">
        <v>810</v>
      </c>
      <c r="AL50">
        <v>5670</v>
      </c>
      <c r="AM50" t="s">
        <v>219</v>
      </c>
      <c r="AN50" t="s">
        <v>220</v>
      </c>
      <c r="AO50">
        <v>2015</v>
      </c>
      <c r="AP50">
        <v>1995</v>
      </c>
      <c r="AQ50">
        <f t="shared" si="2"/>
        <v>20</v>
      </c>
      <c r="AR50" t="s">
        <v>87</v>
      </c>
    </row>
    <row r="51" spans="1:44" x14ac:dyDescent="0.25">
      <c r="A51">
        <v>192</v>
      </c>
      <c r="B51" t="str">
        <f t="shared" si="0"/>
        <v>10+ years</v>
      </c>
      <c r="C51">
        <v>35</v>
      </c>
      <c r="D51" t="str" cm="1">
        <f t="array" ref="D51">_xlfn.IFS(C51&lt;26, "19-25", C51&lt;33, "26-32", C51&lt;40, "33-39", C51&lt;47, "40-46",C51&lt;54, "47-53", TRUE, "54+")</f>
        <v>33-39</v>
      </c>
      <c r="E51">
        <v>582011</v>
      </c>
      <c r="F51" s="1">
        <v>35499</v>
      </c>
      <c r="G51" t="s">
        <v>88</v>
      </c>
      <c r="H51" t="s">
        <v>74</v>
      </c>
      <c r="I51">
        <v>1000</v>
      </c>
      <c r="J51">
        <v>1245.8900000000001</v>
      </c>
      <c r="K51">
        <v>0</v>
      </c>
      <c r="L51">
        <v>435481</v>
      </c>
      <c r="M51" t="s">
        <v>75</v>
      </c>
      <c r="N51" t="s">
        <v>129</v>
      </c>
      <c r="O51" t="s">
        <v>130</v>
      </c>
      <c r="P51" t="s">
        <v>151</v>
      </c>
      <c r="Q51" t="s">
        <v>124</v>
      </c>
      <c r="R51">
        <v>0</v>
      </c>
      <c r="S51">
        <v>-40300</v>
      </c>
      <c r="T51" s="1">
        <v>42005</v>
      </c>
      <c r="U51" t="s">
        <v>51</v>
      </c>
      <c r="V51" t="s">
        <v>81</v>
      </c>
      <c r="W51" t="s">
        <v>112</v>
      </c>
      <c r="X51" t="s">
        <v>125</v>
      </c>
      <c r="Y51" t="s">
        <v>118</v>
      </c>
      <c r="Z51" t="s">
        <v>107</v>
      </c>
      <c r="AA51" t="s">
        <v>221</v>
      </c>
      <c r="AB51">
        <v>19</v>
      </c>
      <c r="AC51" t="str">
        <f t="shared" si="1"/>
        <v>Evening</v>
      </c>
      <c r="AD51">
        <v>1</v>
      </c>
      <c r="AE51" t="s">
        <v>84</v>
      </c>
      <c r="AF51">
        <v>0</v>
      </c>
      <c r="AG51">
        <v>0</v>
      </c>
      <c r="AH51" t="s">
        <v>67</v>
      </c>
      <c r="AI51">
        <v>76600</v>
      </c>
      <c r="AJ51">
        <v>15320</v>
      </c>
      <c r="AK51">
        <v>7660</v>
      </c>
      <c r="AL51">
        <v>53620</v>
      </c>
      <c r="AM51" t="s">
        <v>72</v>
      </c>
      <c r="AN51" t="s">
        <v>198</v>
      </c>
      <c r="AO51">
        <v>2015</v>
      </c>
      <c r="AP51">
        <v>2000</v>
      </c>
      <c r="AQ51">
        <f t="shared" si="2"/>
        <v>15</v>
      </c>
      <c r="AR51" t="s">
        <v>87</v>
      </c>
    </row>
    <row r="52" spans="1:44" x14ac:dyDescent="0.25">
      <c r="A52">
        <v>430</v>
      </c>
      <c r="B52" t="str">
        <f t="shared" si="0"/>
        <v>10+ years</v>
      </c>
      <c r="C52">
        <v>59</v>
      </c>
      <c r="D52" t="str" cm="1">
        <f t="array" ref="D52">_xlfn.IFS(C52&lt;26, "19-25", C52&lt;33, "26-32", C52&lt;40, "33-39", C52&lt;47, "40-46",C52&lt;54, "47-53", TRUE, "54+")</f>
        <v>54+</v>
      </c>
      <c r="E52">
        <v>691189</v>
      </c>
      <c r="F52" s="1">
        <v>37996</v>
      </c>
      <c r="G52" t="s">
        <v>44</v>
      </c>
      <c r="H52" t="s">
        <v>45</v>
      </c>
      <c r="I52">
        <v>2000</v>
      </c>
      <c r="J52">
        <v>1326.62</v>
      </c>
      <c r="K52">
        <v>7000000</v>
      </c>
      <c r="L52">
        <v>477310</v>
      </c>
      <c r="M52" t="s">
        <v>46</v>
      </c>
      <c r="N52" t="s">
        <v>47</v>
      </c>
      <c r="O52" t="s">
        <v>116</v>
      </c>
      <c r="P52" t="s">
        <v>103</v>
      </c>
      <c r="Q52" t="s">
        <v>79</v>
      </c>
      <c r="R52">
        <v>0</v>
      </c>
      <c r="S52">
        <v>0</v>
      </c>
      <c r="T52" s="1">
        <v>42007</v>
      </c>
      <c r="U52" t="s">
        <v>80</v>
      </c>
      <c r="V52" t="s">
        <v>91</v>
      </c>
      <c r="W52" t="s">
        <v>68</v>
      </c>
      <c r="X52" t="s">
        <v>104</v>
      </c>
      <c r="Y52" t="s">
        <v>82</v>
      </c>
      <c r="Z52" t="s">
        <v>70</v>
      </c>
      <c r="AA52" t="s">
        <v>222</v>
      </c>
      <c r="AB52">
        <v>19</v>
      </c>
      <c r="AC52" t="str">
        <f t="shared" si="1"/>
        <v>Evening</v>
      </c>
      <c r="AD52">
        <v>3</v>
      </c>
      <c r="AE52" t="s">
        <v>67</v>
      </c>
      <c r="AF52">
        <v>0</v>
      </c>
      <c r="AG52">
        <v>3</v>
      </c>
      <c r="AH52" t="s">
        <v>58</v>
      </c>
      <c r="AI52">
        <v>81800</v>
      </c>
      <c r="AJ52">
        <v>16360</v>
      </c>
      <c r="AK52">
        <v>8180</v>
      </c>
      <c r="AL52">
        <v>57260</v>
      </c>
      <c r="AM52" t="s">
        <v>109</v>
      </c>
      <c r="AN52" t="s">
        <v>110</v>
      </c>
      <c r="AO52">
        <v>2015</v>
      </c>
      <c r="AP52">
        <v>1998</v>
      </c>
      <c r="AQ52">
        <f t="shared" si="2"/>
        <v>17</v>
      </c>
      <c r="AR52" t="s">
        <v>87</v>
      </c>
    </row>
    <row r="53" spans="1:44" x14ac:dyDescent="0.25">
      <c r="A53">
        <v>91</v>
      </c>
      <c r="B53" t="str">
        <f t="shared" si="0"/>
        <v>5-10 years</v>
      </c>
      <c r="C53">
        <v>27</v>
      </c>
      <c r="D53" t="str" cm="1">
        <f t="array" ref="D53">_xlfn.IFS(C53&lt;26, "19-25", C53&lt;33, "26-32", C53&lt;40, "33-39", C53&lt;47, "40-46",C53&lt;54, "47-53", TRUE, "54+")</f>
        <v>26-32</v>
      </c>
      <c r="E53">
        <v>537546</v>
      </c>
      <c r="F53" s="1">
        <v>34566</v>
      </c>
      <c r="G53" t="s">
        <v>88</v>
      </c>
      <c r="H53" t="s">
        <v>74</v>
      </c>
      <c r="I53">
        <v>2000</v>
      </c>
      <c r="J53">
        <v>1073.83</v>
      </c>
      <c r="K53">
        <v>0</v>
      </c>
      <c r="L53">
        <v>609930</v>
      </c>
      <c r="M53" t="s">
        <v>75</v>
      </c>
      <c r="N53" t="s">
        <v>166</v>
      </c>
      <c r="O53" t="s">
        <v>194</v>
      </c>
      <c r="P53" t="s">
        <v>178</v>
      </c>
      <c r="Q53" t="s">
        <v>50</v>
      </c>
      <c r="R53">
        <v>0</v>
      </c>
      <c r="S53">
        <v>0</v>
      </c>
      <c r="T53" s="1">
        <v>42021</v>
      </c>
      <c r="U53" t="s">
        <v>66</v>
      </c>
      <c r="V53" t="s">
        <v>67</v>
      </c>
      <c r="W53" t="s">
        <v>217</v>
      </c>
      <c r="X53" t="s">
        <v>98</v>
      </c>
      <c r="Y53" t="s">
        <v>82</v>
      </c>
      <c r="Z53" t="s">
        <v>92</v>
      </c>
      <c r="AA53" t="s">
        <v>223</v>
      </c>
      <c r="AB53">
        <v>4</v>
      </c>
      <c r="AC53" t="str">
        <f t="shared" si="1"/>
        <v>Night</v>
      </c>
      <c r="AD53">
        <v>1</v>
      </c>
      <c r="AE53" t="s">
        <v>67</v>
      </c>
      <c r="AF53">
        <v>1</v>
      </c>
      <c r="AG53">
        <v>2</v>
      </c>
      <c r="AH53" t="s">
        <v>67</v>
      </c>
      <c r="AI53">
        <v>7260</v>
      </c>
      <c r="AJ53">
        <v>1320</v>
      </c>
      <c r="AK53">
        <v>660</v>
      </c>
      <c r="AL53">
        <v>5280</v>
      </c>
      <c r="AM53" t="s">
        <v>192</v>
      </c>
      <c r="AN53" t="s">
        <v>206</v>
      </c>
      <c r="AO53">
        <v>2015</v>
      </c>
      <c r="AP53">
        <v>2008</v>
      </c>
      <c r="AQ53">
        <f t="shared" si="2"/>
        <v>7</v>
      </c>
      <c r="AR53" t="s">
        <v>87</v>
      </c>
    </row>
    <row r="54" spans="1:44" x14ac:dyDescent="0.25">
      <c r="A54">
        <v>217</v>
      </c>
      <c r="B54" t="str">
        <f t="shared" si="0"/>
        <v>10+ years</v>
      </c>
      <c r="C54">
        <v>39</v>
      </c>
      <c r="D54" t="str" cm="1">
        <f t="array" ref="D54">_xlfn.IFS(C54&lt;26, "19-25", C54&lt;33, "26-32", C54&lt;40, "33-39", C54&lt;47, "40-46",C54&lt;54, "47-53", TRUE, "54+")</f>
        <v>33-39</v>
      </c>
      <c r="E54">
        <v>394975</v>
      </c>
      <c r="F54" s="1">
        <v>37409</v>
      </c>
      <c r="G54" t="s">
        <v>62</v>
      </c>
      <c r="H54" t="s">
        <v>74</v>
      </c>
      <c r="I54">
        <v>1000</v>
      </c>
      <c r="J54">
        <v>1530.52</v>
      </c>
      <c r="K54">
        <v>0</v>
      </c>
      <c r="L54">
        <v>603993</v>
      </c>
      <c r="M54" t="s">
        <v>46</v>
      </c>
      <c r="N54" t="s">
        <v>146</v>
      </c>
      <c r="O54" t="s">
        <v>89</v>
      </c>
      <c r="P54" t="s">
        <v>184</v>
      </c>
      <c r="Q54" t="s">
        <v>147</v>
      </c>
      <c r="R54">
        <v>0</v>
      </c>
      <c r="S54">
        <v>0</v>
      </c>
      <c r="T54" s="1">
        <v>42057</v>
      </c>
      <c r="U54" t="s">
        <v>66</v>
      </c>
      <c r="V54" t="s">
        <v>67</v>
      </c>
      <c r="W54" t="s">
        <v>68</v>
      </c>
      <c r="X54" t="s">
        <v>98</v>
      </c>
      <c r="Y54" t="s">
        <v>118</v>
      </c>
      <c r="Z54" t="s">
        <v>132</v>
      </c>
      <c r="AA54" t="s">
        <v>224</v>
      </c>
      <c r="AB54">
        <v>8</v>
      </c>
      <c r="AC54" t="str">
        <f t="shared" si="1"/>
        <v>Morning</v>
      </c>
      <c r="AD54">
        <v>1</v>
      </c>
      <c r="AE54" t="s">
        <v>67</v>
      </c>
      <c r="AF54">
        <v>2</v>
      </c>
      <c r="AG54">
        <v>1</v>
      </c>
      <c r="AH54" t="s">
        <v>58</v>
      </c>
      <c r="AI54">
        <v>4300</v>
      </c>
      <c r="AJ54">
        <v>430</v>
      </c>
      <c r="AK54">
        <v>430</v>
      </c>
      <c r="AL54">
        <v>3440</v>
      </c>
      <c r="AM54" t="s">
        <v>120</v>
      </c>
      <c r="AN54" t="s">
        <v>188</v>
      </c>
      <c r="AO54">
        <v>2015</v>
      </c>
      <c r="AP54">
        <v>2000</v>
      </c>
      <c r="AQ54">
        <f t="shared" si="2"/>
        <v>15</v>
      </c>
      <c r="AR54" t="s">
        <v>87</v>
      </c>
    </row>
    <row r="55" spans="1:44" x14ac:dyDescent="0.25">
      <c r="A55">
        <v>223</v>
      </c>
      <c r="B55" t="str">
        <f t="shared" si="0"/>
        <v>10+ years</v>
      </c>
      <c r="C55">
        <v>40</v>
      </c>
      <c r="D55" t="str" cm="1">
        <f t="array" ref="D55">_xlfn.IFS(C55&lt;26, "19-25", C55&lt;33, "26-32", C55&lt;40, "33-39", C55&lt;47, "40-46",C55&lt;54, "47-53", TRUE, "54+")</f>
        <v>40-46</v>
      </c>
      <c r="E55">
        <v>729634</v>
      </c>
      <c r="F55" s="1">
        <v>34452</v>
      </c>
      <c r="G55" t="s">
        <v>62</v>
      </c>
      <c r="H55" t="s">
        <v>74</v>
      </c>
      <c r="I55">
        <v>500</v>
      </c>
      <c r="J55">
        <v>1201.4100000000001</v>
      </c>
      <c r="K55">
        <v>0</v>
      </c>
      <c r="L55">
        <v>437818</v>
      </c>
      <c r="M55" t="s">
        <v>75</v>
      </c>
      <c r="N55" t="s">
        <v>166</v>
      </c>
      <c r="O55" t="s">
        <v>122</v>
      </c>
      <c r="P55" t="s">
        <v>151</v>
      </c>
      <c r="Q55" t="s">
        <v>50</v>
      </c>
      <c r="R55">
        <v>88400</v>
      </c>
      <c r="S55">
        <v>-46500</v>
      </c>
      <c r="T55" s="1">
        <v>42031</v>
      </c>
      <c r="U55" t="s">
        <v>80</v>
      </c>
      <c r="V55" t="s">
        <v>52</v>
      </c>
      <c r="W55" t="s">
        <v>53</v>
      </c>
      <c r="X55" t="s">
        <v>54</v>
      </c>
      <c r="Y55" t="s">
        <v>126</v>
      </c>
      <c r="Z55" t="s">
        <v>56</v>
      </c>
      <c r="AA55" t="s">
        <v>225</v>
      </c>
      <c r="AB55">
        <v>7</v>
      </c>
      <c r="AC55" t="str">
        <f t="shared" si="1"/>
        <v>Morning</v>
      </c>
      <c r="AD55">
        <v>3</v>
      </c>
      <c r="AE55" t="s">
        <v>58</v>
      </c>
      <c r="AF55">
        <v>1</v>
      </c>
      <c r="AG55">
        <v>0</v>
      </c>
      <c r="AH55" t="s">
        <v>67</v>
      </c>
      <c r="AI55">
        <v>70510</v>
      </c>
      <c r="AJ55">
        <v>12820</v>
      </c>
      <c r="AK55">
        <v>12820</v>
      </c>
      <c r="AL55">
        <v>44870</v>
      </c>
      <c r="AM55" t="s">
        <v>158</v>
      </c>
      <c r="AN55" t="s">
        <v>172</v>
      </c>
      <c r="AO55">
        <v>2015</v>
      </c>
      <c r="AP55">
        <v>1999</v>
      </c>
      <c r="AQ55">
        <f t="shared" si="2"/>
        <v>16</v>
      </c>
      <c r="AR55" t="s">
        <v>87</v>
      </c>
    </row>
    <row r="56" spans="1:44" x14ac:dyDescent="0.25">
      <c r="A56">
        <v>195</v>
      </c>
      <c r="B56" t="str">
        <f t="shared" si="0"/>
        <v>10+ years</v>
      </c>
      <c r="C56">
        <v>39</v>
      </c>
      <c r="D56" t="str" cm="1">
        <f t="array" ref="D56">_xlfn.IFS(C56&lt;26, "19-25", C56&lt;33, "26-32", C56&lt;40, "33-39", C56&lt;47, "40-46",C56&lt;54, "47-53", TRUE, "54+")</f>
        <v>33-39</v>
      </c>
      <c r="E56">
        <v>282195</v>
      </c>
      <c r="F56" s="1">
        <v>41868</v>
      </c>
      <c r="G56" t="s">
        <v>44</v>
      </c>
      <c r="H56" t="s">
        <v>45</v>
      </c>
      <c r="I56">
        <v>1000</v>
      </c>
      <c r="J56">
        <v>1393.57</v>
      </c>
      <c r="K56">
        <v>0</v>
      </c>
      <c r="L56">
        <v>478423</v>
      </c>
      <c r="M56" t="s">
        <v>46</v>
      </c>
      <c r="N56" t="s">
        <v>76</v>
      </c>
      <c r="O56" t="s">
        <v>63</v>
      </c>
      <c r="P56" t="s">
        <v>151</v>
      </c>
      <c r="Q56" t="s">
        <v>147</v>
      </c>
      <c r="R56">
        <v>47600</v>
      </c>
      <c r="S56">
        <v>-39600</v>
      </c>
      <c r="T56" s="1">
        <v>42062</v>
      </c>
      <c r="U56" t="s">
        <v>143</v>
      </c>
      <c r="V56" t="s">
        <v>67</v>
      </c>
      <c r="W56" t="s">
        <v>68</v>
      </c>
      <c r="X56" t="s">
        <v>54</v>
      </c>
      <c r="Y56" t="s">
        <v>69</v>
      </c>
      <c r="Z56" t="s">
        <v>132</v>
      </c>
      <c r="AA56" t="s">
        <v>226</v>
      </c>
      <c r="AB56">
        <v>5</v>
      </c>
      <c r="AC56" t="str">
        <f t="shared" si="1"/>
        <v>Night</v>
      </c>
      <c r="AD56">
        <v>1</v>
      </c>
      <c r="AE56" t="s">
        <v>84</v>
      </c>
      <c r="AF56">
        <v>0</v>
      </c>
      <c r="AG56">
        <v>1</v>
      </c>
      <c r="AH56" t="s">
        <v>58</v>
      </c>
      <c r="AI56">
        <v>2640</v>
      </c>
      <c r="AJ56">
        <v>480</v>
      </c>
      <c r="AK56">
        <v>480</v>
      </c>
      <c r="AL56">
        <v>1680</v>
      </c>
      <c r="AM56" t="s">
        <v>134</v>
      </c>
      <c r="AN56" t="s">
        <v>135</v>
      </c>
      <c r="AO56">
        <v>2015</v>
      </c>
      <c r="AP56">
        <v>2009</v>
      </c>
      <c r="AQ56">
        <f t="shared" si="2"/>
        <v>6</v>
      </c>
      <c r="AR56" t="s">
        <v>87</v>
      </c>
    </row>
    <row r="57" spans="1:44" x14ac:dyDescent="0.25">
      <c r="A57">
        <v>22</v>
      </c>
      <c r="B57" t="str">
        <f t="shared" si="0"/>
        <v>0-2 years</v>
      </c>
      <c r="C57">
        <v>26</v>
      </c>
      <c r="D57" t="str" cm="1">
        <f t="array" ref="D57">_xlfn.IFS(C57&lt;26, "19-25", C57&lt;33, "26-32", C57&lt;40, "33-39", C57&lt;47, "40-46",C57&lt;54, "47-53", TRUE, "54+")</f>
        <v>26-32</v>
      </c>
      <c r="E57">
        <v>420810</v>
      </c>
      <c r="F57" s="1">
        <v>39305</v>
      </c>
      <c r="G57" t="s">
        <v>44</v>
      </c>
      <c r="H57" t="s">
        <v>74</v>
      </c>
      <c r="I57">
        <v>1000</v>
      </c>
      <c r="J57">
        <v>1276.57</v>
      </c>
      <c r="K57">
        <v>0</v>
      </c>
      <c r="L57">
        <v>467784</v>
      </c>
      <c r="M57" t="s">
        <v>46</v>
      </c>
      <c r="N57" t="s">
        <v>76</v>
      </c>
      <c r="O57" t="s">
        <v>48</v>
      </c>
      <c r="P57" t="s">
        <v>137</v>
      </c>
      <c r="Q57" t="s">
        <v>147</v>
      </c>
      <c r="R57">
        <v>71500</v>
      </c>
      <c r="S57">
        <v>0</v>
      </c>
      <c r="T57" s="1">
        <v>42010</v>
      </c>
      <c r="U57" t="s">
        <v>51</v>
      </c>
      <c r="V57" t="s">
        <v>81</v>
      </c>
      <c r="W57" t="s">
        <v>68</v>
      </c>
      <c r="X57" t="s">
        <v>104</v>
      </c>
      <c r="Y57" t="s">
        <v>82</v>
      </c>
      <c r="Z57" t="s">
        <v>92</v>
      </c>
      <c r="AA57" t="s">
        <v>227</v>
      </c>
      <c r="AB57">
        <v>3</v>
      </c>
      <c r="AC57" t="str">
        <f t="shared" si="1"/>
        <v>Night</v>
      </c>
      <c r="AD57">
        <v>1</v>
      </c>
      <c r="AE57" t="s">
        <v>58</v>
      </c>
      <c r="AF57">
        <v>1</v>
      </c>
      <c r="AG57">
        <v>2</v>
      </c>
      <c r="AH57" t="s">
        <v>84</v>
      </c>
      <c r="AI57">
        <v>78900</v>
      </c>
      <c r="AJ57">
        <v>15780</v>
      </c>
      <c r="AK57">
        <v>7890</v>
      </c>
      <c r="AL57">
        <v>55230</v>
      </c>
      <c r="AM57" t="s">
        <v>94</v>
      </c>
      <c r="AN57" t="s">
        <v>228</v>
      </c>
      <c r="AO57">
        <v>2015</v>
      </c>
      <c r="AP57">
        <v>1995</v>
      </c>
      <c r="AQ57">
        <f t="shared" si="2"/>
        <v>20</v>
      </c>
      <c r="AR57" t="s">
        <v>87</v>
      </c>
    </row>
    <row r="58" spans="1:44" x14ac:dyDescent="0.25">
      <c r="A58">
        <v>439</v>
      </c>
      <c r="B58" t="str">
        <f t="shared" si="0"/>
        <v>10+ years</v>
      </c>
      <c r="C58">
        <v>56</v>
      </c>
      <c r="D58" t="str" cm="1">
        <f t="array" ref="D58">_xlfn.IFS(C58&lt;26, "19-25", C58&lt;33, "26-32", C58&lt;40, "33-39", C58&lt;47, "40-46",C58&lt;54, "47-53", TRUE, "54+")</f>
        <v>54+</v>
      </c>
      <c r="E58">
        <v>524836</v>
      </c>
      <c r="F58" s="1">
        <v>39772</v>
      </c>
      <c r="G58" t="s">
        <v>62</v>
      </c>
      <c r="H58" t="s">
        <v>45</v>
      </c>
      <c r="I58">
        <v>500</v>
      </c>
      <c r="J58">
        <v>1082.49</v>
      </c>
      <c r="K58">
        <v>0</v>
      </c>
      <c r="L58">
        <v>606714</v>
      </c>
      <c r="M58" t="s">
        <v>75</v>
      </c>
      <c r="N58" t="s">
        <v>76</v>
      </c>
      <c r="O58" t="s">
        <v>106</v>
      </c>
      <c r="P58" t="s">
        <v>173</v>
      </c>
      <c r="Q58" t="s">
        <v>90</v>
      </c>
      <c r="R58">
        <v>36100</v>
      </c>
      <c r="S58">
        <v>-55000</v>
      </c>
      <c r="T58" s="1">
        <v>42063</v>
      </c>
      <c r="U58" t="s">
        <v>80</v>
      </c>
      <c r="V58" t="s">
        <v>91</v>
      </c>
      <c r="W58" t="s">
        <v>53</v>
      </c>
      <c r="X58" t="s">
        <v>104</v>
      </c>
      <c r="Y58" t="s">
        <v>55</v>
      </c>
      <c r="Z58" t="s">
        <v>56</v>
      </c>
      <c r="AA58" t="s">
        <v>229</v>
      </c>
      <c r="AB58">
        <v>12</v>
      </c>
      <c r="AC58" t="str">
        <f t="shared" si="1"/>
        <v>Afternoon</v>
      </c>
      <c r="AD58">
        <v>3</v>
      </c>
      <c r="AE58" t="s">
        <v>67</v>
      </c>
      <c r="AF58">
        <v>2</v>
      </c>
      <c r="AG58">
        <v>3</v>
      </c>
      <c r="AH58" t="s">
        <v>67</v>
      </c>
      <c r="AI58">
        <v>56430</v>
      </c>
      <c r="AJ58">
        <v>0</v>
      </c>
      <c r="AK58">
        <v>6270</v>
      </c>
      <c r="AL58">
        <v>50160</v>
      </c>
      <c r="AM58" t="s">
        <v>214</v>
      </c>
      <c r="AN58" t="s">
        <v>230</v>
      </c>
      <c r="AO58">
        <v>2015</v>
      </c>
      <c r="AP58">
        <v>2014</v>
      </c>
      <c r="AQ58">
        <f t="shared" si="2"/>
        <v>1</v>
      </c>
      <c r="AR58" t="s">
        <v>87</v>
      </c>
    </row>
    <row r="59" spans="1:44" x14ac:dyDescent="0.25">
      <c r="A59">
        <v>94</v>
      </c>
      <c r="B59" t="str">
        <f t="shared" si="0"/>
        <v>5-10 years</v>
      </c>
      <c r="C59">
        <v>32</v>
      </c>
      <c r="D59" t="str" cm="1">
        <f t="array" ref="D59">_xlfn.IFS(C59&lt;26, "19-25", C59&lt;33, "26-32", C59&lt;40, "33-39", C59&lt;47, "40-46",C59&lt;54, "47-53", TRUE, "54+")</f>
        <v>26-32</v>
      </c>
      <c r="E59">
        <v>307195</v>
      </c>
      <c r="F59" s="1">
        <v>34990</v>
      </c>
      <c r="G59" t="s">
        <v>62</v>
      </c>
      <c r="H59" t="s">
        <v>96</v>
      </c>
      <c r="I59">
        <v>1000</v>
      </c>
      <c r="J59">
        <v>1414.74</v>
      </c>
      <c r="K59">
        <v>0</v>
      </c>
      <c r="L59">
        <v>464691</v>
      </c>
      <c r="M59" t="s">
        <v>75</v>
      </c>
      <c r="N59" t="s">
        <v>129</v>
      </c>
      <c r="O59" t="s">
        <v>190</v>
      </c>
      <c r="P59" t="s">
        <v>154</v>
      </c>
      <c r="Q59" t="s">
        <v>79</v>
      </c>
      <c r="R59">
        <v>0</v>
      </c>
      <c r="S59">
        <v>0</v>
      </c>
      <c r="T59" s="1">
        <v>42057</v>
      </c>
      <c r="U59" t="s">
        <v>143</v>
      </c>
      <c r="V59" t="s">
        <v>67</v>
      </c>
      <c r="W59" t="s">
        <v>68</v>
      </c>
      <c r="X59" t="s">
        <v>98</v>
      </c>
      <c r="Y59" t="s">
        <v>69</v>
      </c>
      <c r="Z59" t="s">
        <v>70</v>
      </c>
      <c r="AA59" t="s">
        <v>231</v>
      </c>
      <c r="AB59">
        <v>19</v>
      </c>
      <c r="AC59" t="str">
        <f t="shared" si="1"/>
        <v>Evening</v>
      </c>
      <c r="AD59">
        <v>1</v>
      </c>
      <c r="AE59" t="s">
        <v>84</v>
      </c>
      <c r="AF59">
        <v>1</v>
      </c>
      <c r="AG59">
        <v>3</v>
      </c>
      <c r="AH59" t="s">
        <v>84</v>
      </c>
      <c r="AI59">
        <v>2400</v>
      </c>
      <c r="AJ59">
        <v>300</v>
      </c>
      <c r="AK59">
        <v>300</v>
      </c>
      <c r="AL59">
        <v>1800</v>
      </c>
      <c r="AM59" t="s">
        <v>94</v>
      </c>
      <c r="AN59" t="s">
        <v>228</v>
      </c>
      <c r="AO59">
        <v>2015</v>
      </c>
      <c r="AP59">
        <v>2014</v>
      </c>
      <c r="AQ59">
        <f t="shared" si="2"/>
        <v>1</v>
      </c>
      <c r="AR59" t="s">
        <v>87</v>
      </c>
    </row>
    <row r="60" spans="1:44" x14ac:dyDescent="0.25">
      <c r="A60">
        <v>11</v>
      </c>
      <c r="B60" t="str">
        <f t="shared" si="0"/>
        <v>0-2 years</v>
      </c>
      <c r="C60">
        <v>39</v>
      </c>
      <c r="D60" t="str" cm="1">
        <f t="array" ref="D60">_xlfn.IFS(C60&lt;26, "19-25", C60&lt;33, "26-32", C60&lt;40, "33-39", C60&lt;47, "40-46",C60&lt;54, "47-53", TRUE, "54+")</f>
        <v>33-39</v>
      </c>
      <c r="E60">
        <v>623648</v>
      </c>
      <c r="F60" s="1">
        <v>34108</v>
      </c>
      <c r="G60" t="s">
        <v>88</v>
      </c>
      <c r="H60" t="s">
        <v>45</v>
      </c>
      <c r="I60">
        <v>2000</v>
      </c>
      <c r="J60">
        <v>1470.06</v>
      </c>
      <c r="K60">
        <v>0</v>
      </c>
      <c r="L60">
        <v>431683</v>
      </c>
      <c r="M60" t="s">
        <v>46</v>
      </c>
      <c r="N60" t="s">
        <v>76</v>
      </c>
      <c r="O60" t="s">
        <v>116</v>
      </c>
      <c r="P60" t="s">
        <v>160</v>
      </c>
      <c r="Q60" t="s">
        <v>50</v>
      </c>
      <c r="R60">
        <v>56600</v>
      </c>
      <c r="S60">
        <v>-45800</v>
      </c>
      <c r="T60" s="1">
        <v>42011</v>
      </c>
      <c r="U60" t="s">
        <v>51</v>
      </c>
      <c r="V60" t="s">
        <v>91</v>
      </c>
      <c r="W60" t="s">
        <v>112</v>
      </c>
      <c r="X60" t="s">
        <v>141</v>
      </c>
      <c r="Y60" t="s">
        <v>118</v>
      </c>
      <c r="Z60" t="s">
        <v>70</v>
      </c>
      <c r="AA60" t="s">
        <v>232</v>
      </c>
      <c r="AB60">
        <v>22</v>
      </c>
      <c r="AC60" t="str">
        <f t="shared" si="1"/>
        <v>Evening</v>
      </c>
      <c r="AD60">
        <v>1</v>
      </c>
      <c r="AE60" t="s">
        <v>58</v>
      </c>
      <c r="AF60">
        <v>0</v>
      </c>
      <c r="AG60">
        <v>1</v>
      </c>
      <c r="AH60" t="s">
        <v>84</v>
      </c>
      <c r="AI60">
        <v>65790</v>
      </c>
      <c r="AJ60">
        <v>7310</v>
      </c>
      <c r="AK60">
        <v>7310</v>
      </c>
      <c r="AL60">
        <v>51170</v>
      </c>
      <c r="AM60" t="s">
        <v>59</v>
      </c>
      <c r="AN60">
        <v>93</v>
      </c>
      <c r="AO60">
        <v>2015</v>
      </c>
      <c r="AP60">
        <v>2007</v>
      </c>
      <c r="AQ60">
        <f t="shared" si="2"/>
        <v>8</v>
      </c>
      <c r="AR60" t="s">
        <v>87</v>
      </c>
    </row>
    <row r="61" spans="1:44" x14ac:dyDescent="0.25">
      <c r="A61">
        <v>151</v>
      </c>
      <c r="B61" t="str">
        <f t="shared" si="0"/>
        <v>10+ years</v>
      </c>
      <c r="C61">
        <v>36</v>
      </c>
      <c r="D61" t="str" cm="1">
        <f t="array" ref="D61">_xlfn.IFS(C61&lt;26, "19-25", C61&lt;33, "26-32", C61&lt;40, "33-39", C61&lt;47, "40-46",C61&lt;54, "47-53", TRUE, "54+")</f>
        <v>33-39</v>
      </c>
      <c r="E61">
        <v>485372</v>
      </c>
      <c r="F61" s="1">
        <v>38409</v>
      </c>
      <c r="G61" t="s">
        <v>44</v>
      </c>
      <c r="H61" t="s">
        <v>45</v>
      </c>
      <c r="I61">
        <v>2000</v>
      </c>
      <c r="J61">
        <v>870.63</v>
      </c>
      <c r="K61">
        <v>0</v>
      </c>
      <c r="L61">
        <v>431725</v>
      </c>
      <c r="M61" t="s">
        <v>75</v>
      </c>
      <c r="N61" t="s">
        <v>47</v>
      </c>
      <c r="O61" t="s">
        <v>190</v>
      </c>
      <c r="P61" t="s">
        <v>175</v>
      </c>
      <c r="Q61" t="s">
        <v>79</v>
      </c>
      <c r="R61">
        <v>94800</v>
      </c>
      <c r="S61">
        <v>-58500</v>
      </c>
      <c r="T61" s="1">
        <v>42010</v>
      </c>
      <c r="U61" t="s">
        <v>80</v>
      </c>
      <c r="V61" t="s">
        <v>52</v>
      </c>
      <c r="W61" t="s">
        <v>68</v>
      </c>
      <c r="X61" t="s">
        <v>54</v>
      </c>
      <c r="Y61" t="s">
        <v>69</v>
      </c>
      <c r="Z61" t="s">
        <v>127</v>
      </c>
      <c r="AA61" t="s">
        <v>233</v>
      </c>
      <c r="AB61">
        <v>12</v>
      </c>
      <c r="AC61" t="str">
        <f t="shared" si="1"/>
        <v>Afternoon</v>
      </c>
      <c r="AD61">
        <v>3</v>
      </c>
      <c r="AE61" t="s">
        <v>84</v>
      </c>
      <c r="AF61">
        <v>1</v>
      </c>
      <c r="AG61">
        <v>1</v>
      </c>
      <c r="AH61" t="s">
        <v>84</v>
      </c>
      <c r="AI61">
        <v>62920</v>
      </c>
      <c r="AJ61">
        <v>11440</v>
      </c>
      <c r="AK61">
        <v>5720</v>
      </c>
      <c r="AL61">
        <v>45760</v>
      </c>
      <c r="AM61" t="s">
        <v>134</v>
      </c>
      <c r="AN61" t="s">
        <v>177</v>
      </c>
      <c r="AO61">
        <v>2015</v>
      </c>
      <c r="AP61">
        <v>2000</v>
      </c>
      <c r="AQ61">
        <f t="shared" si="2"/>
        <v>15</v>
      </c>
      <c r="AR61" t="s">
        <v>87</v>
      </c>
    </row>
    <row r="62" spans="1:44" x14ac:dyDescent="0.25">
      <c r="A62">
        <v>154</v>
      </c>
      <c r="B62" t="str">
        <f t="shared" si="0"/>
        <v>10+ years</v>
      </c>
      <c r="C62">
        <v>34</v>
      </c>
      <c r="D62" t="str" cm="1">
        <f t="array" ref="D62">_xlfn.IFS(C62&lt;26, "19-25", C62&lt;33, "26-32", C62&lt;40, "33-39", C62&lt;47, "40-46",C62&lt;54, "47-53", TRUE, "54+")</f>
        <v>33-39</v>
      </c>
      <c r="E62">
        <v>598554</v>
      </c>
      <c r="F62" s="1">
        <v>32918</v>
      </c>
      <c r="G62" t="s">
        <v>62</v>
      </c>
      <c r="H62" t="s">
        <v>74</v>
      </c>
      <c r="I62">
        <v>500</v>
      </c>
      <c r="J62">
        <v>795.23</v>
      </c>
      <c r="K62">
        <v>0</v>
      </c>
      <c r="L62">
        <v>609216</v>
      </c>
      <c r="M62" t="s">
        <v>46</v>
      </c>
      <c r="N62" t="s">
        <v>76</v>
      </c>
      <c r="O62" t="s">
        <v>63</v>
      </c>
      <c r="P62" t="s">
        <v>111</v>
      </c>
      <c r="Q62" t="s">
        <v>65</v>
      </c>
      <c r="R62">
        <v>36900</v>
      </c>
      <c r="S62">
        <v>0</v>
      </c>
      <c r="T62" s="1">
        <v>42014</v>
      </c>
      <c r="U62" t="s">
        <v>80</v>
      </c>
      <c r="V62" t="s">
        <v>81</v>
      </c>
      <c r="W62" t="s">
        <v>53</v>
      </c>
      <c r="X62" t="s">
        <v>54</v>
      </c>
      <c r="Y62" t="s">
        <v>82</v>
      </c>
      <c r="Z62" t="s">
        <v>107</v>
      </c>
      <c r="AA62" t="s">
        <v>234</v>
      </c>
      <c r="AB62">
        <v>15</v>
      </c>
      <c r="AC62" t="str">
        <f t="shared" si="1"/>
        <v>Afternoon</v>
      </c>
      <c r="AD62">
        <v>3</v>
      </c>
      <c r="AE62" t="s">
        <v>58</v>
      </c>
      <c r="AF62">
        <v>2</v>
      </c>
      <c r="AG62">
        <v>1</v>
      </c>
      <c r="AH62" t="s">
        <v>67</v>
      </c>
      <c r="AI62">
        <v>69480</v>
      </c>
      <c r="AJ62">
        <v>15440</v>
      </c>
      <c r="AK62">
        <v>0</v>
      </c>
      <c r="AL62">
        <v>54040</v>
      </c>
      <c r="AM62" t="s">
        <v>109</v>
      </c>
      <c r="AN62" t="s">
        <v>156</v>
      </c>
      <c r="AO62">
        <v>2015</v>
      </c>
      <c r="AP62">
        <v>2014</v>
      </c>
      <c r="AQ62">
        <f t="shared" si="2"/>
        <v>1</v>
      </c>
      <c r="AR62" t="s">
        <v>61</v>
      </c>
    </row>
    <row r="63" spans="1:44" x14ac:dyDescent="0.25">
      <c r="A63">
        <v>245</v>
      </c>
      <c r="B63" t="str">
        <f t="shared" si="0"/>
        <v>10+ years</v>
      </c>
      <c r="C63">
        <v>44</v>
      </c>
      <c r="D63" t="str" cm="1">
        <f t="array" ref="D63">_xlfn.IFS(C63&lt;26, "19-25", C63&lt;33, "26-32", C63&lt;40, "33-39", C63&lt;47, "40-46",C63&lt;54, "47-53", TRUE, "54+")</f>
        <v>40-46</v>
      </c>
      <c r="E63">
        <v>303987</v>
      </c>
      <c r="F63" s="1">
        <v>34242</v>
      </c>
      <c r="G63" t="s">
        <v>88</v>
      </c>
      <c r="H63" t="s">
        <v>96</v>
      </c>
      <c r="I63">
        <v>1000</v>
      </c>
      <c r="J63">
        <v>1168.2</v>
      </c>
      <c r="K63">
        <v>0</v>
      </c>
      <c r="L63">
        <v>452787</v>
      </c>
      <c r="M63" t="s">
        <v>46</v>
      </c>
      <c r="N63" t="s">
        <v>166</v>
      </c>
      <c r="O63" t="s">
        <v>164</v>
      </c>
      <c r="P63" t="s">
        <v>184</v>
      </c>
      <c r="Q63" t="s">
        <v>50</v>
      </c>
      <c r="R63">
        <v>69100</v>
      </c>
      <c r="S63">
        <v>0</v>
      </c>
      <c r="T63" s="1">
        <v>42046</v>
      </c>
      <c r="U63" t="s">
        <v>80</v>
      </c>
      <c r="V63" t="s">
        <v>52</v>
      </c>
      <c r="W63" t="s">
        <v>112</v>
      </c>
      <c r="X63" t="s">
        <v>125</v>
      </c>
      <c r="Y63" t="s">
        <v>44</v>
      </c>
      <c r="Z63" t="s">
        <v>107</v>
      </c>
      <c r="AA63" t="s">
        <v>235</v>
      </c>
      <c r="AB63">
        <v>23</v>
      </c>
      <c r="AC63" t="str">
        <f t="shared" si="1"/>
        <v>Evening</v>
      </c>
      <c r="AD63">
        <v>3</v>
      </c>
      <c r="AE63" t="s">
        <v>84</v>
      </c>
      <c r="AF63">
        <v>0</v>
      </c>
      <c r="AG63">
        <v>3</v>
      </c>
      <c r="AH63" t="s">
        <v>84</v>
      </c>
      <c r="AI63">
        <v>44280</v>
      </c>
      <c r="AJ63">
        <v>7380</v>
      </c>
      <c r="AK63">
        <v>3690</v>
      </c>
      <c r="AL63">
        <v>33210</v>
      </c>
      <c r="AM63" t="s">
        <v>214</v>
      </c>
      <c r="AN63" t="s">
        <v>236</v>
      </c>
      <c r="AO63">
        <v>2015</v>
      </c>
      <c r="AP63">
        <v>1997</v>
      </c>
      <c r="AQ63">
        <f t="shared" si="2"/>
        <v>18</v>
      </c>
      <c r="AR63" t="s">
        <v>87</v>
      </c>
    </row>
    <row r="64" spans="1:44" x14ac:dyDescent="0.25">
      <c r="A64">
        <v>119</v>
      </c>
      <c r="B64" t="str">
        <f t="shared" si="0"/>
        <v>5-10 years</v>
      </c>
      <c r="C64">
        <v>32</v>
      </c>
      <c r="D64" t="str" cm="1">
        <f t="array" ref="D64">_xlfn.IFS(C64&lt;26, "19-25", C64&lt;33, "26-32", C64&lt;40, "33-39", C64&lt;47, "40-46",C64&lt;54, "47-53", TRUE, "54+")</f>
        <v>26-32</v>
      </c>
      <c r="E64">
        <v>343161</v>
      </c>
      <c r="F64" s="1">
        <v>41800</v>
      </c>
      <c r="G64" t="s">
        <v>88</v>
      </c>
      <c r="H64" t="s">
        <v>96</v>
      </c>
      <c r="I64">
        <v>1000</v>
      </c>
      <c r="J64">
        <v>993.51</v>
      </c>
      <c r="K64">
        <v>0</v>
      </c>
      <c r="L64">
        <v>468767</v>
      </c>
      <c r="M64" t="s">
        <v>46</v>
      </c>
      <c r="N64" t="s">
        <v>136</v>
      </c>
      <c r="O64" t="s">
        <v>89</v>
      </c>
      <c r="P64" t="s">
        <v>103</v>
      </c>
      <c r="Q64" t="s">
        <v>90</v>
      </c>
      <c r="R64">
        <v>0</v>
      </c>
      <c r="S64">
        <v>-49500</v>
      </c>
      <c r="T64" s="1">
        <v>42016</v>
      </c>
      <c r="U64" t="s">
        <v>51</v>
      </c>
      <c r="V64" t="s">
        <v>52</v>
      </c>
      <c r="W64" t="s">
        <v>68</v>
      </c>
      <c r="X64" t="s">
        <v>125</v>
      </c>
      <c r="Y64" t="s">
        <v>118</v>
      </c>
      <c r="Z64" t="s">
        <v>127</v>
      </c>
      <c r="AA64" t="s">
        <v>237</v>
      </c>
      <c r="AB64">
        <v>12</v>
      </c>
      <c r="AC64" t="str">
        <f t="shared" si="1"/>
        <v>Afternoon</v>
      </c>
      <c r="AD64">
        <v>1</v>
      </c>
      <c r="AE64" t="s">
        <v>84</v>
      </c>
      <c r="AF64">
        <v>0</v>
      </c>
      <c r="AG64">
        <v>3</v>
      </c>
      <c r="AH64" t="s">
        <v>58</v>
      </c>
      <c r="AI64">
        <v>56300</v>
      </c>
      <c r="AJ64">
        <v>5630</v>
      </c>
      <c r="AK64">
        <v>11260</v>
      </c>
      <c r="AL64">
        <v>39410</v>
      </c>
      <c r="AM64" t="s">
        <v>192</v>
      </c>
      <c r="AN64" t="s">
        <v>206</v>
      </c>
      <c r="AO64">
        <v>2015</v>
      </c>
      <c r="AP64">
        <v>2011</v>
      </c>
      <c r="AQ64">
        <f t="shared" si="2"/>
        <v>4</v>
      </c>
      <c r="AR64" t="s">
        <v>87</v>
      </c>
    </row>
    <row r="65" spans="1:44" x14ac:dyDescent="0.25">
      <c r="A65">
        <v>215</v>
      </c>
      <c r="B65" t="str">
        <f t="shared" si="0"/>
        <v>10+ years</v>
      </c>
      <c r="C65">
        <v>42</v>
      </c>
      <c r="D65" t="str" cm="1">
        <f t="array" ref="D65">_xlfn.IFS(C65&lt;26, "19-25", C65&lt;33, "26-32", C65&lt;40, "33-39", C65&lt;47, "40-46",C65&lt;54, "47-53", TRUE, "54+")</f>
        <v>40-46</v>
      </c>
      <c r="E65">
        <v>519312</v>
      </c>
      <c r="F65" s="1">
        <v>39749</v>
      </c>
      <c r="G65" t="s">
        <v>44</v>
      </c>
      <c r="H65" t="s">
        <v>96</v>
      </c>
      <c r="I65">
        <v>500</v>
      </c>
      <c r="J65">
        <v>1848.81</v>
      </c>
      <c r="K65">
        <v>0</v>
      </c>
      <c r="L65">
        <v>435489</v>
      </c>
      <c r="M65" t="s">
        <v>46</v>
      </c>
      <c r="N65" t="s">
        <v>166</v>
      </c>
      <c r="O65" t="s">
        <v>150</v>
      </c>
      <c r="P65" t="s">
        <v>186</v>
      </c>
      <c r="Q65" t="s">
        <v>79</v>
      </c>
      <c r="R65">
        <v>0</v>
      </c>
      <c r="S65">
        <v>-49000</v>
      </c>
      <c r="T65" s="1">
        <v>42041</v>
      </c>
      <c r="U65" t="s">
        <v>80</v>
      </c>
      <c r="V65" t="s">
        <v>91</v>
      </c>
      <c r="W65" t="s">
        <v>53</v>
      </c>
      <c r="X65" t="s">
        <v>104</v>
      </c>
      <c r="Y65" t="s">
        <v>118</v>
      </c>
      <c r="Z65" t="s">
        <v>132</v>
      </c>
      <c r="AA65" t="s">
        <v>238</v>
      </c>
      <c r="AB65">
        <v>20</v>
      </c>
      <c r="AC65" t="str">
        <f t="shared" si="1"/>
        <v>Evening</v>
      </c>
      <c r="AD65">
        <v>3</v>
      </c>
      <c r="AE65" t="s">
        <v>58</v>
      </c>
      <c r="AF65">
        <v>2</v>
      </c>
      <c r="AG65">
        <v>2</v>
      </c>
      <c r="AH65" t="s">
        <v>58</v>
      </c>
      <c r="AI65">
        <v>68520</v>
      </c>
      <c r="AJ65">
        <v>11420</v>
      </c>
      <c r="AK65">
        <v>5710</v>
      </c>
      <c r="AL65">
        <v>51390</v>
      </c>
      <c r="AM65" t="s">
        <v>158</v>
      </c>
      <c r="AN65" t="s">
        <v>159</v>
      </c>
      <c r="AO65">
        <v>2015</v>
      </c>
      <c r="AP65">
        <v>2003</v>
      </c>
      <c r="AQ65">
        <f t="shared" si="2"/>
        <v>12</v>
      </c>
      <c r="AR65" t="s">
        <v>61</v>
      </c>
    </row>
    <row r="66" spans="1:44" x14ac:dyDescent="0.25">
      <c r="A66">
        <v>295</v>
      </c>
      <c r="B66" t="str">
        <f t="shared" si="0"/>
        <v>10+ years</v>
      </c>
      <c r="C66">
        <v>42</v>
      </c>
      <c r="D66" t="str" cm="1">
        <f t="array" ref="D66">_xlfn.IFS(C66&lt;26, "19-25", C66&lt;33, "26-32", C66&lt;40, "33-39", C66&lt;47, "40-46",C66&lt;54, "47-53", TRUE, "54+")</f>
        <v>40-46</v>
      </c>
      <c r="E66">
        <v>132902</v>
      </c>
      <c r="F66" s="1">
        <v>39196</v>
      </c>
      <c r="G66" t="s">
        <v>44</v>
      </c>
      <c r="H66" t="s">
        <v>45</v>
      </c>
      <c r="I66">
        <v>2000</v>
      </c>
      <c r="J66">
        <v>1641.73</v>
      </c>
      <c r="K66">
        <v>5000000</v>
      </c>
      <c r="L66">
        <v>450149</v>
      </c>
      <c r="M66" t="s">
        <v>46</v>
      </c>
      <c r="N66" t="s">
        <v>76</v>
      </c>
      <c r="O66" t="s">
        <v>77</v>
      </c>
      <c r="P66" t="s">
        <v>173</v>
      </c>
      <c r="Q66" t="s">
        <v>147</v>
      </c>
      <c r="R66">
        <v>62400</v>
      </c>
      <c r="S66">
        <v>0</v>
      </c>
      <c r="T66" s="1">
        <v>42024</v>
      </c>
      <c r="U66" t="s">
        <v>80</v>
      </c>
      <c r="V66" t="s">
        <v>81</v>
      </c>
      <c r="W66" t="s">
        <v>112</v>
      </c>
      <c r="X66" t="s">
        <v>104</v>
      </c>
      <c r="Y66" t="s">
        <v>69</v>
      </c>
      <c r="Z66" t="s">
        <v>70</v>
      </c>
      <c r="AA66" t="s">
        <v>239</v>
      </c>
      <c r="AB66">
        <v>16</v>
      </c>
      <c r="AC66" t="str">
        <f t="shared" si="1"/>
        <v>Afternoon</v>
      </c>
      <c r="AD66">
        <v>3</v>
      </c>
      <c r="AE66" t="s">
        <v>84</v>
      </c>
      <c r="AF66">
        <v>0</v>
      </c>
      <c r="AG66">
        <v>0</v>
      </c>
      <c r="AH66" t="s">
        <v>84</v>
      </c>
      <c r="AI66">
        <v>59130</v>
      </c>
      <c r="AJ66">
        <v>6570</v>
      </c>
      <c r="AK66">
        <v>6570</v>
      </c>
      <c r="AL66">
        <v>45990</v>
      </c>
      <c r="AM66" t="s">
        <v>134</v>
      </c>
      <c r="AN66" t="s">
        <v>177</v>
      </c>
      <c r="AO66">
        <v>2015</v>
      </c>
      <c r="AP66">
        <v>2006</v>
      </c>
      <c r="AQ66">
        <f t="shared" si="2"/>
        <v>9</v>
      </c>
      <c r="AR66" t="s">
        <v>61</v>
      </c>
    </row>
    <row r="67" spans="1:44" x14ac:dyDescent="0.25">
      <c r="A67">
        <v>254</v>
      </c>
      <c r="B67" t="str">
        <f t="shared" ref="B67:B130" si="3">IF(A67&lt;=24, "0-2 years", IF(A67&lt;=60, "2-5 years", IF(A67&lt;=120, "5-10 years", "10+ years")))</f>
        <v>10+ years</v>
      </c>
      <c r="C67">
        <v>39</v>
      </c>
      <c r="D67" t="str" cm="1">
        <f t="array" ref="D67">_xlfn.IFS(C67&lt;26, "19-25", C67&lt;33, "26-32", C67&lt;40, "33-39", C67&lt;47, "40-46",C67&lt;54, "47-53", TRUE, "54+")</f>
        <v>33-39</v>
      </c>
      <c r="E67">
        <v>332867</v>
      </c>
      <c r="F67" s="1">
        <v>34316</v>
      </c>
      <c r="G67" t="s">
        <v>62</v>
      </c>
      <c r="H67" t="s">
        <v>74</v>
      </c>
      <c r="I67">
        <v>500</v>
      </c>
      <c r="J67">
        <v>1362.87</v>
      </c>
      <c r="K67">
        <v>0</v>
      </c>
      <c r="L67">
        <v>458364</v>
      </c>
      <c r="M67" t="s">
        <v>75</v>
      </c>
      <c r="N67" t="s">
        <v>47</v>
      </c>
      <c r="O67" t="s">
        <v>130</v>
      </c>
      <c r="P67" t="s">
        <v>173</v>
      </c>
      <c r="Q67" t="s">
        <v>65</v>
      </c>
      <c r="R67">
        <v>35700</v>
      </c>
      <c r="S67">
        <v>0</v>
      </c>
      <c r="T67" s="1">
        <v>42057</v>
      </c>
      <c r="U67" t="s">
        <v>80</v>
      </c>
      <c r="V67" t="s">
        <v>91</v>
      </c>
      <c r="W67" t="s">
        <v>68</v>
      </c>
      <c r="X67" t="s">
        <v>141</v>
      </c>
      <c r="Y67" t="s">
        <v>82</v>
      </c>
      <c r="Z67" t="s">
        <v>92</v>
      </c>
      <c r="AA67" t="s">
        <v>240</v>
      </c>
      <c r="AB67">
        <v>6</v>
      </c>
      <c r="AC67" t="str">
        <f t="shared" ref="AC67:AC130" si="4">IF(AB67&lt;6, "Night", IF(AB67&lt;12, "Morning", IF(AB67&lt;18, "Afternoon", "Evening")))</f>
        <v>Morning</v>
      </c>
      <c r="AD67">
        <v>3</v>
      </c>
      <c r="AE67" t="s">
        <v>58</v>
      </c>
      <c r="AF67">
        <v>2</v>
      </c>
      <c r="AG67">
        <v>2</v>
      </c>
      <c r="AH67" t="s">
        <v>84</v>
      </c>
      <c r="AI67">
        <v>82320</v>
      </c>
      <c r="AJ67">
        <v>13720</v>
      </c>
      <c r="AK67">
        <v>6860</v>
      </c>
      <c r="AL67">
        <v>61740</v>
      </c>
      <c r="AM67" t="s">
        <v>85</v>
      </c>
      <c r="AN67" t="s">
        <v>149</v>
      </c>
      <c r="AO67">
        <v>2015</v>
      </c>
      <c r="AP67">
        <v>1995</v>
      </c>
      <c r="AQ67">
        <f t="shared" ref="AQ67:AQ130" si="5">AO67-AP67</f>
        <v>20</v>
      </c>
      <c r="AR67" t="s">
        <v>61</v>
      </c>
    </row>
    <row r="68" spans="1:44" x14ac:dyDescent="0.25">
      <c r="A68">
        <v>107</v>
      </c>
      <c r="B68" t="str">
        <f t="shared" si="3"/>
        <v>5-10 years</v>
      </c>
      <c r="C68">
        <v>31</v>
      </c>
      <c r="D68" t="str" cm="1">
        <f t="array" ref="D68">_xlfn.IFS(C68&lt;26, "19-25", C68&lt;33, "26-32", C68&lt;40, "33-39", C68&lt;47, "40-46",C68&lt;54, "47-53", TRUE, "54+")</f>
        <v>26-32</v>
      </c>
      <c r="E68">
        <v>356590</v>
      </c>
      <c r="F68" s="1">
        <v>40772</v>
      </c>
      <c r="G68" t="s">
        <v>62</v>
      </c>
      <c r="H68" t="s">
        <v>45</v>
      </c>
      <c r="I68">
        <v>500</v>
      </c>
      <c r="J68">
        <v>1239.22</v>
      </c>
      <c r="K68">
        <v>7000000</v>
      </c>
      <c r="L68">
        <v>476458</v>
      </c>
      <c r="M68" t="s">
        <v>75</v>
      </c>
      <c r="N68" t="s">
        <v>136</v>
      </c>
      <c r="O68" t="s">
        <v>102</v>
      </c>
      <c r="P68" t="s">
        <v>170</v>
      </c>
      <c r="Q68" t="s">
        <v>147</v>
      </c>
      <c r="R68">
        <v>43400</v>
      </c>
      <c r="S68">
        <v>-91200</v>
      </c>
      <c r="T68" s="1">
        <v>42034</v>
      </c>
      <c r="U68" t="s">
        <v>51</v>
      </c>
      <c r="V68" t="s">
        <v>52</v>
      </c>
      <c r="W68" t="s">
        <v>68</v>
      </c>
      <c r="X68" t="s">
        <v>104</v>
      </c>
      <c r="Y68" t="s">
        <v>55</v>
      </c>
      <c r="Z68" t="s">
        <v>107</v>
      </c>
      <c r="AA68" t="s">
        <v>241</v>
      </c>
      <c r="AB68">
        <v>12</v>
      </c>
      <c r="AC68" t="str">
        <f t="shared" si="4"/>
        <v>Afternoon</v>
      </c>
      <c r="AD68">
        <v>1</v>
      </c>
      <c r="AE68" t="s">
        <v>58</v>
      </c>
      <c r="AF68">
        <v>0</v>
      </c>
      <c r="AG68">
        <v>1</v>
      </c>
      <c r="AH68" t="s">
        <v>84</v>
      </c>
      <c r="AI68">
        <v>89700</v>
      </c>
      <c r="AJ68">
        <v>13800</v>
      </c>
      <c r="AK68">
        <v>13800</v>
      </c>
      <c r="AL68">
        <v>62100</v>
      </c>
      <c r="AM68" t="s">
        <v>114</v>
      </c>
      <c r="AN68" t="s">
        <v>115</v>
      </c>
      <c r="AO68">
        <v>2015</v>
      </c>
      <c r="AP68">
        <v>2009</v>
      </c>
      <c r="AQ68">
        <f t="shared" si="5"/>
        <v>6</v>
      </c>
      <c r="AR68" t="s">
        <v>61</v>
      </c>
    </row>
    <row r="69" spans="1:44" x14ac:dyDescent="0.25">
      <c r="A69">
        <v>478</v>
      </c>
      <c r="B69" t="str">
        <f t="shared" si="3"/>
        <v>10+ years</v>
      </c>
      <c r="C69">
        <v>64</v>
      </c>
      <c r="D69" t="str" cm="1">
        <f t="array" ref="D69">_xlfn.IFS(C69&lt;26, "19-25", C69&lt;33, "26-32", C69&lt;40, "33-39", C69&lt;47, "40-46",C69&lt;54, "47-53", TRUE, "54+")</f>
        <v>54+</v>
      </c>
      <c r="E69">
        <v>346002</v>
      </c>
      <c r="F69" s="1">
        <v>33105</v>
      </c>
      <c r="G69" t="s">
        <v>44</v>
      </c>
      <c r="H69" t="s">
        <v>45</v>
      </c>
      <c r="I69">
        <v>500</v>
      </c>
      <c r="J69">
        <v>835.02</v>
      </c>
      <c r="K69">
        <v>0</v>
      </c>
      <c r="L69">
        <v>602433</v>
      </c>
      <c r="M69" t="s">
        <v>75</v>
      </c>
      <c r="N69" t="s">
        <v>97</v>
      </c>
      <c r="O69" t="s">
        <v>190</v>
      </c>
      <c r="P69" t="s">
        <v>64</v>
      </c>
      <c r="Q69" t="s">
        <v>90</v>
      </c>
      <c r="R69">
        <v>59600</v>
      </c>
      <c r="S69">
        <v>0</v>
      </c>
      <c r="T69" s="1">
        <v>42037</v>
      </c>
      <c r="U69" t="s">
        <v>80</v>
      </c>
      <c r="V69" t="s">
        <v>52</v>
      </c>
      <c r="W69" t="s">
        <v>68</v>
      </c>
      <c r="X69" t="s">
        <v>104</v>
      </c>
      <c r="Y69" t="s">
        <v>118</v>
      </c>
      <c r="Z69" t="s">
        <v>127</v>
      </c>
      <c r="AA69" t="s">
        <v>242</v>
      </c>
      <c r="AB69">
        <v>17</v>
      </c>
      <c r="AC69" t="str">
        <f t="shared" si="4"/>
        <v>Afternoon</v>
      </c>
      <c r="AD69">
        <v>3</v>
      </c>
      <c r="AE69" t="s">
        <v>84</v>
      </c>
      <c r="AF69">
        <v>1</v>
      </c>
      <c r="AG69">
        <v>1</v>
      </c>
      <c r="AH69" t="s">
        <v>84</v>
      </c>
      <c r="AI69">
        <v>33930</v>
      </c>
      <c r="AJ69">
        <v>0</v>
      </c>
      <c r="AK69">
        <v>3770</v>
      </c>
      <c r="AL69">
        <v>30160</v>
      </c>
      <c r="AM69" t="s">
        <v>192</v>
      </c>
      <c r="AN69" t="s">
        <v>243</v>
      </c>
      <c r="AO69">
        <v>2015</v>
      </c>
      <c r="AP69">
        <v>1998</v>
      </c>
      <c r="AQ69">
        <f t="shared" si="5"/>
        <v>17</v>
      </c>
      <c r="AR69" t="s">
        <v>87</v>
      </c>
    </row>
    <row r="70" spans="1:44" x14ac:dyDescent="0.25">
      <c r="A70">
        <v>128</v>
      </c>
      <c r="B70" t="str">
        <f t="shared" si="3"/>
        <v>10+ years</v>
      </c>
      <c r="C70">
        <v>30</v>
      </c>
      <c r="D70" t="str" cm="1">
        <f t="array" ref="D70">_xlfn.IFS(C70&lt;26, "19-25", C70&lt;33, "26-32", C70&lt;40, "33-39", C70&lt;47, "40-46",C70&lt;54, "47-53", TRUE, "54+")</f>
        <v>26-32</v>
      </c>
      <c r="E70">
        <v>500533</v>
      </c>
      <c r="F70" s="1">
        <v>34376</v>
      </c>
      <c r="G70" t="s">
        <v>44</v>
      </c>
      <c r="H70" t="s">
        <v>74</v>
      </c>
      <c r="I70">
        <v>1000</v>
      </c>
      <c r="J70">
        <v>1061.33</v>
      </c>
      <c r="K70">
        <v>0</v>
      </c>
      <c r="L70">
        <v>478575</v>
      </c>
      <c r="M70" t="s">
        <v>46</v>
      </c>
      <c r="N70" t="s">
        <v>47</v>
      </c>
      <c r="O70" t="s">
        <v>63</v>
      </c>
      <c r="P70" t="s">
        <v>151</v>
      </c>
      <c r="Q70" t="s">
        <v>79</v>
      </c>
      <c r="R70">
        <v>43300</v>
      </c>
      <c r="S70">
        <v>-66200</v>
      </c>
      <c r="T70" s="1">
        <v>42014</v>
      </c>
      <c r="U70" t="s">
        <v>51</v>
      </c>
      <c r="V70" t="s">
        <v>91</v>
      </c>
      <c r="W70" t="s">
        <v>53</v>
      </c>
      <c r="X70" t="s">
        <v>141</v>
      </c>
      <c r="Y70" t="s">
        <v>118</v>
      </c>
      <c r="Z70" t="s">
        <v>161</v>
      </c>
      <c r="AA70" t="s">
        <v>244</v>
      </c>
      <c r="AB70">
        <v>8</v>
      </c>
      <c r="AC70" t="str">
        <f t="shared" si="4"/>
        <v>Morning</v>
      </c>
      <c r="AD70">
        <v>1</v>
      </c>
      <c r="AE70" t="s">
        <v>84</v>
      </c>
      <c r="AF70">
        <v>0</v>
      </c>
      <c r="AG70">
        <v>3</v>
      </c>
      <c r="AH70" t="s">
        <v>84</v>
      </c>
      <c r="AI70">
        <v>68530</v>
      </c>
      <c r="AJ70">
        <v>12460</v>
      </c>
      <c r="AK70">
        <v>6230</v>
      </c>
      <c r="AL70">
        <v>49840</v>
      </c>
      <c r="AM70" t="s">
        <v>114</v>
      </c>
      <c r="AN70" t="s">
        <v>115</v>
      </c>
      <c r="AO70">
        <v>2015</v>
      </c>
      <c r="AP70">
        <v>1997</v>
      </c>
      <c r="AQ70">
        <f t="shared" si="5"/>
        <v>18</v>
      </c>
      <c r="AR70" t="s">
        <v>87</v>
      </c>
    </row>
    <row r="71" spans="1:44" x14ac:dyDescent="0.25">
      <c r="A71">
        <v>338</v>
      </c>
      <c r="B71" t="str">
        <f t="shared" si="3"/>
        <v>10+ years</v>
      </c>
      <c r="C71">
        <v>49</v>
      </c>
      <c r="D71" t="str" cm="1">
        <f t="array" ref="D71">_xlfn.IFS(C71&lt;26, "19-25", C71&lt;33, "26-32", C71&lt;40, "33-39", C71&lt;47, "40-46",C71&lt;54, "47-53", TRUE, "54+")</f>
        <v>47-53</v>
      </c>
      <c r="E71">
        <v>348209</v>
      </c>
      <c r="F71" s="1">
        <v>34387</v>
      </c>
      <c r="G71" t="s">
        <v>62</v>
      </c>
      <c r="H71" t="s">
        <v>96</v>
      </c>
      <c r="I71">
        <v>1000</v>
      </c>
      <c r="J71">
        <v>1279.08</v>
      </c>
      <c r="K71">
        <v>0</v>
      </c>
      <c r="L71">
        <v>449718</v>
      </c>
      <c r="M71" t="s">
        <v>46</v>
      </c>
      <c r="N71" t="s">
        <v>47</v>
      </c>
      <c r="O71" t="s">
        <v>116</v>
      </c>
      <c r="P71" t="s">
        <v>175</v>
      </c>
      <c r="Q71" t="s">
        <v>79</v>
      </c>
      <c r="R71">
        <v>0</v>
      </c>
      <c r="S71">
        <v>-51500</v>
      </c>
      <c r="T71" s="1">
        <v>42062</v>
      </c>
      <c r="U71" t="s">
        <v>143</v>
      </c>
      <c r="V71" t="s">
        <v>67</v>
      </c>
      <c r="W71" t="s">
        <v>68</v>
      </c>
      <c r="X71" t="s">
        <v>98</v>
      </c>
      <c r="Y71" t="s">
        <v>126</v>
      </c>
      <c r="Z71" t="s">
        <v>70</v>
      </c>
      <c r="AA71" t="s">
        <v>245</v>
      </c>
      <c r="AB71">
        <v>13</v>
      </c>
      <c r="AC71" t="str">
        <f t="shared" si="4"/>
        <v>Afternoon</v>
      </c>
      <c r="AD71">
        <v>1</v>
      </c>
      <c r="AE71" t="s">
        <v>84</v>
      </c>
      <c r="AF71">
        <v>0</v>
      </c>
      <c r="AG71">
        <v>1</v>
      </c>
      <c r="AH71" t="s">
        <v>67</v>
      </c>
      <c r="AI71">
        <v>4300</v>
      </c>
      <c r="AJ71">
        <v>860</v>
      </c>
      <c r="AK71">
        <v>860</v>
      </c>
      <c r="AL71">
        <v>2580</v>
      </c>
      <c r="AM71" t="s">
        <v>134</v>
      </c>
      <c r="AN71" t="s">
        <v>135</v>
      </c>
      <c r="AO71">
        <v>2015</v>
      </c>
      <c r="AP71">
        <v>2004</v>
      </c>
      <c r="AQ71">
        <f t="shared" si="5"/>
        <v>11</v>
      </c>
      <c r="AR71" t="s">
        <v>87</v>
      </c>
    </row>
    <row r="72" spans="1:44" x14ac:dyDescent="0.25">
      <c r="A72">
        <v>271</v>
      </c>
      <c r="B72" t="str">
        <f t="shared" si="3"/>
        <v>10+ years</v>
      </c>
      <c r="C72">
        <v>42</v>
      </c>
      <c r="D72" t="str" cm="1">
        <f t="array" ref="D72">_xlfn.IFS(C72&lt;26, "19-25", C72&lt;33, "26-32", C72&lt;40, "33-39", C72&lt;47, "40-46",C72&lt;54, "47-53", TRUE, "54+")</f>
        <v>40-46</v>
      </c>
      <c r="E72">
        <v>486676</v>
      </c>
      <c r="F72" s="1">
        <v>40770</v>
      </c>
      <c r="G72" t="s">
        <v>44</v>
      </c>
      <c r="H72" t="s">
        <v>74</v>
      </c>
      <c r="I72">
        <v>500</v>
      </c>
      <c r="J72">
        <v>1105.49</v>
      </c>
      <c r="K72">
        <v>0</v>
      </c>
      <c r="L72">
        <v>463181</v>
      </c>
      <c r="M72" t="s">
        <v>75</v>
      </c>
      <c r="N72" t="s">
        <v>97</v>
      </c>
      <c r="O72" t="s">
        <v>106</v>
      </c>
      <c r="P72" t="s">
        <v>49</v>
      </c>
      <c r="Q72" t="s">
        <v>79</v>
      </c>
      <c r="R72">
        <v>56200</v>
      </c>
      <c r="S72">
        <v>-50000</v>
      </c>
      <c r="T72" s="1">
        <v>42055</v>
      </c>
      <c r="U72" t="s">
        <v>80</v>
      </c>
      <c r="V72" t="s">
        <v>52</v>
      </c>
      <c r="W72" t="s">
        <v>53</v>
      </c>
      <c r="X72" t="s">
        <v>125</v>
      </c>
      <c r="Y72" t="s">
        <v>55</v>
      </c>
      <c r="Z72" t="s">
        <v>127</v>
      </c>
      <c r="AA72" t="s">
        <v>246</v>
      </c>
      <c r="AB72">
        <v>12</v>
      </c>
      <c r="AC72" t="str">
        <f t="shared" si="4"/>
        <v>Afternoon</v>
      </c>
      <c r="AD72">
        <v>2</v>
      </c>
      <c r="AE72" t="s">
        <v>67</v>
      </c>
      <c r="AF72">
        <v>2</v>
      </c>
      <c r="AG72">
        <v>3</v>
      </c>
      <c r="AH72" t="s">
        <v>67</v>
      </c>
      <c r="AI72">
        <v>68310</v>
      </c>
      <c r="AJ72">
        <v>12420</v>
      </c>
      <c r="AK72">
        <v>6210</v>
      </c>
      <c r="AL72">
        <v>49680</v>
      </c>
      <c r="AM72" t="s">
        <v>114</v>
      </c>
      <c r="AN72" t="s">
        <v>139</v>
      </c>
      <c r="AO72">
        <v>2015</v>
      </c>
      <c r="AP72">
        <v>2003</v>
      </c>
      <c r="AQ72">
        <f t="shared" si="5"/>
        <v>12</v>
      </c>
      <c r="AR72" t="s">
        <v>61</v>
      </c>
    </row>
    <row r="73" spans="1:44" x14ac:dyDescent="0.25">
      <c r="A73">
        <v>222</v>
      </c>
      <c r="B73" t="str">
        <f t="shared" si="3"/>
        <v>10+ years</v>
      </c>
      <c r="C73">
        <v>41</v>
      </c>
      <c r="D73" t="str" cm="1">
        <f t="array" ref="D73">_xlfn.IFS(C73&lt;26, "19-25", C73&lt;33, "26-32", C73&lt;40, "33-39", C73&lt;47, "40-46",C73&lt;54, "47-53", TRUE, "54+")</f>
        <v>40-46</v>
      </c>
      <c r="E73">
        <v>260845</v>
      </c>
      <c r="F73" s="1">
        <v>36110</v>
      </c>
      <c r="G73" t="s">
        <v>44</v>
      </c>
      <c r="H73" t="s">
        <v>74</v>
      </c>
      <c r="I73">
        <v>2000</v>
      </c>
      <c r="J73">
        <v>1055.53</v>
      </c>
      <c r="K73">
        <v>0</v>
      </c>
      <c r="L73">
        <v>441992</v>
      </c>
      <c r="M73" t="s">
        <v>75</v>
      </c>
      <c r="N73" t="s">
        <v>47</v>
      </c>
      <c r="O73" t="s">
        <v>89</v>
      </c>
      <c r="P73" t="s">
        <v>247</v>
      </c>
      <c r="Q73" t="s">
        <v>147</v>
      </c>
      <c r="R73">
        <v>37800</v>
      </c>
      <c r="S73">
        <v>-50300</v>
      </c>
      <c r="T73" s="1">
        <v>42043</v>
      </c>
      <c r="U73" t="s">
        <v>51</v>
      </c>
      <c r="V73" t="s">
        <v>91</v>
      </c>
      <c r="W73" t="s">
        <v>112</v>
      </c>
      <c r="X73" t="s">
        <v>125</v>
      </c>
      <c r="Y73" t="s">
        <v>118</v>
      </c>
      <c r="Z73" t="s">
        <v>161</v>
      </c>
      <c r="AA73" t="s">
        <v>248</v>
      </c>
      <c r="AB73">
        <v>7</v>
      </c>
      <c r="AC73" t="str">
        <f t="shared" si="4"/>
        <v>Morning</v>
      </c>
      <c r="AD73">
        <v>1</v>
      </c>
      <c r="AE73" t="s">
        <v>84</v>
      </c>
      <c r="AF73">
        <v>0</v>
      </c>
      <c r="AG73">
        <v>2</v>
      </c>
      <c r="AH73" t="s">
        <v>84</v>
      </c>
      <c r="AI73">
        <v>61290</v>
      </c>
      <c r="AJ73">
        <v>6810</v>
      </c>
      <c r="AK73">
        <v>6810</v>
      </c>
      <c r="AL73">
        <v>47670</v>
      </c>
      <c r="AM73" t="s">
        <v>214</v>
      </c>
      <c r="AN73" t="s">
        <v>215</v>
      </c>
      <c r="AO73">
        <v>2015</v>
      </c>
      <c r="AP73">
        <v>1995</v>
      </c>
      <c r="AQ73">
        <f t="shared" si="5"/>
        <v>20</v>
      </c>
      <c r="AR73" t="s">
        <v>61</v>
      </c>
    </row>
    <row r="74" spans="1:44" x14ac:dyDescent="0.25">
      <c r="A74">
        <v>199</v>
      </c>
      <c r="B74" t="str">
        <f t="shared" si="3"/>
        <v>10+ years</v>
      </c>
      <c r="C74">
        <v>41</v>
      </c>
      <c r="D74" t="str" cm="1">
        <f t="array" ref="D74">_xlfn.IFS(C74&lt;26, "19-25", C74&lt;33, "26-32", C74&lt;40, "33-39", C74&lt;47, "40-46",C74&lt;54, "47-53", TRUE, "54+")</f>
        <v>40-46</v>
      </c>
      <c r="E74">
        <v>657045</v>
      </c>
      <c r="F74" s="1">
        <v>35037</v>
      </c>
      <c r="G74" t="s">
        <v>44</v>
      </c>
      <c r="H74" t="s">
        <v>45</v>
      </c>
      <c r="I74">
        <v>1000</v>
      </c>
      <c r="J74">
        <v>895.83</v>
      </c>
      <c r="K74">
        <v>0</v>
      </c>
      <c r="L74">
        <v>452597</v>
      </c>
      <c r="M74" t="s">
        <v>75</v>
      </c>
      <c r="N74" t="s">
        <v>97</v>
      </c>
      <c r="O74" t="s">
        <v>77</v>
      </c>
      <c r="P74" t="s">
        <v>170</v>
      </c>
      <c r="Q74" t="s">
        <v>50</v>
      </c>
      <c r="R74">
        <v>0</v>
      </c>
      <c r="S74">
        <v>0</v>
      </c>
      <c r="T74" s="1">
        <v>42046</v>
      </c>
      <c r="U74" t="s">
        <v>51</v>
      </c>
      <c r="V74" t="s">
        <v>81</v>
      </c>
      <c r="W74" t="s">
        <v>68</v>
      </c>
      <c r="X74" t="s">
        <v>141</v>
      </c>
      <c r="Y74" t="s">
        <v>126</v>
      </c>
      <c r="Z74" t="s">
        <v>92</v>
      </c>
      <c r="AA74" t="s">
        <v>249</v>
      </c>
      <c r="AB74">
        <v>10</v>
      </c>
      <c r="AC74" t="str">
        <f t="shared" si="4"/>
        <v>Morning</v>
      </c>
      <c r="AD74">
        <v>1</v>
      </c>
      <c r="AE74" t="s">
        <v>84</v>
      </c>
      <c r="AF74">
        <v>1</v>
      </c>
      <c r="AG74">
        <v>2</v>
      </c>
      <c r="AH74" t="s">
        <v>84</v>
      </c>
      <c r="AI74">
        <v>30100</v>
      </c>
      <c r="AJ74">
        <v>3010</v>
      </c>
      <c r="AK74">
        <v>0</v>
      </c>
      <c r="AL74">
        <v>27090</v>
      </c>
      <c r="AM74" t="s">
        <v>94</v>
      </c>
      <c r="AN74" t="s">
        <v>250</v>
      </c>
      <c r="AO74">
        <v>2015</v>
      </c>
      <c r="AP74">
        <v>1999</v>
      </c>
      <c r="AQ74">
        <f t="shared" si="5"/>
        <v>16</v>
      </c>
      <c r="AR74" t="s">
        <v>87</v>
      </c>
    </row>
    <row r="75" spans="1:44" x14ac:dyDescent="0.25">
      <c r="A75">
        <v>215</v>
      </c>
      <c r="B75" t="str">
        <f t="shared" si="3"/>
        <v>10+ years</v>
      </c>
      <c r="C75">
        <v>37</v>
      </c>
      <c r="D75" t="str" cm="1">
        <f t="array" ref="D75">_xlfn.IFS(C75&lt;26, "19-25", C75&lt;33, "26-32", C75&lt;40, "33-39", C75&lt;47, "40-46",C75&lt;54, "47-53", TRUE, "54+")</f>
        <v>33-39</v>
      </c>
      <c r="E75">
        <v>761189</v>
      </c>
      <c r="F75" s="1">
        <v>37618</v>
      </c>
      <c r="G75" t="s">
        <v>62</v>
      </c>
      <c r="H75" t="s">
        <v>74</v>
      </c>
      <c r="I75">
        <v>500</v>
      </c>
      <c r="J75">
        <v>1632.93</v>
      </c>
      <c r="K75">
        <v>0</v>
      </c>
      <c r="L75">
        <v>614417</v>
      </c>
      <c r="M75" t="s">
        <v>75</v>
      </c>
      <c r="N75" t="s">
        <v>146</v>
      </c>
      <c r="O75" t="s">
        <v>150</v>
      </c>
      <c r="P75" t="s">
        <v>117</v>
      </c>
      <c r="Q75" t="s">
        <v>147</v>
      </c>
      <c r="R75">
        <v>0</v>
      </c>
      <c r="S75">
        <v>-42900</v>
      </c>
      <c r="T75" s="1">
        <v>42058</v>
      </c>
      <c r="U75" t="s">
        <v>80</v>
      </c>
      <c r="V75" t="s">
        <v>81</v>
      </c>
      <c r="W75" t="s">
        <v>68</v>
      </c>
      <c r="X75" t="s">
        <v>104</v>
      </c>
      <c r="Y75" t="s">
        <v>55</v>
      </c>
      <c r="Z75" t="s">
        <v>70</v>
      </c>
      <c r="AA75" t="s">
        <v>251</v>
      </c>
      <c r="AB75">
        <v>7</v>
      </c>
      <c r="AC75" t="str">
        <f t="shared" si="4"/>
        <v>Morning</v>
      </c>
      <c r="AD75">
        <v>3</v>
      </c>
      <c r="AE75" t="s">
        <v>84</v>
      </c>
      <c r="AF75">
        <v>2</v>
      </c>
      <c r="AG75">
        <v>0</v>
      </c>
      <c r="AH75" t="s">
        <v>58</v>
      </c>
      <c r="AI75">
        <v>57120</v>
      </c>
      <c r="AJ75">
        <v>9520</v>
      </c>
      <c r="AK75">
        <v>4760</v>
      </c>
      <c r="AL75">
        <v>42840</v>
      </c>
      <c r="AM75" t="s">
        <v>72</v>
      </c>
      <c r="AN75" t="s">
        <v>198</v>
      </c>
      <c r="AO75">
        <v>2015</v>
      </c>
      <c r="AP75">
        <v>2002</v>
      </c>
      <c r="AQ75">
        <f t="shared" si="5"/>
        <v>13</v>
      </c>
      <c r="AR75" t="s">
        <v>87</v>
      </c>
    </row>
    <row r="76" spans="1:44" x14ac:dyDescent="0.25">
      <c r="A76">
        <v>192</v>
      </c>
      <c r="B76" t="str">
        <f t="shared" si="3"/>
        <v>10+ years</v>
      </c>
      <c r="C76">
        <v>40</v>
      </c>
      <c r="D76" t="str" cm="1">
        <f t="array" ref="D76">_xlfn.IFS(C76&lt;26, "19-25", C76&lt;33, "26-32", C76&lt;40, "33-39", C76&lt;47, "40-46",C76&lt;54, "47-53", TRUE, "54+")</f>
        <v>40-46</v>
      </c>
      <c r="E76">
        <v>175177</v>
      </c>
      <c r="F76" s="1">
        <v>38092</v>
      </c>
      <c r="G76" t="s">
        <v>88</v>
      </c>
      <c r="H76" t="s">
        <v>74</v>
      </c>
      <c r="I76">
        <v>1000</v>
      </c>
      <c r="J76">
        <v>1405.99</v>
      </c>
      <c r="K76">
        <v>0</v>
      </c>
      <c r="L76">
        <v>472895</v>
      </c>
      <c r="M76" t="s">
        <v>75</v>
      </c>
      <c r="N76" t="s">
        <v>97</v>
      </c>
      <c r="O76" t="s">
        <v>77</v>
      </c>
      <c r="P76" t="s">
        <v>160</v>
      </c>
      <c r="Q76" t="s">
        <v>124</v>
      </c>
      <c r="R76">
        <v>0</v>
      </c>
      <c r="S76">
        <v>0</v>
      </c>
      <c r="T76" s="1">
        <v>42064</v>
      </c>
      <c r="U76" t="s">
        <v>80</v>
      </c>
      <c r="V76" t="s">
        <v>52</v>
      </c>
      <c r="W76" t="s">
        <v>68</v>
      </c>
      <c r="X76" t="s">
        <v>141</v>
      </c>
      <c r="Y76" t="s">
        <v>69</v>
      </c>
      <c r="Z76" t="s">
        <v>107</v>
      </c>
      <c r="AA76" t="s">
        <v>252</v>
      </c>
      <c r="AB76">
        <v>18</v>
      </c>
      <c r="AC76" t="str">
        <f t="shared" si="4"/>
        <v>Evening</v>
      </c>
      <c r="AD76">
        <v>3</v>
      </c>
      <c r="AE76" t="s">
        <v>58</v>
      </c>
      <c r="AF76">
        <v>1</v>
      </c>
      <c r="AG76">
        <v>0</v>
      </c>
      <c r="AH76" t="s">
        <v>58</v>
      </c>
      <c r="AI76">
        <v>42930</v>
      </c>
      <c r="AJ76">
        <v>9540</v>
      </c>
      <c r="AK76">
        <v>4770</v>
      </c>
      <c r="AL76">
        <v>28620</v>
      </c>
      <c r="AM76" t="s">
        <v>192</v>
      </c>
      <c r="AN76" t="s">
        <v>243</v>
      </c>
      <c r="AO76">
        <v>2015</v>
      </c>
      <c r="AP76">
        <v>2005</v>
      </c>
      <c r="AQ76">
        <f t="shared" si="5"/>
        <v>10</v>
      </c>
      <c r="AR76" t="s">
        <v>87</v>
      </c>
    </row>
    <row r="77" spans="1:44" x14ac:dyDescent="0.25">
      <c r="A77">
        <v>120</v>
      </c>
      <c r="B77" t="str">
        <f t="shared" si="3"/>
        <v>5-10 years</v>
      </c>
      <c r="C77">
        <v>35</v>
      </c>
      <c r="D77" t="str" cm="1">
        <f t="array" ref="D77">_xlfn.IFS(C77&lt;26, "19-25", C77&lt;33, "26-32", C77&lt;40, "33-39", C77&lt;47, "40-46",C77&lt;54, "47-53", TRUE, "54+")</f>
        <v>33-39</v>
      </c>
      <c r="E77">
        <v>116700</v>
      </c>
      <c r="F77" s="1">
        <v>36924</v>
      </c>
      <c r="G77" t="s">
        <v>44</v>
      </c>
      <c r="H77" t="s">
        <v>74</v>
      </c>
      <c r="I77">
        <v>1000</v>
      </c>
      <c r="J77">
        <v>1425.54</v>
      </c>
      <c r="K77">
        <v>0</v>
      </c>
      <c r="L77">
        <v>475847</v>
      </c>
      <c r="M77" t="s">
        <v>75</v>
      </c>
      <c r="N77" t="s">
        <v>136</v>
      </c>
      <c r="O77" t="s">
        <v>150</v>
      </c>
      <c r="P77" t="s">
        <v>103</v>
      </c>
      <c r="Q77" t="s">
        <v>65</v>
      </c>
      <c r="R77">
        <v>78300</v>
      </c>
      <c r="S77">
        <v>0</v>
      </c>
      <c r="T77" s="1">
        <v>42019</v>
      </c>
      <c r="U77" t="s">
        <v>80</v>
      </c>
      <c r="V77" t="s">
        <v>91</v>
      </c>
      <c r="W77" t="s">
        <v>112</v>
      </c>
      <c r="X77" t="s">
        <v>141</v>
      </c>
      <c r="Y77" t="s">
        <v>55</v>
      </c>
      <c r="Z77" t="s">
        <v>70</v>
      </c>
      <c r="AA77" t="s">
        <v>253</v>
      </c>
      <c r="AB77">
        <v>22</v>
      </c>
      <c r="AC77" t="str">
        <f t="shared" si="4"/>
        <v>Evening</v>
      </c>
      <c r="AD77">
        <v>3</v>
      </c>
      <c r="AE77" t="s">
        <v>84</v>
      </c>
      <c r="AF77">
        <v>2</v>
      </c>
      <c r="AG77">
        <v>0</v>
      </c>
      <c r="AH77" t="s">
        <v>84</v>
      </c>
      <c r="AI77">
        <v>51210</v>
      </c>
      <c r="AJ77">
        <v>11380</v>
      </c>
      <c r="AK77">
        <v>5690</v>
      </c>
      <c r="AL77">
        <v>34140</v>
      </c>
      <c r="AM77" t="s">
        <v>134</v>
      </c>
      <c r="AN77" t="s">
        <v>254</v>
      </c>
      <c r="AO77">
        <v>2015</v>
      </c>
      <c r="AP77">
        <v>2010</v>
      </c>
      <c r="AQ77">
        <f t="shared" si="5"/>
        <v>5</v>
      </c>
      <c r="AR77" t="s">
        <v>87</v>
      </c>
    </row>
    <row r="78" spans="1:44" x14ac:dyDescent="0.25">
      <c r="A78">
        <v>270</v>
      </c>
      <c r="B78" t="str">
        <f t="shared" si="3"/>
        <v>10+ years</v>
      </c>
      <c r="C78">
        <v>45</v>
      </c>
      <c r="D78" t="str" cm="1">
        <f t="array" ref="D78">_xlfn.IFS(C78&lt;26, "19-25", C78&lt;33, "26-32", C78&lt;40, "33-39", C78&lt;47, "40-46",C78&lt;54, "47-53", TRUE, "54+")</f>
        <v>40-46</v>
      </c>
      <c r="E78">
        <v>166264</v>
      </c>
      <c r="F78" s="1">
        <v>40190</v>
      </c>
      <c r="G78" t="s">
        <v>44</v>
      </c>
      <c r="H78" t="s">
        <v>96</v>
      </c>
      <c r="I78">
        <v>1000</v>
      </c>
      <c r="J78">
        <v>1038.0899999999999</v>
      </c>
      <c r="K78">
        <v>0</v>
      </c>
      <c r="L78">
        <v>476978</v>
      </c>
      <c r="M78" t="s">
        <v>75</v>
      </c>
      <c r="N78" t="s">
        <v>146</v>
      </c>
      <c r="O78" t="s">
        <v>164</v>
      </c>
      <c r="P78" t="s">
        <v>117</v>
      </c>
      <c r="Q78" t="s">
        <v>50</v>
      </c>
      <c r="R78">
        <v>0</v>
      </c>
      <c r="S78">
        <v>-19700</v>
      </c>
      <c r="T78" s="1">
        <v>42018</v>
      </c>
      <c r="U78" t="s">
        <v>80</v>
      </c>
      <c r="V78" t="s">
        <v>91</v>
      </c>
      <c r="W78" t="s">
        <v>68</v>
      </c>
      <c r="X78" t="s">
        <v>104</v>
      </c>
      <c r="Y78" t="s">
        <v>82</v>
      </c>
      <c r="Z78" t="s">
        <v>107</v>
      </c>
      <c r="AA78" t="s">
        <v>255</v>
      </c>
      <c r="AB78">
        <v>18</v>
      </c>
      <c r="AC78" t="str">
        <f t="shared" si="4"/>
        <v>Evening</v>
      </c>
      <c r="AD78">
        <v>3</v>
      </c>
      <c r="AE78" t="s">
        <v>84</v>
      </c>
      <c r="AF78">
        <v>1</v>
      </c>
      <c r="AG78">
        <v>1</v>
      </c>
      <c r="AH78" t="s">
        <v>58</v>
      </c>
      <c r="AI78">
        <v>89400</v>
      </c>
      <c r="AJ78">
        <v>14900</v>
      </c>
      <c r="AK78">
        <v>7450</v>
      </c>
      <c r="AL78">
        <v>67050</v>
      </c>
      <c r="AM78" t="s">
        <v>158</v>
      </c>
      <c r="AN78" t="s">
        <v>159</v>
      </c>
      <c r="AO78">
        <v>2015</v>
      </c>
      <c r="AP78">
        <v>1998</v>
      </c>
      <c r="AQ78">
        <f t="shared" si="5"/>
        <v>17</v>
      </c>
      <c r="AR78" t="s">
        <v>87</v>
      </c>
    </row>
    <row r="79" spans="1:44" x14ac:dyDescent="0.25">
      <c r="A79">
        <v>319</v>
      </c>
      <c r="B79" t="str">
        <f t="shared" si="3"/>
        <v>10+ years</v>
      </c>
      <c r="C79">
        <v>47</v>
      </c>
      <c r="D79" t="str" cm="1">
        <f t="array" ref="D79">_xlfn.IFS(C79&lt;26, "19-25", C79&lt;33, "26-32", C79&lt;40, "33-39", C79&lt;47, "40-46",C79&lt;54, "47-53", TRUE, "54+")</f>
        <v>47-53</v>
      </c>
      <c r="E79">
        <v>527945</v>
      </c>
      <c r="F79" s="1">
        <v>33708</v>
      </c>
      <c r="G79" t="s">
        <v>62</v>
      </c>
      <c r="H79" t="s">
        <v>45</v>
      </c>
      <c r="I79">
        <v>500</v>
      </c>
      <c r="J79">
        <v>1307.1099999999999</v>
      </c>
      <c r="K79">
        <v>0</v>
      </c>
      <c r="L79">
        <v>600648</v>
      </c>
      <c r="M79" t="s">
        <v>46</v>
      </c>
      <c r="N79" t="s">
        <v>146</v>
      </c>
      <c r="O79" t="s">
        <v>150</v>
      </c>
      <c r="P79" t="s">
        <v>131</v>
      </c>
      <c r="Q79" t="s">
        <v>147</v>
      </c>
      <c r="R79">
        <v>0</v>
      </c>
      <c r="S79">
        <v>0</v>
      </c>
      <c r="T79" s="1">
        <v>42052</v>
      </c>
      <c r="U79" t="s">
        <v>80</v>
      </c>
      <c r="V79" t="s">
        <v>91</v>
      </c>
      <c r="W79" t="s">
        <v>112</v>
      </c>
      <c r="X79" t="s">
        <v>54</v>
      </c>
      <c r="Y79" t="s">
        <v>118</v>
      </c>
      <c r="Z79" t="s">
        <v>161</v>
      </c>
      <c r="AA79" t="s">
        <v>256</v>
      </c>
      <c r="AB79">
        <v>22</v>
      </c>
      <c r="AC79" t="str">
        <f t="shared" si="4"/>
        <v>Evening</v>
      </c>
      <c r="AD79">
        <v>3</v>
      </c>
      <c r="AE79" t="s">
        <v>84</v>
      </c>
      <c r="AF79">
        <v>0</v>
      </c>
      <c r="AG79">
        <v>2</v>
      </c>
      <c r="AH79" t="s">
        <v>67</v>
      </c>
      <c r="AI79">
        <v>59730</v>
      </c>
      <c r="AJ79">
        <v>10860</v>
      </c>
      <c r="AK79">
        <v>10860</v>
      </c>
      <c r="AL79">
        <v>38010</v>
      </c>
      <c r="AM79" t="s">
        <v>114</v>
      </c>
      <c r="AN79" t="s">
        <v>139</v>
      </c>
      <c r="AO79">
        <v>2015</v>
      </c>
      <c r="AP79">
        <v>2005</v>
      </c>
      <c r="AQ79">
        <f t="shared" si="5"/>
        <v>10</v>
      </c>
      <c r="AR79" t="s">
        <v>87</v>
      </c>
    </row>
    <row r="80" spans="1:44" x14ac:dyDescent="0.25">
      <c r="A80">
        <v>194</v>
      </c>
      <c r="B80" t="str">
        <f t="shared" si="3"/>
        <v>10+ years</v>
      </c>
      <c r="C80">
        <v>39</v>
      </c>
      <c r="D80" t="str" cm="1">
        <f t="array" ref="D80">_xlfn.IFS(C80&lt;26, "19-25", C80&lt;33, "26-32", C80&lt;40, "33-39", C80&lt;47, "40-46",C80&lt;54, "47-53", TRUE, "54+")</f>
        <v>33-39</v>
      </c>
      <c r="E80">
        <v>627540</v>
      </c>
      <c r="F80" s="1">
        <v>40319</v>
      </c>
      <c r="G80" t="s">
        <v>44</v>
      </c>
      <c r="H80" t="s">
        <v>96</v>
      </c>
      <c r="I80">
        <v>1000</v>
      </c>
      <c r="J80">
        <v>1489.24</v>
      </c>
      <c r="K80">
        <v>6000000</v>
      </c>
      <c r="L80">
        <v>608335</v>
      </c>
      <c r="M80" t="s">
        <v>75</v>
      </c>
      <c r="N80" t="s">
        <v>166</v>
      </c>
      <c r="O80" t="s">
        <v>116</v>
      </c>
      <c r="P80" t="s">
        <v>175</v>
      </c>
      <c r="Q80" t="s">
        <v>124</v>
      </c>
      <c r="R80">
        <v>0</v>
      </c>
      <c r="S80">
        <v>-45000</v>
      </c>
      <c r="T80" s="1">
        <v>42028</v>
      </c>
      <c r="U80" t="s">
        <v>66</v>
      </c>
      <c r="V80" t="s">
        <v>67</v>
      </c>
      <c r="W80" t="s">
        <v>68</v>
      </c>
      <c r="X80" t="s">
        <v>98</v>
      </c>
      <c r="Y80" t="s">
        <v>55</v>
      </c>
      <c r="Z80" t="s">
        <v>107</v>
      </c>
      <c r="AA80" t="s">
        <v>257</v>
      </c>
      <c r="AB80">
        <v>15</v>
      </c>
      <c r="AC80" t="str">
        <f t="shared" si="4"/>
        <v>Afternoon</v>
      </c>
      <c r="AD80">
        <v>1</v>
      </c>
      <c r="AE80" t="s">
        <v>58</v>
      </c>
      <c r="AF80">
        <v>2</v>
      </c>
      <c r="AG80">
        <v>2</v>
      </c>
      <c r="AH80" t="s">
        <v>58</v>
      </c>
      <c r="AI80">
        <v>8060</v>
      </c>
      <c r="AJ80">
        <v>1240</v>
      </c>
      <c r="AK80">
        <v>1240</v>
      </c>
      <c r="AL80">
        <v>5580</v>
      </c>
      <c r="AM80" t="s">
        <v>59</v>
      </c>
      <c r="AN80">
        <v>95</v>
      </c>
      <c r="AO80">
        <v>2015</v>
      </c>
      <c r="AP80">
        <v>2004</v>
      </c>
      <c r="AQ80">
        <f t="shared" si="5"/>
        <v>11</v>
      </c>
      <c r="AR80" t="s">
        <v>87</v>
      </c>
    </row>
    <row r="81" spans="1:44" x14ac:dyDescent="0.25">
      <c r="A81">
        <v>227</v>
      </c>
      <c r="B81" t="str">
        <f t="shared" si="3"/>
        <v>10+ years</v>
      </c>
      <c r="C81">
        <v>38</v>
      </c>
      <c r="D81" t="str" cm="1">
        <f t="array" ref="D81">_xlfn.IFS(C81&lt;26, "19-25", C81&lt;33, "26-32", C81&lt;40, "33-39", C81&lt;47, "40-46",C81&lt;54, "47-53", TRUE, "54+")</f>
        <v>33-39</v>
      </c>
      <c r="E81">
        <v>279422</v>
      </c>
      <c r="F81" s="1">
        <v>41574</v>
      </c>
      <c r="G81" t="s">
        <v>44</v>
      </c>
      <c r="H81" t="s">
        <v>96</v>
      </c>
      <c r="I81">
        <v>500</v>
      </c>
      <c r="J81">
        <v>976.67</v>
      </c>
      <c r="K81">
        <v>0</v>
      </c>
      <c r="L81">
        <v>471600</v>
      </c>
      <c r="M81" t="s">
        <v>75</v>
      </c>
      <c r="N81" t="s">
        <v>76</v>
      </c>
      <c r="O81" t="s">
        <v>164</v>
      </c>
      <c r="P81" t="s">
        <v>178</v>
      </c>
      <c r="Q81" t="s">
        <v>90</v>
      </c>
      <c r="R81">
        <v>0</v>
      </c>
      <c r="S81">
        <v>0</v>
      </c>
      <c r="T81" s="1">
        <v>42025</v>
      </c>
      <c r="U81" t="s">
        <v>51</v>
      </c>
      <c r="V81" t="s">
        <v>81</v>
      </c>
      <c r="W81" t="s">
        <v>53</v>
      </c>
      <c r="X81" t="s">
        <v>104</v>
      </c>
      <c r="Y81" t="s">
        <v>55</v>
      </c>
      <c r="Z81" t="s">
        <v>161</v>
      </c>
      <c r="AA81" t="s">
        <v>258</v>
      </c>
      <c r="AB81">
        <v>16</v>
      </c>
      <c r="AC81" t="str">
        <f t="shared" si="4"/>
        <v>Afternoon</v>
      </c>
      <c r="AD81">
        <v>1</v>
      </c>
      <c r="AE81" t="s">
        <v>67</v>
      </c>
      <c r="AF81">
        <v>1</v>
      </c>
      <c r="AG81">
        <v>2</v>
      </c>
      <c r="AH81" t="s">
        <v>67</v>
      </c>
      <c r="AI81">
        <v>72200</v>
      </c>
      <c r="AJ81">
        <v>14440</v>
      </c>
      <c r="AK81">
        <v>7220</v>
      </c>
      <c r="AL81">
        <v>50540</v>
      </c>
      <c r="AM81" t="s">
        <v>192</v>
      </c>
      <c r="AN81" t="s">
        <v>206</v>
      </c>
      <c r="AO81">
        <v>2015</v>
      </c>
      <c r="AP81">
        <v>2013</v>
      </c>
      <c r="AQ81">
        <f t="shared" si="5"/>
        <v>2</v>
      </c>
      <c r="AR81" t="s">
        <v>61</v>
      </c>
    </row>
    <row r="82" spans="1:44" x14ac:dyDescent="0.25">
      <c r="A82">
        <v>137</v>
      </c>
      <c r="B82" t="str">
        <f t="shared" si="3"/>
        <v>10+ years</v>
      </c>
      <c r="C82">
        <v>31</v>
      </c>
      <c r="D82" t="str" cm="1">
        <f t="array" ref="D82">_xlfn.IFS(C82&lt;26, "19-25", C82&lt;33, "26-32", C82&lt;40, "33-39", C82&lt;47, "40-46",C82&lt;54, "47-53", TRUE, "54+")</f>
        <v>26-32</v>
      </c>
      <c r="E82">
        <v>484200</v>
      </c>
      <c r="F82" s="1">
        <v>34619</v>
      </c>
      <c r="G82" t="s">
        <v>44</v>
      </c>
      <c r="H82" t="s">
        <v>45</v>
      </c>
      <c r="I82">
        <v>2000</v>
      </c>
      <c r="J82">
        <v>1340.43</v>
      </c>
      <c r="K82">
        <v>0</v>
      </c>
      <c r="L82">
        <v>441175</v>
      </c>
      <c r="M82" t="s">
        <v>46</v>
      </c>
      <c r="N82" t="s">
        <v>136</v>
      </c>
      <c r="O82" t="s">
        <v>130</v>
      </c>
      <c r="P82" t="s">
        <v>170</v>
      </c>
      <c r="Q82" t="s">
        <v>50</v>
      </c>
      <c r="R82">
        <v>52700</v>
      </c>
      <c r="S82">
        <v>-40600</v>
      </c>
      <c r="T82" s="1">
        <v>42054</v>
      </c>
      <c r="U82" t="s">
        <v>80</v>
      </c>
      <c r="V82" t="s">
        <v>52</v>
      </c>
      <c r="W82" t="s">
        <v>68</v>
      </c>
      <c r="X82" t="s">
        <v>141</v>
      </c>
      <c r="Y82" t="s">
        <v>126</v>
      </c>
      <c r="Z82" t="s">
        <v>92</v>
      </c>
      <c r="AA82" t="s">
        <v>259</v>
      </c>
      <c r="AB82">
        <v>6</v>
      </c>
      <c r="AC82" t="str">
        <f t="shared" si="4"/>
        <v>Morning</v>
      </c>
      <c r="AD82">
        <v>3</v>
      </c>
      <c r="AE82" t="s">
        <v>84</v>
      </c>
      <c r="AF82">
        <v>1</v>
      </c>
      <c r="AG82">
        <v>2</v>
      </c>
      <c r="AH82" t="s">
        <v>84</v>
      </c>
      <c r="AI82">
        <v>50800</v>
      </c>
      <c r="AJ82">
        <v>10160</v>
      </c>
      <c r="AK82">
        <v>10160</v>
      </c>
      <c r="AL82">
        <v>30480</v>
      </c>
      <c r="AM82" t="s">
        <v>100</v>
      </c>
      <c r="AN82" t="s">
        <v>153</v>
      </c>
      <c r="AO82">
        <v>2015</v>
      </c>
      <c r="AP82">
        <v>2005</v>
      </c>
      <c r="AQ82">
        <f t="shared" si="5"/>
        <v>10</v>
      </c>
      <c r="AR82" t="s">
        <v>87</v>
      </c>
    </row>
    <row r="83" spans="1:44" x14ac:dyDescent="0.25">
      <c r="A83">
        <v>244</v>
      </c>
      <c r="B83" t="str">
        <f t="shared" si="3"/>
        <v>10+ years</v>
      </c>
      <c r="C83">
        <v>40</v>
      </c>
      <c r="D83" t="str" cm="1">
        <f t="array" ref="D83">_xlfn.IFS(C83&lt;26, "19-25", C83&lt;33, "26-32", C83&lt;40, "33-39", C83&lt;47, "40-46",C83&lt;54, "47-53", TRUE, "54+")</f>
        <v>40-46</v>
      </c>
      <c r="E83">
        <v>645258</v>
      </c>
      <c r="F83" s="1">
        <v>35615</v>
      </c>
      <c r="G83" t="s">
        <v>44</v>
      </c>
      <c r="H83" t="s">
        <v>96</v>
      </c>
      <c r="I83">
        <v>2000</v>
      </c>
      <c r="J83">
        <v>1267.81</v>
      </c>
      <c r="K83">
        <v>5000000</v>
      </c>
      <c r="L83">
        <v>603123</v>
      </c>
      <c r="M83" t="s">
        <v>75</v>
      </c>
      <c r="N83" t="s">
        <v>129</v>
      </c>
      <c r="O83" t="s">
        <v>130</v>
      </c>
      <c r="P83" t="s">
        <v>186</v>
      </c>
      <c r="Q83" t="s">
        <v>124</v>
      </c>
      <c r="R83">
        <v>0</v>
      </c>
      <c r="S83">
        <v>0</v>
      </c>
      <c r="T83" s="1">
        <v>42007</v>
      </c>
      <c r="U83" t="s">
        <v>66</v>
      </c>
      <c r="V83" t="s">
        <v>67</v>
      </c>
      <c r="W83" t="s">
        <v>217</v>
      </c>
      <c r="X83" t="s">
        <v>98</v>
      </c>
      <c r="Y83" t="s">
        <v>126</v>
      </c>
      <c r="Z83" t="s">
        <v>161</v>
      </c>
      <c r="AA83" t="s">
        <v>260</v>
      </c>
      <c r="AB83">
        <v>10</v>
      </c>
      <c r="AC83" t="str">
        <f t="shared" si="4"/>
        <v>Morning</v>
      </c>
      <c r="AD83">
        <v>1</v>
      </c>
      <c r="AE83" t="s">
        <v>67</v>
      </c>
      <c r="AF83">
        <v>2</v>
      </c>
      <c r="AG83">
        <v>1</v>
      </c>
      <c r="AH83" t="s">
        <v>67</v>
      </c>
      <c r="AI83">
        <v>6600</v>
      </c>
      <c r="AJ83">
        <v>660</v>
      </c>
      <c r="AK83">
        <v>1320</v>
      </c>
      <c r="AL83">
        <v>4620</v>
      </c>
      <c r="AM83" t="s">
        <v>100</v>
      </c>
      <c r="AN83" t="s">
        <v>163</v>
      </c>
      <c r="AO83">
        <v>2015</v>
      </c>
      <c r="AP83">
        <v>2005</v>
      </c>
      <c r="AQ83">
        <f t="shared" si="5"/>
        <v>10</v>
      </c>
      <c r="AR83" t="s">
        <v>87</v>
      </c>
    </row>
    <row r="84" spans="1:44" x14ac:dyDescent="0.25">
      <c r="A84">
        <v>78</v>
      </c>
      <c r="B84" t="str">
        <f t="shared" si="3"/>
        <v>5-10 years</v>
      </c>
      <c r="C84">
        <v>29</v>
      </c>
      <c r="D84" t="str" cm="1">
        <f t="array" ref="D84">_xlfn.IFS(C84&lt;26, "19-25", C84&lt;33, "26-32", C84&lt;40, "33-39", C84&lt;47, "40-46",C84&lt;54, "47-53", TRUE, "54+")</f>
        <v>26-32</v>
      </c>
      <c r="E84">
        <v>694662</v>
      </c>
      <c r="F84" s="1">
        <v>40589</v>
      </c>
      <c r="G84" t="s">
        <v>88</v>
      </c>
      <c r="H84" t="s">
        <v>45</v>
      </c>
      <c r="I84">
        <v>1000</v>
      </c>
      <c r="J84">
        <v>1234.2</v>
      </c>
      <c r="K84">
        <v>6000000</v>
      </c>
      <c r="L84">
        <v>457767</v>
      </c>
      <c r="M84" t="s">
        <v>46</v>
      </c>
      <c r="N84" t="s">
        <v>129</v>
      </c>
      <c r="O84" t="s">
        <v>116</v>
      </c>
      <c r="P84" t="s">
        <v>103</v>
      </c>
      <c r="Q84" t="s">
        <v>65</v>
      </c>
      <c r="R84">
        <v>0</v>
      </c>
      <c r="S84">
        <v>0</v>
      </c>
      <c r="T84" s="1">
        <v>42033</v>
      </c>
      <c r="U84" t="s">
        <v>66</v>
      </c>
      <c r="V84" t="s">
        <v>67</v>
      </c>
      <c r="W84" t="s">
        <v>68</v>
      </c>
      <c r="X84" t="s">
        <v>54</v>
      </c>
      <c r="Y84" t="s">
        <v>82</v>
      </c>
      <c r="Z84" t="s">
        <v>161</v>
      </c>
      <c r="AA84" t="s">
        <v>261</v>
      </c>
      <c r="AB84">
        <v>3</v>
      </c>
      <c r="AC84" t="str">
        <f t="shared" si="4"/>
        <v>Night</v>
      </c>
      <c r="AD84">
        <v>1</v>
      </c>
      <c r="AE84" t="s">
        <v>58</v>
      </c>
      <c r="AF84">
        <v>2</v>
      </c>
      <c r="AG84">
        <v>2</v>
      </c>
      <c r="AH84" t="s">
        <v>84</v>
      </c>
      <c r="AI84">
        <v>7500</v>
      </c>
      <c r="AJ84">
        <v>750</v>
      </c>
      <c r="AK84">
        <v>1500</v>
      </c>
      <c r="AL84">
        <v>5250</v>
      </c>
      <c r="AM84" t="s">
        <v>109</v>
      </c>
      <c r="AN84" t="s">
        <v>156</v>
      </c>
      <c r="AO84">
        <v>2015</v>
      </c>
      <c r="AP84">
        <v>2002</v>
      </c>
      <c r="AQ84">
        <f t="shared" si="5"/>
        <v>13</v>
      </c>
      <c r="AR84" t="s">
        <v>87</v>
      </c>
    </row>
    <row r="85" spans="1:44" x14ac:dyDescent="0.25">
      <c r="A85">
        <v>200</v>
      </c>
      <c r="B85" t="str">
        <f t="shared" si="3"/>
        <v>10+ years</v>
      </c>
      <c r="C85">
        <v>35</v>
      </c>
      <c r="D85" t="str" cm="1">
        <f t="array" ref="D85">_xlfn.IFS(C85&lt;26, "19-25", C85&lt;33, "26-32", C85&lt;40, "33-39", C85&lt;47, "40-46",C85&lt;54, "47-53", TRUE, "54+")</f>
        <v>33-39</v>
      </c>
      <c r="E85">
        <v>960680</v>
      </c>
      <c r="F85" s="1">
        <v>34567</v>
      </c>
      <c r="G85" t="s">
        <v>62</v>
      </c>
      <c r="H85" t="s">
        <v>45</v>
      </c>
      <c r="I85">
        <v>2000</v>
      </c>
      <c r="J85">
        <v>1318.06</v>
      </c>
      <c r="K85">
        <v>0</v>
      </c>
      <c r="L85">
        <v>618498</v>
      </c>
      <c r="M85" t="s">
        <v>46</v>
      </c>
      <c r="N85" t="s">
        <v>136</v>
      </c>
      <c r="O85" t="s">
        <v>130</v>
      </c>
      <c r="P85" t="s">
        <v>186</v>
      </c>
      <c r="Q85" t="s">
        <v>124</v>
      </c>
      <c r="R85">
        <v>57300</v>
      </c>
      <c r="S85">
        <v>-80600</v>
      </c>
      <c r="T85" s="1">
        <v>42023</v>
      </c>
      <c r="U85" t="s">
        <v>66</v>
      </c>
      <c r="V85" t="s">
        <v>67</v>
      </c>
      <c r="W85" t="s">
        <v>217</v>
      </c>
      <c r="X85" t="s">
        <v>98</v>
      </c>
      <c r="Y85" t="s">
        <v>69</v>
      </c>
      <c r="Z85" t="s">
        <v>127</v>
      </c>
      <c r="AA85" t="s">
        <v>262</v>
      </c>
      <c r="AB85">
        <v>13</v>
      </c>
      <c r="AC85" t="str">
        <f t="shared" si="4"/>
        <v>Afternoon</v>
      </c>
      <c r="AD85">
        <v>1</v>
      </c>
      <c r="AE85" t="s">
        <v>84</v>
      </c>
      <c r="AF85">
        <v>0</v>
      </c>
      <c r="AG85">
        <v>3</v>
      </c>
      <c r="AH85" t="s">
        <v>58</v>
      </c>
      <c r="AI85">
        <v>6490</v>
      </c>
      <c r="AJ85">
        <v>1180</v>
      </c>
      <c r="AK85">
        <v>1180</v>
      </c>
      <c r="AL85">
        <v>4130</v>
      </c>
      <c r="AM85" t="s">
        <v>219</v>
      </c>
      <c r="AN85" t="s">
        <v>263</v>
      </c>
      <c r="AO85">
        <v>2015</v>
      </c>
      <c r="AP85">
        <v>2002</v>
      </c>
      <c r="AQ85">
        <f t="shared" si="5"/>
        <v>13</v>
      </c>
      <c r="AR85" t="s">
        <v>87</v>
      </c>
    </row>
    <row r="86" spans="1:44" x14ac:dyDescent="0.25">
      <c r="A86">
        <v>284</v>
      </c>
      <c r="B86" t="str">
        <f t="shared" si="3"/>
        <v>10+ years</v>
      </c>
      <c r="C86">
        <v>48</v>
      </c>
      <c r="D86" t="str" cm="1">
        <f t="array" ref="D86">_xlfn.IFS(C86&lt;26, "19-25", C86&lt;33, "26-32", C86&lt;40, "33-39", C86&lt;47, "40-46",C86&lt;54, "47-53", TRUE, "54+")</f>
        <v>47-53</v>
      </c>
      <c r="E86">
        <v>498140</v>
      </c>
      <c r="F86" s="1">
        <v>35565</v>
      </c>
      <c r="G86" t="s">
        <v>62</v>
      </c>
      <c r="H86" t="s">
        <v>96</v>
      </c>
      <c r="I86">
        <v>2000</v>
      </c>
      <c r="J86">
        <v>769.95</v>
      </c>
      <c r="K86">
        <v>0</v>
      </c>
      <c r="L86">
        <v>605486</v>
      </c>
      <c r="M86" t="s">
        <v>46</v>
      </c>
      <c r="N86" t="s">
        <v>129</v>
      </c>
      <c r="O86" t="s">
        <v>106</v>
      </c>
      <c r="P86" t="s">
        <v>151</v>
      </c>
      <c r="Q86" t="s">
        <v>147</v>
      </c>
      <c r="R86">
        <v>0</v>
      </c>
      <c r="S86">
        <v>-44200</v>
      </c>
      <c r="T86" s="1">
        <v>42023</v>
      </c>
      <c r="U86" t="s">
        <v>80</v>
      </c>
      <c r="V86" t="s">
        <v>52</v>
      </c>
      <c r="W86" t="s">
        <v>53</v>
      </c>
      <c r="X86" t="s">
        <v>141</v>
      </c>
      <c r="Y86" t="s">
        <v>82</v>
      </c>
      <c r="Z86" t="s">
        <v>127</v>
      </c>
      <c r="AA86" t="s">
        <v>264</v>
      </c>
      <c r="AB86">
        <v>16</v>
      </c>
      <c r="AC86" t="str">
        <f t="shared" si="4"/>
        <v>Afternoon</v>
      </c>
      <c r="AD86">
        <v>2</v>
      </c>
      <c r="AE86" t="s">
        <v>67</v>
      </c>
      <c r="AF86">
        <v>2</v>
      </c>
      <c r="AG86">
        <v>3</v>
      </c>
      <c r="AH86" t="s">
        <v>84</v>
      </c>
      <c r="AI86">
        <v>60940</v>
      </c>
      <c r="AJ86">
        <v>5540</v>
      </c>
      <c r="AK86">
        <v>11080</v>
      </c>
      <c r="AL86">
        <v>44320</v>
      </c>
      <c r="AM86" t="s">
        <v>114</v>
      </c>
      <c r="AN86" t="s">
        <v>139</v>
      </c>
      <c r="AO86">
        <v>2015</v>
      </c>
      <c r="AP86">
        <v>2013</v>
      </c>
      <c r="AQ86">
        <f t="shared" si="5"/>
        <v>2</v>
      </c>
      <c r="AR86" t="s">
        <v>61</v>
      </c>
    </row>
    <row r="87" spans="1:44" x14ac:dyDescent="0.25">
      <c r="A87">
        <v>275</v>
      </c>
      <c r="B87" t="str">
        <f t="shared" si="3"/>
        <v>10+ years</v>
      </c>
      <c r="C87">
        <v>41</v>
      </c>
      <c r="D87" t="str" cm="1">
        <f t="array" ref="D87">_xlfn.IFS(C87&lt;26, "19-25", C87&lt;33, "26-32", C87&lt;40, "33-39", C87&lt;47, "40-46",C87&lt;54, "47-53", TRUE, "54+")</f>
        <v>40-46</v>
      </c>
      <c r="E87">
        <v>498875</v>
      </c>
      <c r="F87" s="1">
        <v>35364</v>
      </c>
      <c r="G87" t="s">
        <v>44</v>
      </c>
      <c r="H87" t="s">
        <v>74</v>
      </c>
      <c r="I87">
        <v>2000</v>
      </c>
      <c r="J87">
        <v>1514.72</v>
      </c>
      <c r="K87">
        <v>0</v>
      </c>
      <c r="L87">
        <v>617970</v>
      </c>
      <c r="M87" t="s">
        <v>46</v>
      </c>
      <c r="N87" t="s">
        <v>136</v>
      </c>
      <c r="O87" t="s">
        <v>150</v>
      </c>
      <c r="P87" t="s">
        <v>78</v>
      </c>
      <c r="Q87" t="s">
        <v>79</v>
      </c>
      <c r="R87">
        <v>35700</v>
      </c>
      <c r="S87">
        <v>0</v>
      </c>
      <c r="T87" s="1">
        <v>42037</v>
      </c>
      <c r="U87" t="s">
        <v>80</v>
      </c>
      <c r="V87" t="s">
        <v>91</v>
      </c>
      <c r="W87" t="s">
        <v>53</v>
      </c>
      <c r="X87" t="s">
        <v>104</v>
      </c>
      <c r="Y87" t="s">
        <v>82</v>
      </c>
      <c r="Z87" t="s">
        <v>161</v>
      </c>
      <c r="AA87" t="s">
        <v>265</v>
      </c>
      <c r="AB87">
        <v>13</v>
      </c>
      <c r="AC87" t="str">
        <f t="shared" si="4"/>
        <v>Afternoon</v>
      </c>
      <c r="AD87">
        <v>3</v>
      </c>
      <c r="AE87" t="s">
        <v>58</v>
      </c>
      <c r="AF87">
        <v>0</v>
      </c>
      <c r="AG87">
        <v>1</v>
      </c>
      <c r="AH87" t="s">
        <v>67</v>
      </c>
      <c r="AI87">
        <v>58300</v>
      </c>
      <c r="AJ87">
        <v>5830</v>
      </c>
      <c r="AK87">
        <v>11660</v>
      </c>
      <c r="AL87">
        <v>40810</v>
      </c>
      <c r="AM87" t="s">
        <v>158</v>
      </c>
      <c r="AN87" t="s">
        <v>159</v>
      </c>
      <c r="AO87">
        <v>2015</v>
      </c>
      <c r="AP87">
        <v>2007</v>
      </c>
      <c r="AQ87">
        <f t="shared" si="5"/>
        <v>8</v>
      </c>
      <c r="AR87" t="s">
        <v>87</v>
      </c>
    </row>
    <row r="88" spans="1:44" x14ac:dyDescent="0.25">
      <c r="A88">
        <v>153</v>
      </c>
      <c r="B88" t="str">
        <f t="shared" si="3"/>
        <v>10+ years</v>
      </c>
      <c r="C88">
        <v>34</v>
      </c>
      <c r="D88" t="str" cm="1">
        <f t="array" ref="D88">_xlfn.IFS(C88&lt;26, "19-25", C88&lt;33, "26-32", C88&lt;40, "33-39", C88&lt;47, "40-46",C88&lt;54, "47-53", TRUE, "54+")</f>
        <v>33-39</v>
      </c>
      <c r="E88">
        <v>798177</v>
      </c>
      <c r="F88" s="1">
        <v>38780</v>
      </c>
      <c r="G88" t="s">
        <v>88</v>
      </c>
      <c r="H88" t="s">
        <v>96</v>
      </c>
      <c r="I88">
        <v>1000</v>
      </c>
      <c r="J88">
        <v>873.64</v>
      </c>
      <c r="K88">
        <v>4000000</v>
      </c>
      <c r="L88">
        <v>432934</v>
      </c>
      <c r="M88" t="s">
        <v>75</v>
      </c>
      <c r="N88" t="s">
        <v>97</v>
      </c>
      <c r="O88" t="s">
        <v>122</v>
      </c>
      <c r="P88" t="s">
        <v>160</v>
      </c>
      <c r="Q88" t="s">
        <v>50</v>
      </c>
      <c r="R88">
        <v>800</v>
      </c>
      <c r="S88">
        <v>0</v>
      </c>
      <c r="T88" s="1">
        <v>42034</v>
      </c>
      <c r="U88" t="s">
        <v>80</v>
      </c>
      <c r="V88" t="s">
        <v>91</v>
      </c>
      <c r="W88" t="s">
        <v>68</v>
      </c>
      <c r="X88" t="s">
        <v>125</v>
      </c>
      <c r="Y88" t="s">
        <v>55</v>
      </c>
      <c r="Z88" t="s">
        <v>56</v>
      </c>
      <c r="AA88" t="s">
        <v>266</v>
      </c>
      <c r="AB88">
        <v>9</v>
      </c>
      <c r="AC88" t="str">
        <f t="shared" si="4"/>
        <v>Morning</v>
      </c>
      <c r="AD88">
        <v>3</v>
      </c>
      <c r="AE88" t="s">
        <v>84</v>
      </c>
      <c r="AF88">
        <v>2</v>
      </c>
      <c r="AG88">
        <v>1</v>
      </c>
      <c r="AH88" t="s">
        <v>67</v>
      </c>
      <c r="AI88">
        <v>68400</v>
      </c>
      <c r="AJ88">
        <v>11400</v>
      </c>
      <c r="AK88">
        <v>11400</v>
      </c>
      <c r="AL88">
        <v>45600</v>
      </c>
      <c r="AM88" t="s">
        <v>134</v>
      </c>
      <c r="AN88" t="s">
        <v>135</v>
      </c>
      <c r="AO88">
        <v>2015</v>
      </c>
      <c r="AP88">
        <v>2007</v>
      </c>
      <c r="AQ88">
        <f t="shared" si="5"/>
        <v>8</v>
      </c>
      <c r="AR88" t="s">
        <v>87</v>
      </c>
    </row>
    <row r="89" spans="1:44" x14ac:dyDescent="0.25">
      <c r="A89">
        <v>134</v>
      </c>
      <c r="B89" t="str">
        <f t="shared" si="3"/>
        <v>10+ years</v>
      </c>
      <c r="C89">
        <v>32</v>
      </c>
      <c r="D89" t="str" cm="1">
        <f t="array" ref="D89">_xlfn.IFS(C89&lt;26, "19-25", C89&lt;33, "26-32", C89&lt;40, "33-39", C89&lt;47, "40-46",C89&lt;54, "47-53", TRUE, "54+")</f>
        <v>26-32</v>
      </c>
      <c r="E89">
        <v>614763</v>
      </c>
      <c r="F89" s="1">
        <v>33240</v>
      </c>
      <c r="G89" t="s">
        <v>88</v>
      </c>
      <c r="H89" t="s">
        <v>96</v>
      </c>
      <c r="I89">
        <v>500</v>
      </c>
      <c r="J89">
        <v>1612.43</v>
      </c>
      <c r="K89">
        <v>0</v>
      </c>
      <c r="L89">
        <v>456762</v>
      </c>
      <c r="M89" t="s">
        <v>75</v>
      </c>
      <c r="N89" t="s">
        <v>47</v>
      </c>
      <c r="O89" t="s">
        <v>116</v>
      </c>
      <c r="P89" t="s">
        <v>160</v>
      </c>
      <c r="Q89" t="s">
        <v>79</v>
      </c>
      <c r="R89">
        <v>36400</v>
      </c>
      <c r="S89">
        <v>0</v>
      </c>
      <c r="T89" s="1">
        <v>42012</v>
      </c>
      <c r="U89" t="s">
        <v>51</v>
      </c>
      <c r="V89" t="s">
        <v>52</v>
      </c>
      <c r="W89" t="s">
        <v>112</v>
      </c>
      <c r="X89" t="s">
        <v>104</v>
      </c>
      <c r="Y89" t="s">
        <v>69</v>
      </c>
      <c r="Z89" t="s">
        <v>107</v>
      </c>
      <c r="AA89" t="s">
        <v>267</v>
      </c>
      <c r="AB89">
        <v>2</v>
      </c>
      <c r="AC89" t="str">
        <f t="shared" si="4"/>
        <v>Night</v>
      </c>
      <c r="AD89">
        <v>1</v>
      </c>
      <c r="AE89" t="s">
        <v>67</v>
      </c>
      <c r="AF89">
        <v>2</v>
      </c>
      <c r="AG89">
        <v>1</v>
      </c>
      <c r="AH89" t="s">
        <v>58</v>
      </c>
      <c r="AI89">
        <v>64240</v>
      </c>
      <c r="AJ89">
        <v>11680</v>
      </c>
      <c r="AK89">
        <v>11680</v>
      </c>
      <c r="AL89">
        <v>40880</v>
      </c>
      <c r="AM89" t="s">
        <v>192</v>
      </c>
      <c r="AN89" t="s">
        <v>193</v>
      </c>
      <c r="AO89">
        <v>2015</v>
      </c>
      <c r="AP89">
        <v>2015</v>
      </c>
      <c r="AQ89">
        <f t="shared" si="5"/>
        <v>0</v>
      </c>
      <c r="AR89" t="s">
        <v>87</v>
      </c>
    </row>
    <row r="90" spans="1:44" x14ac:dyDescent="0.25">
      <c r="A90">
        <v>31</v>
      </c>
      <c r="B90" t="str">
        <f t="shared" si="3"/>
        <v>2-5 years</v>
      </c>
      <c r="C90">
        <v>36</v>
      </c>
      <c r="D90" t="str" cm="1">
        <f t="array" ref="D90">_xlfn.IFS(C90&lt;26, "19-25", C90&lt;33, "26-32", C90&lt;40, "33-39", C90&lt;47, "40-46",C90&lt;54, "47-53", TRUE, "54+")</f>
        <v>33-39</v>
      </c>
      <c r="E90">
        <v>679370</v>
      </c>
      <c r="F90" s="1">
        <v>36387</v>
      </c>
      <c r="G90" t="s">
        <v>88</v>
      </c>
      <c r="H90" t="s">
        <v>96</v>
      </c>
      <c r="I90">
        <v>2000</v>
      </c>
      <c r="J90">
        <v>1318.24</v>
      </c>
      <c r="K90">
        <v>9000000</v>
      </c>
      <c r="L90">
        <v>601748</v>
      </c>
      <c r="M90" t="s">
        <v>75</v>
      </c>
      <c r="N90" t="s">
        <v>146</v>
      </c>
      <c r="O90" t="s">
        <v>106</v>
      </c>
      <c r="P90" t="s">
        <v>175</v>
      </c>
      <c r="Q90" t="s">
        <v>147</v>
      </c>
      <c r="R90">
        <v>0</v>
      </c>
      <c r="S90">
        <v>-78600</v>
      </c>
      <c r="T90" s="1">
        <v>42034</v>
      </c>
      <c r="U90" t="s">
        <v>143</v>
      </c>
      <c r="V90" t="s">
        <v>67</v>
      </c>
      <c r="W90" t="s">
        <v>217</v>
      </c>
      <c r="X90" t="s">
        <v>98</v>
      </c>
      <c r="Y90" t="s">
        <v>118</v>
      </c>
      <c r="Z90" t="s">
        <v>92</v>
      </c>
      <c r="AA90" t="s">
        <v>268</v>
      </c>
      <c r="AB90">
        <v>9</v>
      </c>
      <c r="AC90" t="str">
        <f t="shared" si="4"/>
        <v>Morning</v>
      </c>
      <c r="AD90">
        <v>1</v>
      </c>
      <c r="AE90" t="s">
        <v>84</v>
      </c>
      <c r="AF90">
        <v>0</v>
      </c>
      <c r="AG90">
        <v>1</v>
      </c>
      <c r="AH90" t="s">
        <v>58</v>
      </c>
      <c r="AI90">
        <v>4700</v>
      </c>
      <c r="AJ90">
        <v>940</v>
      </c>
      <c r="AK90">
        <v>470</v>
      </c>
      <c r="AL90">
        <v>3290</v>
      </c>
      <c r="AM90" t="s">
        <v>85</v>
      </c>
      <c r="AN90" t="s">
        <v>149</v>
      </c>
      <c r="AO90">
        <v>2015</v>
      </c>
      <c r="AP90">
        <v>2002</v>
      </c>
      <c r="AQ90">
        <f t="shared" si="5"/>
        <v>13</v>
      </c>
      <c r="AR90" t="s">
        <v>87</v>
      </c>
    </row>
    <row r="91" spans="1:44" x14ac:dyDescent="0.25">
      <c r="A91">
        <v>41</v>
      </c>
      <c r="B91" t="str">
        <f t="shared" si="3"/>
        <v>2-5 years</v>
      </c>
      <c r="C91">
        <v>25</v>
      </c>
      <c r="D91" t="str" cm="1">
        <f t="array" ref="D91">_xlfn.IFS(C91&lt;26, "19-25", C91&lt;33, "26-32", C91&lt;40, "33-39", C91&lt;47, "40-46",C91&lt;54, "47-53", TRUE, "54+")</f>
        <v>19-25</v>
      </c>
      <c r="E91">
        <v>958857</v>
      </c>
      <c r="F91" s="1">
        <v>33618</v>
      </c>
      <c r="G91" t="s">
        <v>62</v>
      </c>
      <c r="H91" t="s">
        <v>74</v>
      </c>
      <c r="I91">
        <v>1000</v>
      </c>
      <c r="J91">
        <v>1226.83</v>
      </c>
      <c r="K91">
        <v>0</v>
      </c>
      <c r="L91">
        <v>607763</v>
      </c>
      <c r="M91" t="s">
        <v>75</v>
      </c>
      <c r="N91" t="s">
        <v>146</v>
      </c>
      <c r="O91" t="s">
        <v>130</v>
      </c>
      <c r="P91" t="s">
        <v>269</v>
      </c>
      <c r="Q91" t="s">
        <v>147</v>
      </c>
      <c r="R91">
        <v>0</v>
      </c>
      <c r="S91">
        <v>-56100</v>
      </c>
      <c r="T91" s="1">
        <v>42011</v>
      </c>
      <c r="U91" t="s">
        <v>80</v>
      </c>
      <c r="V91" t="s">
        <v>52</v>
      </c>
      <c r="W91" t="s">
        <v>53</v>
      </c>
      <c r="X91" t="s">
        <v>125</v>
      </c>
      <c r="Y91" t="s">
        <v>55</v>
      </c>
      <c r="Z91" t="s">
        <v>56</v>
      </c>
      <c r="AA91" t="s">
        <v>270</v>
      </c>
      <c r="AB91">
        <v>12</v>
      </c>
      <c r="AC91" t="str">
        <f t="shared" si="4"/>
        <v>Afternoon</v>
      </c>
      <c r="AD91">
        <v>3</v>
      </c>
      <c r="AE91" t="s">
        <v>58</v>
      </c>
      <c r="AF91">
        <v>2</v>
      </c>
      <c r="AG91">
        <v>0</v>
      </c>
      <c r="AH91" t="s">
        <v>67</v>
      </c>
      <c r="AI91">
        <v>45120</v>
      </c>
      <c r="AJ91">
        <v>0</v>
      </c>
      <c r="AK91">
        <v>5640</v>
      </c>
      <c r="AL91">
        <v>39480</v>
      </c>
      <c r="AM91" t="s">
        <v>100</v>
      </c>
      <c r="AN91" t="s">
        <v>153</v>
      </c>
      <c r="AO91">
        <v>2015</v>
      </c>
      <c r="AP91">
        <v>2011</v>
      </c>
      <c r="AQ91">
        <f t="shared" si="5"/>
        <v>4</v>
      </c>
      <c r="AR91" t="s">
        <v>61</v>
      </c>
    </row>
    <row r="92" spans="1:44" x14ac:dyDescent="0.25">
      <c r="A92">
        <v>127</v>
      </c>
      <c r="B92" t="str">
        <f t="shared" si="3"/>
        <v>10+ years</v>
      </c>
      <c r="C92">
        <v>29</v>
      </c>
      <c r="D92" t="str" cm="1">
        <f t="array" ref="D92">_xlfn.IFS(C92&lt;26, "19-25", C92&lt;33, "26-32", C92&lt;40, "33-39", C92&lt;47, "40-46",C92&lt;54, "47-53", TRUE, "54+")</f>
        <v>26-32</v>
      </c>
      <c r="E92">
        <v>686816</v>
      </c>
      <c r="F92" s="1">
        <v>36501</v>
      </c>
      <c r="G92" t="s">
        <v>44</v>
      </c>
      <c r="H92" t="s">
        <v>45</v>
      </c>
      <c r="I92">
        <v>2000</v>
      </c>
      <c r="J92">
        <v>1326.44</v>
      </c>
      <c r="K92">
        <v>5000000</v>
      </c>
      <c r="L92">
        <v>436973</v>
      </c>
      <c r="M92" t="s">
        <v>75</v>
      </c>
      <c r="N92" t="s">
        <v>136</v>
      </c>
      <c r="O92" t="s">
        <v>77</v>
      </c>
      <c r="P92" t="s">
        <v>78</v>
      </c>
      <c r="Q92" t="s">
        <v>79</v>
      </c>
      <c r="R92">
        <v>0</v>
      </c>
      <c r="S92">
        <v>0</v>
      </c>
      <c r="T92" s="1">
        <v>42059</v>
      </c>
      <c r="U92" t="s">
        <v>80</v>
      </c>
      <c r="V92" t="s">
        <v>91</v>
      </c>
      <c r="W92" t="s">
        <v>112</v>
      </c>
      <c r="X92" t="s">
        <v>104</v>
      </c>
      <c r="Y92" t="s">
        <v>55</v>
      </c>
      <c r="Z92" t="s">
        <v>92</v>
      </c>
      <c r="AA92" t="s">
        <v>271</v>
      </c>
      <c r="AB92">
        <v>12</v>
      </c>
      <c r="AC92" t="str">
        <f t="shared" si="4"/>
        <v>Afternoon</v>
      </c>
      <c r="AD92">
        <v>2</v>
      </c>
      <c r="AE92" t="s">
        <v>58</v>
      </c>
      <c r="AF92">
        <v>1</v>
      </c>
      <c r="AG92">
        <v>1</v>
      </c>
      <c r="AH92" t="s">
        <v>67</v>
      </c>
      <c r="AI92">
        <v>66950</v>
      </c>
      <c r="AJ92">
        <v>10300</v>
      </c>
      <c r="AK92">
        <v>10300</v>
      </c>
      <c r="AL92">
        <v>46350</v>
      </c>
      <c r="AM92" t="s">
        <v>59</v>
      </c>
      <c r="AN92">
        <v>93</v>
      </c>
      <c r="AO92">
        <v>2015</v>
      </c>
      <c r="AP92">
        <v>1995</v>
      </c>
      <c r="AQ92">
        <f t="shared" si="5"/>
        <v>20</v>
      </c>
      <c r="AR92" t="s">
        <v>87</v>
      </c>
    </row>
    <row r="93" spans="1:44" x14ac:dyDescent="0.25">
      <c r="A93">
        <v>61</v>
      </c>
      <c r="B93" t="str">
        <f t="shared" si="3"/>
        <v>5-10 years</v>
      </c>
      <c r="C93">
        <v>23</v>
      </c>
      <c r="D93" t="str" cm="1">
        <f t="array" ref="D93">_xlfn.IFS(C93&lt;26, "19-25", C93&lt;33, "26-32", C93&lt;40, "33-39", C93&lt;47, "40-46",C93&lt;54, "47-53", TRUE, "54+")</f>
        <v>19-25</v>
      </c>
      <c r="E93">
        <v>127754</v>
      </c>
      <c r="F93" s="1">
        <v>34126</v>
      </c>
      <c r="G93" t="s">
        <v>88</v>
      </c>
      <c r="H93" t="s">
        <v>45</v>
      </c>
      <c r="I93">
        <v>2000</v>
      </c>
      <c r="J93">
        <v>1136.83</v>
      </c>
      <c r="K93">
        <v>4000000</v>
      </c>
      <c r="L93">
        <v>471300</v>
      </c>
      <c r="M93" t="s">
        <v>75</v>
      </c>
      <c r="N93" t="s">
        <v>97</v>
      </c>
      <c r="O93" t="s">
        <v>102</v>
      </c>
      <c r="P93" t="s">
        <v>269</v>
      </c>
      <c r="Q93" t="s">
        <v>79</v>
      </c>
      <c r="R93">
        <v>0</v>
      </c>
      <c r="S93">
        <v>-62400</v>
      </c>
      <c r="T93" s="1">
        <v>42037</v>
      </c>
      <c r="U93" t="s">
        <v>51</v>
      </c>
      <c r="V93" t="s">
        <v>52</v>
      </c>
      <c r="W93" t="s">
        <v>53</v>
      </c>
      <c r="X93" t="s">
        <v>54</v>
      </c>
      <c r="Y93" t="s">
        <v>82</v>
      </c>
      <c r="Z93" t="s">
        <v>56</v>
      </c>
      <c r="AA93" t="s">
        <v>272</v>
      </c>
      <c r="AB93">
        <v>14</v>
      </c>
      <c r="AC93" t="str">
        <f t="shared" si="4"/>
        <v>Afternoon</v>
      </c>
      <c r="AD93">
        <v>1</v>
      </c>
      <c r="AE93" t="s">
        <v>84</v>
      </c>
      <c r="AF93">
        <v>0</v>
      </c>
      <c r="AG93">
        <v>3</v>
      </c>
      <c r="AH93" t="s">
        <v>67</v>
      </c>
      <c r="AI93">
        <v>98340</v>
      </c>
      <c r="AJ93">
        <v>8940</v>
      </c>
      <c r="AK93">
        <v>17880</v>
      </c>
      <c r="AL93">
        <v>71520</v>
      </c>
      <c r="AM93" t="s">
        <v>214</v>
      </c>
      <c r="AN93" t="s">
        <v>236</v>
      </c>
      <c r="AO93">
        <v>2015</v>
      </c>
      <c r="AP93">
        <v>2004</v>
      </c>
      <c r="AQ93">
        <f t="shared" si="5"/>
        <v>11</v>
      </c>
      <c r="AR93" t="s">
        <v>61</v>
      </c>
    </row>
    <row r="94" spans="1:44" x14ac:dyDescent="0.25">
      <c r="A94">
        <v>207</v>
      </c>
      <c r="B94" t="str">
        <f t="shared" si="3"/>
        <v>10+ years</v>
      </c>
      <c r="C94">
        <v>42</v>
      </c>
      <c r="D94" t="str" cm="1">
        <f t="array" ref="D94">_xlfn.IFS(C94&lt;26, "19-25", C94&lt;33, "26-32", C94&lt;40, "33-39", C94&lt;47, "40-46",C94&lt;54, "47-53", TRUE, "54+")</f>
        <v>40-46</v>
      </c>
      <c r="E94">
        <v>918629</v>
      </c>
      <c r="F94" s="1">
        <v>36802</v>
      </c>
      <c r="G94" t="s">
        <v>88</v>
      </c>
      <c r="H94" t="s">
        <v>45</v>
      </c>
      <c r="I94">
        <v>2000</v>
      </c>
      <c r="J94">
        <v>1322.78</v>
      </c>
      <c r="K94">
        <v>0</v>
      </c>
      <c r="L94">
        <v>453277</v>
      </c>
      <c r="M94" t="s">
        <v>46</v>
      </c>
      <c r="N94" t="s">
        <v>76</v>
      </c>
      <c r="O94" t="s">
        <v>194</v>
      </c>
      <c r="P94" t="s">
        <v>160</v>
      </c>
      <c r="Q94" t="s">
        <v>79</v>
      </c>
      <c r="R94">
        <v>55200</v>
      </c>
      <c r="S94">
        <v>0</v>
      </c>
      <c r="T94" s="1">
        <v>42063</v>
      </c>
      <c r="U94" t="s">
        <v>143</v>
      </c>
      <c r="V94" t="s">
        <v>67</v>
      </c>
      <c r="W94" t="s">
        <v>217</v>
      </c>
      <c r="X94" t="s">
        <v>98</v>
      </c>
      <c r="Y94" t="s">
        <v>118</v>
      </c>
      <c r="Z94" t="s">
        <v>107</v>
      </c>
      <c r="AA94" t="s">
        <v>273</v>
      </c>
      <c r="AB94">
        <v>9</v>
      </c>
      <c r="AC94" t="str">
        <f t="shared" si="4"/>
        <v>Morning</v>
      </c>
      <c r="AD94">
        <v>1</v>
      </c>
      <c r="AE94" t="s">
        <v>84</v>
      </c>
      <c r="AF94">
        <v>0</v>
      </c>
      <c r="AG94">
        <v>1</v>
      </c>
      <c r="AH94" t="s">
        <v>84</v>
      </c>
      <c r="AI94">
        <v>5900</v>
      </c>
      <c r="AJ94">
        <v>590</v>
      </c>
      <c r="AK94">
        <v>590</v>
      </c>
      <c r="AL94">
        <v>4720</v>
      </c>
      <c r="AM94" t="s">
        <v>192</v>
      </c>
      <c r="AN94" t="s">
        <v>208</v>
      </c>
      <c r="AO94">
        <v>2015</v>
      </c>
      <c r="AP94">
        <v>2007</v>
      </c>
      <c r="AQ94">
        <f t="shared" si="5"/>
        <v>8</v>
      </c>
      <c r="AR94" t="s">
        <v>87</v>
      </c>
    </row>
    <row r="95" spans="1:44" x14ac:dyDescent="0.25">
      <c r="A95">
        <v>219</v>
      </c>
      <c r="B95" t="str">
        <f t="shared" si="3"/>
        <v>10+ years</v>
      </c>
      <c r="C95">
        <v>43</v>
      </c>
      <c r="D95" t="str" cm="1">
        <f t="array" ref="D95">_xlfn.IFS(C95&lt;26, "19-25", C95&lt;33, "26-32", C95&lt;40, "33-39", C95&lt;47, "40-46",C95&lt;54, "47-53", TRUE, "54+")</f>
        <v>40-46</v>
      </c>
      <c r="E95">
        <v>731450</v>
      </c>
      <c r="F95" s="1">
        <v>40541</v>
      </c>
      <c r="G95" t="s">
        <v>62</v>
      </c>
      <c r="H95" t="s">
        <v>74</v>
      </c>
      <c r="I95">
        <v>1000</v>
      </c>
      <c r="J95">
        <v>1483.25</v>
      </c>
      <c r="K95">
        <v>0</v>
      </c>
      <c r="L95">
        <v>465100</v>
      </c>
      <c r="M95" t="s">
        <v>75</v>
      </c>
      <c r="N95" t="s">
        <v>47</v>
      </c>
      <c r="O95" t="s">
        <v>130</v>
      </c>
      <c r="P95" t="s">
        <v>269</v>
      </c>
      <c r="Q95" t="s">
        <v>147</v>
      </c>
      <c r="R95">
        <v>90700</v>
      </c>
      <c r="S95">
        <v>-20800</v>
      </c>
      <c r="T95" s="1">
        <v>42044</v>
      </c>
      <c r="U95" t="s">
        <v>80</v>
      </c>
      <c r="V95" t="s">
        <v>91</v>
      </c>
      <c r="W95" t="s">
        <v>53</v>
      </c>
      <c r="X95" t="s">
        <v>141</v>
      </c>
      <c r="Y95" t="s">
        <v>126</v>
      </c>
      <c r="Z95" t="s">
        <v>70</v>
      </c>
      <c r="AA95" t="s">
        <v>274</v>
      </c>
      <c r="AB95">
        <v>3</v>
      </c>
      <c r="AC95" t="str">
        <f t="shared" si="4"/>
        <v>Night</v>
      </c>
      <c r="AD95">
        <v>3</v>
      </c>
      <c r="AE95" t="s">
        <v>84</v>
      </c>
      <c r="AF95">
        <v>1</v>
      </c>
      <c r="AG95">
        <v>1</v>
      </c>
      <c r="AH95" t="s">
        <v>67</v>
      </c>
      <c r="AI95">
        <v>70680</v>
      </c>
      <c r="AJ95">
        <v>5890</v>
      </c>
      <c r="AK95">
        <v>11780</v>
      </c>
      <c r="AL95">
        <v>53010</v>
      </c>
      <c r="AM95" t="s">
        <v>134</v>
      </c>
      <c r="AN95" t="s">
        <v>254</v>
      </c>
      <c r="AO95">
        <v>2015</v>
      </c>
      <c r="AP95">
        <v>2009</v>
      </c>
      <c r="AQ95">
        <f t="shared" si="5"/>
        <v>6</v>
      </c>
      <c r="AR95" t="s">
        <v>87</v>
      </c>
    </row>
    <row r="96" spans="1:44" x14ac:dyDescent="0.25">
      <c r="A96">
        <v>271</v>
      </c>
      <c r="B96" t="str">
        <f t="shared" si="3"/>
        <v>10+ years</v>
      </c>
      <c r="C96">
        <v>42</v>
      </c>
      <c r="D96" t="str" cm="1">
        <f t="array" ref="D96">_xlfn.IFS(C96&lt;26, "19-25", C96&lt;33, "26-32", C96&lt;40, "33-39", C96&lt;47, "40-46",C96&lt;54, "47-53", TRUE, "54+")</f>
        <v>40-46</v>
      </c>
      <c r="E96">
        <v>307447</v>
      </c>
      <c r="F96" s="1">
        <v>32949</v>
      </c>
      <c r="G96" t="s">
        <v>88</v>
      </c>
      <c r="H96" t="s">
        <v>74</v>
      </c>
      <c r="I96">
        <v>500</v>
      </c>
      <c r="J96">
        <v>1515.3</v>
      </c>
      <c r="K96">
        <v>0</v>
      </c>
      <c r="L96">
        <v>603248</v>
      </c>
      <c r="M96" t="s">
        <v>75</v>
      </c>
      <c r="N96" t="s">
        <v>136</v>
      </c>
      <c r="O96" t="s">
        <v>63</v>
      </c>
      <c r="P96" t="s">
        <v>154</v>
      </c>
      <c r="Q96" t="s">
        <v>147</v>
      </c>
      <c r="R96">
        <v>0</v>
      </c>
      <c r="S96">
        <v>0</v>
      </c>
      <c r="T96" s="1">
        <v>42023</v>
      </c>
      <c r="U96" t="s">
        <v>80</v>
      </c>
      <c r="V96" t="s">
        <v>81</v>
      </c>
      <c r="W96" t="s">
        <v>112</v>
      </c>
      <c r="X96" t="s">
        <v>141</v>
      </c>
      <c r="Y96" t="s">
        <v>55</v>
      </c>
      <c r="Z96" t="s">
        <v>132</v>
      </c>
      <c r="AA96" t="s">
        <v>275</v>
      </c>
      <c r="AB96">
        <v>21</v>
      </c>
      <c r="AC96" t="str">
        <f t="shared" si="4"/>
        <v>Evening</v>
      </c>
      <c r="AD96">
        <v>3</v>
      </c>
      <c r="AE96" t="s">
        <v>84</v>
      </c>
      <c r="AF96">
        <v>1</v>
      </c>
      <c r="AG96">
        <v>0</v>
      </c>
      <c r="AH96" t="s">
        <v>84</v>
      </c>
      <c r="AI96">
        <v>93720</v>
      </c>
      <c r="AJ96">
        <v>17040</v>
      </c>
      <c r="AK96">
        <v>8520</v>
      </c>
      <c r="AL96">
        <v>68160</v>
      </c>
      <c r="AM96" t="s">
        <v>72</v>
      </c>
      <c r="AN96" t="s">
        <v>276</v>
      </c>
      <c r="AO96">
        <v>2015</v>
      </c>
      <c r="AP96">
        <v>2005</v>
      </c>
      <c r="AQ96">
        <f t="shared" si="5"/>
        <v>10</v>
      </c>
      <c r="AR96" t="s">
        <v>87</v>
      </c>
    </row>
    <row r="97" spans="1:44" x14ac:dyDescent="0.25">
      <c r="A97">
        <v>80</v>
      </c>
      <c r="B97" t="str">
        <f t="shared" si="3"/>
        <v>5-10 years</v>
      </c>
      <c r="C97">
        <v>25</v>
      </c>
      <c r="D97" t="str" cm="1">
        <f t="array" ref="D97">_xlfn.IFS(C97&lt;26, "19-25", C97&lt;33, "26-32", C97&lt;40, "33-39", C97&lt;47, "40-46",C97&lt;54, "47-53", TRUE, "54+")</f>
        <v>19-25</v>
      </c>
      <c r="E97">
        <v>992145</v>
      </c>
      <c r="F97" s="1">
        <v>40969</v>
      </c>
      <c r="G97" t="s">
        <v>88</v>
      </c>
      <c r="H97" t="s">
        <v>74</v>
      </c>
      <c r="I97">
        <v>2000</v>
      </c>
      <c r="J97">
        <v>1075.18</v>
      </c>
      <c r="K97">
        <v>5000000</v>
      </c>
      <c r="L97">
        <v>601112</v>
      </c>
      <c r="M97" t="s">
        <v>75</v>
      </c>
      <c r="N97" t="s">
        <v>76</v>
      </c>
      <c r="O97" t="s">
        <v>89</v>
      </c>
      <c r="P97" t="s">
        <v>269</v>
      </c>
      <c r="Q97" t="s">
        <v>50</v>
      </c>
      <c r="R97">
        <v>67700</v>
      </c>
      <c r="S97">
        <v>-58400</v>
      </c>
      <c r="T97" s="1">
        <v>42056</v>
      </c>
      <c r="U97" t="s">
        <v>66</v>
      </c>
      <c r="V97" t="s">
        <v>67</v>
      </c>
      <c r="W97" t="s">
        <v>68</v>
      </c>
      <c r="X97" t="s">
        <v>98</v>
      </c>
      <c r="Y97" t="s">
        <v>44</v>
      </c>
      <c r="Z97" t="s">
        <v>161</v>
      </c>
      <c r="AA97" t="s">
        <v>277</v>
      </c>
      <c r="AB97">
        <v>5</v>
      </c>
      <c r="AC97" t="str">
        <f t="shared" si="4"/>
        <v>Night</v>
      </c>
      <c r="AD97">
        <v>1</v>
      </c>
      <c r="AE97" t="s">
        <v>84</v>
      </c>
      <c r="AF97">
        <v>2</v>
      </c>
      <c r="AG97">
        <v>0</v>
      </c>
      <c r="AH97" t="s">
        <v>58</v>
      </c>
      <c r="AI97">
        <v>6930</v>
      </c>
      <c r="AJ97">
        <v>1260</v>
      </c>
      <c r="AK97">
        <v>630</v>
      </c>
      <c r="AL97">
        <v>5040</v>
      </c>
      <c r="AM97" t="s">
        <v>120</v>
      </c>
      <c r="AN97" t="s">
        <v>145</v>
      </c>
      <c r="AO97">
        <v>2015</v>
      </c>
      <c r="AP97">
        <v>2001</v>
      </c>
      <c r="AQ97">
        <f t="shared" si="5"/>
        <v>14</v>
      </c>
      <c r="AR97" t="s">
        <v>87</v>
      </c>
    </row>
    <row r="98" spans="1:44" x14ac:dyDescent="0.25">
      <c r="A98">
        <v>325</v>
      </c>
      <c r="B98" t="str">
        <f t="shared" si="3"/>
        <v>10+ years</v>
      </c>
      <c r="C98">
        <v>47</v>
      </c>
      <c r="D98" t="str" cm="1">
        <f t="array" ref="D98">_xlfn.IFS(C98&lt;26, "19-25", C98&lt;33, "26-32", C98&lt;40, "33-39", C98&lt;47, "40-46",C98&lt;54, "47-53", TRUE, "54+")</f>
        <v>47-53</v>
      </c>
      <c r="E98">
        <v>900628</v>
      </c>
      <c r="F98" s="1">
        <v>38753</v>
      </c>
      <c r="G98" t="s">
        <v>62</v>
      </c>
      <c r="H98" t="s">
        <v>96</v>
      </c>
      <c r="I98">
        <v>1000</v>
      </c>
      <c r="J98">
        <v>1690.27</v>
      </c>
      <c r="K98">
        <v>0</v>
      </c>
      <c r="L98">
        <v>438830</v>
      </c>
      <c r="M98" t="s">
        <v>75</v>
      </c>
      <c r="N98" t="s">
        <v>97</v>
      </c>
      <c r="O98" t="s">
        <v>140</v>
      </c>
      <c r="P98" t="s">
        <v>154</v>
      </c>
      <c r="Q98" t="s">
        <v>147</v>
      </c>
      <c r="R98">
        <v>61500</v>
      </c>
      <c r="S98">
        <v>0</v>
      </c>
      <c r="T98" s="1">
        <v>42018</v>
      </c>
      <c r="U98" t="s">
        <v>51</v>
      </c>
      <c r="V98" t="s">
        <v>52</v>
      </c>
      <c r="W98" t="s">
        <v>53</v>
      </c>
      <c r="X98" t="s">
        <v>104</v>
      </c>
      <c r="Y98" t="s">
        <v>69</v>
      </c>
      <c r="Z98" t="s">
        <v>107</v>
      </c>
      <c r="AA98" t="s">
        <v>278</v>
      </c>
      <c r="AB98">
        <v>11</v>
      </c>
      <c r="AC98" t="str">
        <f t="shared" si="4"/>
        <v>Morning</v>
      </c>
      <c r="AD98">
        <v>1</v>
      </c>
      <c r="AE98" t="s">
        <v>58</v>
      </c>
      <c r="AF98">
        <v>0</v>
      </c>
      <c r="AG98">
        <v>3</v>
      </c>
      <c r="AH98" t="s">
        <v>84</v>
      </c>
      <c r="AI98">
        <v>72930</v>
      </c>
      <c r="AJ98">
        <v>6630</v>
      </c>
      <c r="AK98">
        <v>6630</v>
      </c>
      <c r="AL98">
        <v>59670</v>
      </c>
      <c r="AM98" t="s">
        <v>85</v>
      </c>
      <c r="AN98" t="s">
        <v>86</v>
      </c>
      <c r="AO98">
        <v>2015</v>
      </c>
      <c r="AP98">
        <v>2006</v>
      </c>
      <c r="AQ98">
        <f t="shared" si="5"/>
        <v>9</v>
      </c>
      <c r="AR98" t="s">
        <v>61</v>
      </c>
    </row>
    <row r="99" spans="1:44" x14ac:dyDescent="0.25">
      <c r="A99">
        <v>29</v>
      </c>
      <c r="B99" t="str">
        <f t="shared" si="3"/>
        <v>2-5 years</v>
      </c>
      <c r="C99">
        <v>25</v>
      </c>
      <c r="D99" t="str" cm="1">
        <f t="array" ref="D99">_xlfn.IFS(C99&lt;26, "19-25", C99&lt;33, "26-32", C99&lt;40, "33-39", C99&lt;47, "40-46",C99&lt;54, "47-53", TRUE, "54+")</f>
        <v>19-25</v>
      </c>
      <c r="E99">
        <v>235220</v>
      </c>
      <c r="F99" s="1">
        <v>41944</v>
      </c>
      <c r="G99" t="s">
        <v>88</v>
      </c>
      <c r="H99" t="s">
        <v>45</v>
      </c>
      <c r="I99">
        <v>2000</v>
      </c>
      <c r="J99">
        <v>1352.83</v>
      </c>
      <c r="K99">
        <v>0</v>
      </c>
      <c r="L99">
        <v>464959</v>
      </c>
      <c r="M99" t="s">
        <v>46</v>
      </c>
      <c r="N99" t="s">
        <v>129</v>
      </c>
      <c r="O99" t="s">
        <v>194</v>
      </c>
      <c r="P99" t="s">
        <v>137</v>
      </c>
      <c r="Q99" t="s">
        <v>79</v>
      </c>
      <c r="R99">
        <v>0</v>
      </c>
      <c r="S99">
        <v>-71700</v>
      </c>
      <c r="T99" s="1">
        <v>42026</v>
      </c>
      <c r="U99" t="s">
        <v>80</v>
      </c>
      <c r="V99" t="s">
        <v>81</v>
      </c>
      <c r="W99" t="s">
        <v>68</v>
      </c>
      <c r="X99" t="s">
        <v>125</v>
      </c>
      <c r="Y99" t="s">
        <v>55</v>
      </c>
      <c r="Z99" t="s">
        <v>127</v>
      </c>
      <c r="AA99" t="s">
        <v>279</v>
      </c>
      <c r="AB99">
        <v>4</v>
      </c>
      <c r="AC99" t="str">
        <f t="shared" si="4"/>
        <v>Night</v>
      </c>
      <c r="AD99">
        <v>4</v>
      </c>
      <c r="AE99" t="s">
        <v>58</v>
      </c>
      <c r="AF99">
        <v>1</v>
      </c>
      <c r="AG99">
        <v>2</v>
      </c>
      <c r="AH99" t="s">
        <v>58</v>
      </c>
      <c r="AI99">
        <v>64890</v>
      </c>
      <c r="AJ99">
        <v>7210</v>
      </c>
      <c r="AK99">
        <v>7210</v>
      </c>
      <c r="AL99">
        <v>50470</v>
      </c>
      <c r="AM99" t="s">
        <v>109</v>
      </c>
      <c r="AN99" t="s">
        <v>110</v>
      </c>
      <c r="AO99">
        <v>2015</v>
      </c>
      <c r="AP99">
        <v>2013</v>
      </c>
      <c r="AQ99">
        <f t="shared" si="5"/>
        <v>2</v>
      </c>
      <c r="AR99" t="s">
        <v>61</v>
      </c>
    </row>
    <row r="100" spans="1:44" x14ac:dyDescent="0.25">
      <c r="A100">
        <v>295</v>
      </c>
      <c r="B100" t="str">
        <f t="shared" si="3"/>
        <v>10+ years</v>
      </c>
      <c r="C100">
        <v>48</v>
      </c>
      <c r="D100" t="str" cm="1">
        <f t="array" ref="D100">_xlfn.IFS(C100&lt;26, "19-25", C100&lt;33, "26-32", C100&lt;40, "33-39", C100&lt;47, "40-46",C100&lt;54, "47-53", TRUE, "54+")</f>
        <v>47-53</v>
      </c>
      <c r="E100">
        <v>740019</v>
      </c>
      <c r="F100" s="1">
        <v>39981</v>
      </c>
      <c r="G100" t="s">
        <v>44</v>
      </c>
      <c r="H100" t="s">
        <v>45</v>
      </c>
      <c r="I100">
        <v>1000</v>
      </c>
      <c r="J100">
        <v>1148.73</v>
      </c>
      <c r="K100">
        <v>0</v>
      </c>
      <c r="L100">
        <v>439787</v>
      </c>
      <c r="M100" t="s">
        <v>75</v>
      </c>
      <c r="N100" t="s">
        <v>146</v>
      </c>
      <c r="O100" t="s">
        <v>63</v>
      </c>
      <c r="P100" t="s">
        <v>175</v>
      </c>
      <c r="Q100" t="s">
        <v>124</v>
      </c>
      <c r="R100">
        <v>0</v>
      </c>
      <c r="S100">
        <v>0</v>
      </c>
      <c r="T100" s="1">
        <v>42057</v>
      </c>
      <c r="U100" t="s">
        <v>143</v>
      </c>
      <c r="V100" t="s">
        <v>67</v>
      </c>
      <c r="W100" t="s">
        <v>217</v>
      </c>
      <c r="X100" t="s">
        <v>98</v>
      </c>
      <c r="Y100" t="s">
        <v>118</v>
      </c>
      <c r="Z100" t="s">
        <v>56</v>
      </c>
      <c r="AA100" t="s">
        <v>280</v>
      </c>
      <c r="AB100">
        <v>6</v>
      </c>
      <c r="AC100" t="str">
        <f t="shared" si="4"/>
        <v>Morning</v>
      </c>
      <c r="AD100">
        <v>1</v>
      </c>
      <c r="AE100" t="s">
        <v>67</v>
      </c>
      <c r="AF100">
        <v>1</v>
      </c>
      <c r="AG100">
        <v>2</v>
      </c>
      <c r="AH100" t="s">
        <v>58</v>
      </c>
      <c r="AI100">
        <v>5400</v>
      </c>
      <c r="AJ100">
        <v>900</v>
      </c>
      <c r="AK100">
        <v>900</v>
      </c>
      <c r="AL100">
        <v>3600</v>
      </c>
      <c r="AM100" t="s">
        <v>59</v>
      </c>
      <c r="AN100">
        <v>95</v>
      </c>
      <c r="AO100">
        <v>2015</v>
      </c>
      <c r="AP100">
        <v>1999</v>
      </c>
      <c r="AQ100">
        <f t="shared" si="5"/>
        <v>16</v>
      </c>
      <c r="AR100" t="s">
        <v>87</v>
      </c>
    </row>
    <row r="101" spans="1:44" x14ac:dyDescent="0.25">
      <c r="A101">
        <v>239</v>
      </c>
      <c r="B101" t="str">
        <f t="shared" si="3"/>
        <v>10+ years</v>
      </c>
      <c r="C101">
        <v>42</v>
      </c>
      <c r="D101" t="str" cm="1">
        <f t="array" ref="D101">_xlfn.IFS(C101&lt;26, "19-25", C101&lt;33, "26-32", C101&lt;40, "33-39", C101&lt;47, "40-46",C101&lt;54, "47-53", TRUE, "54+")</f>
        <v>40-46</v>
      </c>
      <c r="E101">
        <v>246882</v>
      </c>
      <c r="F101" s="1">
        <v>36423</v>
      </c>
      <c r="G101" t="s">
        <v>88</v>
      </c>
      <c r="H101" t="s">
        <v>74</v>
      </c>
      <c r="I101">
        <v>1000</v>
      </c>
      <c r="J101">
        <v>969.5</v>
      </c>
      <c r="K101">
        <v>0</v>
      </c>
      <c r="L101">
        <v>464839</v>
      </c>
      <c r="M101" t="s">
        <v>46</v>
      </c>
      <c r="N101" t="s">
        <v>146</v>
      </c>
      <c r="O101" t="s">
        <v>130</v>
      </c>
      <c r="P101" t="s">
        <v>64</v>
      </c>
      <c r="Q101" t="s">
        <v>147</v>
      </c>
      <c r="R101">
        <v>0</v>
      </c>
      <c r="S101">
        <v>0</v>
      </c>
      <c r="T101" s="1">
        <v>42030</v>
      </c>
      <c r="U101" t="s">
        <v>66</v>
      </c>
      <c r="V101" t="s">
        <v>67</v>
      </c>
      <c r="W101" t="s">
        <v>217</v>
      </c>
      <c r="X101" t="s">
        <v>98</v>
      </c>
      <c r="Y101" t="s">
        <v>126</v>
      </c>
      <c r="Z101" t="s">
        <v>161</v>
      </c>
      <c r="AA101" t="s">
        <v>281</v>
      </c>
      <c r="AB101">
        <v>10</v>
      </c>
      <c r="AC101" t="str">
        <f t="shared" si="4"/>
        <v>Morning</v>
      </c>
      <c r="AD101">
        <v>1</v>
      </c>
      <c r="AE101" t="s">
        <v>84</v>
      </c>
      <c r="AF101">
        <v>0</v>
      </c>
      <c r="AG101">
        <v>0</v>
      </c>
      <c r="AH101" t="s">
        <v>67</v>
      </c>
      <c r="AI101">
        <v>5600</v>
      </c>
      <c r="AJ101">
        <v>700</v>
      </c>
      <c r="AK101">
        <v>700</v>
      </c>
      <c r="AL101">
        <v>4200</v>
      </c>
      <c r="AM101" t="s">
        <v>114</v>
      </c>
      <c r="AN101" t="s">
        <v>139</v>
      </c>
      <c r="AO101">
        <v>2015</v>
      </c>
      <c r="AP101">
        <v>2007</v>
      </c>
      <c r="AQ101">
        <f t="shared" si="5"/>
        <v>8</v>
      </c>
      <c r="AR101" t="s">
        <v>87</v>
      </c>
    </row>
    <row r="102" spans="1:44" x14ac:dyDescent="0.25">
      <c r="A102">
        <v>269</v>
      </c>
      <c r="B102" t="str">
        <f t="shared" si="3"/>
        <v>10+ years</v>
      </c>
      <c r="C102">
        <v>41</v>
      </c>
      <c r="D102" t="str" cm="1">
        <f t="array" ref="D102">_xlfn.IFS(C102&lt;26, "19-25", C102&lt;33, "26-32", C102&lt;40, "33-39", C102&lt;47, "40-46",C102&lt;54, "47-53", TRUE, "54+")</f>
        <v>40-46</v>
      </c>
      <c r="E102">
        <v>797613</v>
      </c>
      <c r="F102" s="1">
        <v>33165</v>
      </c>
      <c r="G102" t="s">
        <v>62</v>
      </c>
      <c r="H102" t="s">
        <v>74</v>
      </c>
      <c r="I102">
        <v>500</v>
      </c>
      <c r="J102">
        <v>1463.82</v>
      </c>
      <c r="K102">
        <v>0</v>
      </c>
      <c r="L102">
        <v>448984</v>
      </c>
      <c r="M102" t="s">
        <v>75</v>
      </c>
      <c r="N102" t="s">
        <v>146</v>
      </c>
      <c r="O102" t="s">
        <v>140</v>
      </c>
      <c r="P102" t="s">
        <v>160</v>
      </c>
      <c r="Q102" t="s">
        <v>147</v>
      </c>
      <c r="R102">
        <v>0</v>
      </c>
      <c r="S102">
        <v>-72300</v>
      </c>
      <c r="T102" s="1">
        <v>42028</v>
      </c>
      <c r="U102" t="s">
        <v>51</v>
      </c>
      <c r="V102" t="s">
        <v>81</v>
      </c>
      <c r="W102" t="s">
        <v>68</v>
      </c>
      <c r="X102" t="s">
        <v>54</v>
      </c>
      <c r="Y102" t="s">
        <v>55</v>
      </c>
      <c r="Z102" t="s">
        <v>132</v>
      </c>
      <c r="AA102" t="s">
        <v>282</v>
      </c>
      <c r="AB102">
        <v>23</v>
      </c>
      <c r="AC102" t="str">
        <f t="shared" si="4"/>
        <v>Evening</v>
      </c>
      <c r="AD102">
        <v>1</v>
      </c>
      <c r="AE102" t="s">
        <v>58</v>
      </c>
      <c r="AF102">
        <v>0</v>
      </c>
      <c r="AG102">
        <v>0</v>
      </c>
      <c r="AH102" t="s">
        <v>67</v>
      </c>
      <c r="AI102">
        <v>79300</v>
      </c>
      <c r="AJ102">
        <v>15860</v>
      </c>
      <c r="AK102">
        <v>15860</v>
      </c>
      <c r="AL102">
        <v>47580</v>
      </c>
      <c r="AM102" t="s">
        <v>59</v>
      </c>
      <c r="AN102" t="s">
        <v>60</v>
      </c>
      <c r="AO102">
        <v>2015</v>
      </c>
      <c r="AP102">
        <v>2007</v>
      </c>
      <c r="AQ102">
        <f t="shared" si="5"/>
        <v>8</v>
      </c>
      <c r="AR102" t="s">
        <v>87</v>
      </c>
    </row>
    <row r="103" spans="1:44" x14ac:dyDescent="0.25">
      <c r="A103">
        <v>80</v>
      </c>
      <c r="B103" t="str">
        <f t="shared" si="3"/>
        <v>5-10 years</v>
      </c>
      <c r="C103">
        <v>27</v>
      </c>
      <c r="D103" t="str" cm="1">
        <f t="array" ref="D103">_xlfn.IFS(C103&lt;26, "19-25", C103&lt;33, "26-32", C103&lt;40, "33-39", C103&lt;47, "40-46",C103&lt;54, "47-53", TRUE, "54+")</f>
        <v>26-32</v>
      </c>
      <c r="E103">
        <v>193442</v>
      </c>
      <c r="F103" s="1">
        <v>35282</v>
      </c>
      <c r="G103" t="s">
        <v>88</v>
      </c>
      <c r="H103" t="s">
        <v>74</v>
      </c>
      <c r="I103">
        <v>1000</v>
      </c>
      <c r="J103">
        <v>1474.17</v>
      </c>
      <c r="K103">
        <v>0</v>
      </c>
      <c r="L103">
        <v>440327</v>
      </c>
      <c r="M103" t="s">
        <v>75</v>
      </c>
      <c r="N103" t="s">
        <v>146</v>
      </c>
      <c r="O103" t="s">
        <v>102</v>
      </c>
      <c r="P103" t="s">
        <v>269</v>
      </c>
      <c r="Q103" t="s">
        <v>90</v>
      </c>
      <c r="R103">
        <v>0</v>
      </c>
      <c r="S103">
        <v>0</v>
      </c>
      <c r="T103" s="1">
        <v>42054</v>
      </c>
      <c r="U103" t="s">
        <v>51</v>
      </c>
      <c r="V103" t="s">
        <v>52</v>
      </c>
      <c r="W103" t="s">
        <v>53</v>
      </c>
      <c r="X103" t="s">
        <v>54</v>
      </c>
      <c r="Y103" t="s">
        <v>118</v>
      </c>
      <c r="Z103" t="s">
        <v>132</v>
      </c>
      <c r="AA103" t="s">
        <v>283</v>
      </c>
      <c r="AB103">
        <v>13</v>
      </c>
      <c r="AC103" t="str">
        <f t="shared" si="4"/>
        <v>Afternoon</v>
      </c>
      <c r="AD103">
        <v>1</v>
      </c>
      <c r="AE103" t="s">
        <v>58</v>
      </c>
      <c r="AF103">
        <v>1</v>
      </c>
      <c r="AG103">
        <v>0</v>
      </c>
      <c r="AH103" t="s">
        <v>58</v>
      </c>
      <c r="AI103">
        <v>52800</v>
      </c>
      <c r="AJ103">
        <v>10560</v>
      </c>
      <c r="AK103">
        <v>5280</v>
      </c>
      <c r="AL103">
        <v>36960</v>
      </c>
      <c r="AM103" t="s">
        <v>59</v>
      </c>
      <c r="AN103">
        <v>95</v>
      </c>
      <c r="AO103">
        <v>2015</v>
      </c>
      <c r="AP103">
        <v>2004</v>
      </c>
      <c r="AQ103">
        <f t="shared" si="5"/>
        <v>11</v>
      </c>
      <c r="AR103" t="s">
        <v>87</v>
      </c>
    </row>
    <row r="104" spans="1:44" x14ac:dyDescent="0.25">
      <c r="A104">
        <v>279</v>
      </c>
      <c r="B104" t="str">
        <f t="shared" si="3"/>
        <v>10+ years</v>
      </c>
      <c r="C104">
        <v>41</v>
      </c>
      <c r="D104" t="str" cm="1">
        <f t="array" ref="D104">_xlfn.IFS(C104&lt;26, "19-25", C104&lt;33, "26-32", C104&lt;40, "33-39", C104&lt;47, "40-46",C104&lt;54, "47-53", TRUE, "54+")</f>
        <v>40-46</v>
      </c>
      <c r="E104">
        <v>389238</v>
      </c>
      <c r="F104" s="1">
        <v>37048</v>
      </c>
      <c r="G104" t="s">
        <v>88</v>
      </c>
      <c r="H104" t="s">
        <v>45</v>
      </c>
      <c r="I104">
        <v>500</v>
      </c>
      <c r="J104">
        <v>1497.35</v>
      </c>
      <c r="K104">
        <v>0</v>
      </c>
      <c r="L104">
        <v>460742</v>
      </c>
      <c r="M104" t="s">
        <v>75</v>
      </c>
      <c r="N104" t="s">
        <v>166</v>
      </c>
      <c r="O104" t="s">
        <v>106</v>
      </c>
      <c r="P104" t="s">
        <v>103</v>
      </c>
      <c r="Q104" t="s">
        <v>50</v>
      </c>
      <c r="R104">
        <v>37300</v>
      </c>
      <c r="S104">
        <v>-31700</v>
      </c>
      <c r="T104" s="1">
        <v>42033</v>
      </c>
      <c r="U104" t="s">
        <v>80</v>
      </c>
      <c r="V104" t="s">
        <v>91</v>
      </c>
      <c r="W104" t="s">
        <v>68</v>
      </c>
      <c r="X104" t="s">
        <v>104</v>
      </c>
      <c r="Y104" t="s">
        <v>126</v>
      </c>
      <c r="Z104" t="s">
        <v>161</v>
      </c>
      <c r="AA104" t="s">
        <v>284</v>
      </c>
      <c r="AB104">
        <v>16</v>
      </c>
      <c r="AC104" t="str">
        <f t="shared" si="4"/>
        <v>Afternoon</v>
      </c>
      <c r="AD104">
        <v>3</v>
      </c>
      <c r="AE104" t="s">
        <v>67</v>
      </c>
      <c r="AF104">
        <v>2</v>
      </c>
      <c r="AG104">
        <v>3</v>
      </c>
      <c r="AH104" t="s">
        <v>84</v>
      </c>
      <c r="AI104">
        <v>28800</v>
      </c>
      <c r="AJ104">
        <v>0</v>
      </c>
      <c r="AK104">
        <v>3600</v>
      </c>
      <c r="AL104">
        <v>25200</v>
      </c>
      <c r="AM104" t="s">
        <v>134</v>
      </c>
      <c r="AN104" t="s">
        <v>254</v>
      </c>
      <c r="AO104">
        <v>2015</v>
      </c>
      <c r="AP104">
        <v>2013</v>
      </c>
      <c r="AQ104">
        <f t="shared" si="5"/>
        <v>2</v>
      </c>
      <c r="AR104" t="s">
        <v>87</v>
      </c>
    </row>
    <row r="105" spans="1:44" x14ac:dyDescent="0.25">
      <c r="A105">
        <v>165</v>
      </c>
      <c r="B105" t="str">
        <f t="shared" si="3"/>
        <v>10+ years</v>
      </c>
      <c r="C105">
        <v>33</v>
      </c>
      <c r="D105" t="str" cm="1">
        <f t="array" ref="D105">_xlfn.IFS(C105&lt;26, "19-25", C105&lt;33, "26-32", C105&lt;40, "33-39", C105&lt;47, "40-46",C105&lt;54, "47-53", TRUE, "54+")</f>
        <v>33-39</v>
      </c>
      <c r="E105">
        <v>760179</v>
      </c>
      <c r="F105" s="1">
        <v>39166</v>
      </c>
      <c r="G105" t="s">
        <v>44</v>
      </c>
      <c r="H105" t="s">
        <v>74</v>
      </c>
      <c r="I105">
        <v>1000</v>
      </c>
      <c r="J105">
        <v>1427.14</v>
      </c>
      <c r="K105">
        <v>0</v>
      </c>
      <c r="L105">
        <v>446895</v>
      </c>
      <c r="M105" t="s">
        <v>75</v>
      </c>
      <c r="N105" t="s">
        <v>97</v>
      </c>
      <c r="O105" t="s">
        <v>102</v>
      </c>
      <c r="P105" t="s">
        <v>175</v>
      </c>
      <c r="Q105" t="s">
        <v>65</v>
      </c>
      <c r="R105">
        <v>35300</v>
      </c>
      <c r="S105">
        <v>-58100</v>
      </c>
      <c r="T105" s="1">
        <v>42050</v>
      </c>
      <c r="U105" t="s">
        <v>143</v>
      </c>
      <c r="V105" t="s">
        <v>67</v>
      </c>
      <c r="W105" t="s">
        <v>68</v>
      </c>
      <c r="X105" t="s">
        <v>54</v>
      </c>
      <c r="Y105" t="s">
        <v>118</v>
      </c>
      <c r="Z105" t="s">
        <v>132</v>
      </c>
      <c r="AA105" t="s">
        <v>285</v>
      </c>
      <c r="AB105">
        <v>3</v>
      </c>
      <c r="AC105" t="str">
        <f t="shared" si="4"/>
        <v>Night</v>
      </c>
      <c r="AD105">
        <v>1</v>
      </c>
      <c r="AE105" t="s">
        <v>84</v>
      </c>
      <c r="AF105">
        <v>1</v>
      </c>
      <c r="AG105">
        <v>1</v>
      </c>
      <c r="AH105" t="s">
        <v>84</v>
      </c>
      <c r="AI105">
        <v>2970</v>
      </c>
      <c r="AJ105">
        <v>330</v>
      </c>
      <c r="AK105">
        <v>330</v>
      </c>
      <c r="AL105">
        <v>2310</v>
      </c>
      <c r="AM105" t="s">
        <v>120</v>
      </c>
      <c r="AN105" t="s">
        <v>145</v>
      </c>
      <c r="AO105">
        <v>2015</v>
      </c>
      <c r="AP105">
        <v>2008</v>
      </c>
      <c r="AQ105">
        <f t="shared" si="5"/>
        <v>7</v>
      </c>
      <c r="AR105" t="s">
        <v>87</v>
      </c>
    </row>
    <row r="106" spans="1:44" x14ac:dyDescent="0.25">
      <c r="A106">
        <v>350</v>
      </c>
      <c r="B106" t="str">
        <f t="shared" si="3"/>
        <v>10+ years</v>
      </c>
      <c r="C106">
        <v>54</v>
      </c>
      <c r="D106" t="str" cm="1">
        <f t="array" ref="D106">_xlfn.IFS(C106&lt;26, "19-25", C106&lt;33, "26-32", C106&lt;40, "33-39", C106&lt;47, "40-46",C106&lt;54, "47-53", TRUE, "54+")</f>
        <v>54+</v>
      </c>
      <c r="E106">
        <v>939905</v>
      </c>
      <c r="F106" s="1">
        <v>41578</v>
      </c>
      <c r="G106" t="s">
        <v>44</v>
      </c>
      <c r="H106" t="s">
        <v>96</v>
      </c>
      <c r="I106">
        <v>500</v>
      </c>
      <c r="J106">
        <v>1495.1</v>
      </c>
      <c r="K106">
        <v>0</v>
      </c>
      <c r="L106">
        <v>609374</v>
      </c>
      <c r="M106" t="s">
        <v>46</v>
      </c>
      <c r="N106" t="s">
        <v>146</v>
      </c>
      <c r="O106" t="s">
        <v>116</v>
      </c>
      <c r="P106" t="s">
        <v>184</v>
      </c>
      <c r="Q106" t="s">
        <v>124</v>
      </c>
      <c r="R106">
        <v>50500</v>
      </c>
      <c r="S106">
        <v>0</v>
      </c>
      <c r="T106" s="1">
        <v>42047</v>
      </c>
      <c r="U106" t="s">
        <v>80</v>
      </c>
      <c r="V106" t="s">
        <v>52</v>
      </c>
      <c r="W106" t="s">
        <v>112</v>
      </c>
      <c r="X106" t="s">
        <v>54</v>
      </c>
      <c r="Y106" t="s">
        <v>55</v>
      </c>
      <c r="Z106" t="s">
        <v>132</v>
      </c>
      <c r="AA106" t="s">
        <v>286</v>
      </c>
      <c r="AB106">
        <v>15</v>
      </c>
      <c r="AC106" t="str">
        <f t="shared" si="4"/>
        <v>Afternoon</v>
      </c>
      <c r="AD106">
        <v>3</v>
      </c>
      <c r="AE106" t="s">
        <v>84</v>
      </c>
      <c r="AF106">
        <v>0</v>
      </c>
      <c r="AG106">
        <v>0</v>
      </c>
      <c r="AH106" t="s">
        <v>67</v>
      </c>
      <c r="AI106">
        <v>93480</v>
      </c>
      <c r="AJ106">
        <v>15580</v>
      </c>
      <c r="AK106">
        <v>7790</v>
      </c>
      <c r="AL106">
        <v>70110</v>
      </c>
      <c r="AM106" t="s">
        <v>94</v>
      </c>
      <c r="AN106" t="s">
        <v>250</v>
      </c>
      <c r="AO106">
        <v>2015</v>
      </c>
      <c r="AP106">
        <v>2014</v>
      </c>
      <c r="AQ106">
        <f t="shared" si="5"/>
        <v>1</v>
      </c>
      <c r="AR106" t="s">
        <v>87</v>
      </c>
    </row>
    <row r="107" spans="1:44" x14ac:dyDescent="0.25">
      <c r="A107">
        <v>295</v>
      </c>
      <c r="B107" t="str">
        <f t="shared" si="3"/>
        <v>10+ years</v>
      </c>
      <c r="C107">
        <v>49</v>
      </c>
      <c r="D107" t="str" cm="1">
        <f t="array" ref="D107">_xlfn.IFS(C107&lt;26, "19-25", C107&lt;33, "26-32", C107&lt;40, "33-39", C107&lt;47, "40-46",C107&lt;54, "47-53", TRUE, "54+")</f>
        <v>47-53</v>
      </c>
      <c r="E107">
        <v>872814</v>
      </c>
      <c r="F107" s="1">
        <v>33768</v>
      </c>
      <c r="G107" t="s">
        <v>88</v>
      </c>
      <c r="H107" t="s">
        <v>74</v>
      </c>
      <c r="I107">
        <v>500</v>
      </c>
      <c r="J107">
        <v>1141.6199999999999</v>
      </c>
      <c r="K107">
        <v>0</v>
      </c>
      <c r="L107">
        <v>451672</v>
      </c>
      <c r="M107" t="s">
        <v>46</v>
      </c>
      <c r="N107" t="s">
        <v>146</v>
      </c>
      <c r="O107" t="s">
        <v>106</v>
      </c>
      <c r="P107" t="s">
        <v>175</v>
      </c>
      <c r="Q107" t="s">
        <v>50</v>
      </c>
      <c r="R107">
        <v>34300</v>
      </c>
      <c r="S107">
        <v>-24300</v>
      </c>
      <c r="T107" s="1">
        <v>42005</v>
      </c>
      <c r="U107" t="s">
        <v>66</v>
      </c>
      <c r="V107" t="s">
        <v>67</v>
      </c>
      <c r="W107" t="s">
        <v>68</v>
      </c>
      <c r="X107" t="s">
        <v>98</v>
      </c>
      <c r="Y107" t="s">
        <v>118</v>
      </c>
      <c r="Z107" t="s">
        <v>56</v>
      </c>
      <c r="AA107" t="s">
        <v>287</v>
      </c>
      <c r="AB107">
        <v>4</v>
      </c>
      <c r="AC107" t="str">
        <f t="shared" si="4"/>
        <v>Night</v>
      </c>
      <c r="AD107">
        <v>1</v>
      </c>
      <c r="AE107" t="s">
        <v>58</v>
      </c>
      <c r="AF107">
        <v>1</v>
      </c>
      <c r="AG107">
        <v>3</v>
      </c>
      <c r="AH107" t="s">
        <v>58</v>
      </c>
      <c r="AI107">
        <v>4320</v>
      </c>
      <c r="AJ107">
        <v>480</v>
      </c>
      <c r="AK107">
        <v>480</v>
      </c>
      <c r="AL107">
        <v>3360</v>
      </c>
      <c r="AM107" t="s">
        <v>72</v>
      </c>
      <c r="AN107" t="s">
        <v>73</v>
      </c>
      <c r="AO107">
        <v>2015</v>
      </c>
      <c r="AP107">
        <v>2002</v>
      </c>
      <c r="AQ107">
        <f t="shared" si="5"/>
        <v>13</v>
      </c>
      <c r="AR107" t="s">
        <v>87</v>
      </c>
    </row>
    <row r="108" spans="1:44" x14ac:dyDescent="0.25">
      <c r="A108">
        <v>464</v>
      </c>
      <c r="B108" t="str">
        <f t="shared" si="3"/>
        <v>10+ years</v>
      </c>
      <c r="C108">
        <v>61</v>
      </c>
      <c r="D108" t="str" cm="1">
        <f t="array" ref="D108">_xlfn.IFS(C108&lt;26, "19-25", C108&lt;33, "26-32", C108&lt;40, "33-39", C108&lt;47, "40-46",C108&lt;54, "47-53", TRUE, "54+")</f>
        <v>54+</v>
      </c>
      <c r="E108">
        <v>632627</v>
      </c>
      <c r="F108" s="1">
        <v>33153</v>
      </c>
      <c r="G108" t="s">
        <v>44</v>
      </c>
      <c r="H108" t="s">
        <v>96</v>
      </c>
      <c r="I108">
        <v>1000</v>
      </c>
      <c r="J108">
        <v>1125.3699999999999</v>
      </c>
      <c r="K108">
        <v>0</v>
      </c>
      <c r="L108">
        <v>604450</v>
      </c>
      <c r="M108" t="s">
        <v>75</v>
      </c>
      <c r="N108" t="s">
        <v>97</v>
      </c>
      <c r="O108" t="s">
        <v>106</v>
      </c>
      <c r="P108" t="s">
        <v>184</v>
      </c>
      <c r="Q108" t="s">
        <v>50</v>
      </c>
      <c r="R108">
        <v>0</v>
      </c>
      <c r="S108">
        <v>-56400</v>
      </c>
      <c r="T108" s="1">
        <v>42017</v>
      </c>
      <c r="U108" t="s">
        <v>80</v>
      </c>
      <c r="V108" t="s">
        <v>81</v>
      </c>
      <c r="W108" t="s">
        <v>53</v>
      </c>
      <c r="X108" t="s">
        <v>54</v>
      </c>
      <c r="Y108" t="s">
        <v>69</v>
      </c>
      <c r="Z108" t="s">
        <v>132</v>
      </c>
      <c r="AA108" t="s">
        <v>288</v>
      </c>
      <c r="AB108">
        <v>6</v>
      </c>
      <c r="AC108" t="str">
        <f t="shared" si="4"/>
        <v>Morning</v>
      </c>
      <c r="AD108">
        <v>3</v>
      </c>
      <c r="AE108" t="s">
        <v>67</v>
      </c>
      <c r="AF108">
        <v>0</v>
      </c>
      <c r="AG108">
        <v>2</v>
      </c>
      <c r="AH108" t="s">
        <v>58</v>
      </c>
      <c r="AI108">
        <v>79800</v>
      </c>
      <c r="AJ108">
        <v>6650</v>
      </c>
      <c r="AK108">
        <v>19950</v>
      </c>
      <c r="AL108">
        <v>53200</v>
      </c>
      <c r="AM108" t="s">
        <v>59</v>
      </c>
      <c r="AN108">
        <v>95</v>
      </c>
      <c r="AO108">
        <v>2015</v>
      </c>
      <c r="AP108">
        <v>2000</v>
      </c>
      <c r="AQ108">
        <f t="shared" si="5"/>
        <v>15</v>
      </c>
      <c r="AR108" t="s">
        <v>61</v>
      </c>
    </row>
    <row r="109" spans="1:44" x14ac:dyDescent="0.25">
      <c r="A109">
        <v>118</v>
      </c>
      <c r="B109" t="str">
        <f t="shared" si="3"/>
        <v>5-10 years</v>
      </c>
      <c r="C109">
        <v>28</v>
      </c>
      <c r="D109" t="str" cm="1">
        <f t="array" ref="D109">_xlfn.IFS(C109&lt;26, "19-25", C109&lt;33, "26-32", C109&lt;40, "33-39", C109&lt;47, "40-46",C109&lt;54, "47-53", TRUE, "54+")</f>
        <v>26-32</v>
      </c>
      <c r="E109">
        <v>283414</v>
      </c>
      <c r="F109" s="1">
        <v>33600</v>
      </c>
      <c r="G109" t="s">
        <v>62</v>
      </c>
      <c r="H109" t="s">
        <v>96</v>
      </c>
      <c r="I109">
        <v>2000</v>
      </c>
      <c r="J109">
        <v>1207.3599999999999</v>
      </c>
      <c r="K109">
        <v>0</v>
      </c>
      <c r="L109">
        <v>432896</v>
      </c>
      <c r="M109" t="s">
        <v>75</v>
      </c>
      <c r="N109" t="s">
        <v>136</v>
      </c>
      <c r="O109" t="s">
        <v>164</v>
      </c>
      <c r="P109" t="s">
        <v>123</v>
      </c>
      <c r="Q109" t="s">
        <v>79</v>
      </c>
      <c r="R109">
        <v>0</v>
      </c>
      <c r="S109">
        <v>-57000</v>
      </c>
      <c r="T109" s="1">
        <v>42064</v>
      </c>
      <c r="U109" t="s">
        <v>80</v>
      </c>
      <c r="V109" t="s">
        <v>91</v>
      </c>
      <c r="W109" t="s">
        <v>53</v>
      </c>
      <c r="X109" t="s">
        <v>141</v>
      </c>
      <c r="Y109" t="s">
        <v>118</v>
      </c>
      <c r="Z109" t="s">
        <v>56</v>
      </c>
      <c r="AA109" t="s">
        <v>289</v>
      </c>
      <c r="AB109">
        <v>22</v>
      </c>
      <c r="AC109" t="str">
        <f t="shared" si="4"/>
        <v>Evening</v>
      </c>
      <c r="AD109">
        <v>2</v>
      </c>
      <c r="AE109" t="s">
        <v>84</v>
      </c>
      <c r="AF109">
        <v>1</v>
      </c>
      <c r="AG109">
        <v>0</v>
      </c>
      <c r="AH109" t="s">
        <v>67</v>
      </c>
      <c r="AI109">
        <v>74200</v>
      </c>
      <c r="AJ109">
        <v>7420</v>
      </c>
      <c r="AK109">
        <v>14840</v>
      </c>
      <c r="AL109">
        <v>51940</v>
      </c>
      <c r="AM109" t="s">
        <v>219</v>
      </c>
      <c r="AN109" t="s">
        <v>220</v>
      </c>
      <c r="AO109">
        <v>2015</v>
      </c>
      <c r="AP109">
        <v>1997</v>
      </c>
      <c r="AQ109">
        <f t="shared" si="5"/>
        <v>18</v>
      </c>
      <c r="AR109" t="s">
        <v>87</v>
      </c>
    </row>
    <row r="110" spans="1:44" x14ac:dyDescent="0.25">
      <c r="A110">
        <v>298</v>
      </c>
      <c r="B110" t="str">
        <f t="shared" si="3"/>
        <v>10+ years</v>
      </c>
      <c r="C110">
        <v>47</v>
      </c>
      <c r="D110" t="str" cm="1">
        <f t="array" ref="D110">_xlfn.IFS(C110&lt;26, "19-25", C110&lt;33, "26-32", C110&lt;40, "33-39", C110&lt;47, "40-46",C110&lt;54, "47-53", TRUE, "54+")</f>
        <v>47-53</v>
      </c>
      <c r="E110">
        <v>163161</v>
      </c>
      <c r="F110" s="1">
        <v>36110</v>
      </c>
      <c r="G110" t="s">
        <v>88</v>
      </c>
      <c r="H110" t="s">
        <v>96</v>
      </c>
      <c r="I110">
        <v>2000</v>
      </c>
      <c r="J110">
        <v>1338.5</v>
      </c>
      <c r="K110">
        <v>0</v>
      </c>
      <c r="L110">
        <v>618929</v>
      </c>
      <c r="M110" t="s">
        <v>75</v>
      </c>
      <c r="N110" t="s">
        <v>76</v>
      </c>
      <c r="O110" t="s">
        <v>63</v>
      </c>
      <c r="P110" t="s">
        <v>184</v>
      </c>
      <c r="Q110" t="s">
        <v>65</v>
      </c>
      <c r="R110">
        <v>28800</v>
      </c>
      <c r="S110">
        <v>0</v>
      </c>
      <c r="T110" s="1">
        <v>42037</v>
      </c>
      <c r="U110" t="s">
        <v>51</v>
      </c>
      <c r="V110" t="s">
        <v>91</v>
      </c>
      <c r="W110" t="s">
        <v>53</v>
      </c>
      <c r="X110" t="s">
        <v>104</v>
      </c>
      <c r="Y110" t="s">
        <v>82</v>
      </c>
      <c r="Z110" t="s">
        <v>161</v>
      </c>
      <c r="AA110" t="s">
        <v>290</v>
      </c>
      <c r="AB110">
        <v>1</v>
      </c>
      <c r="AC110" t="str">
        <f t="shared" si="4"/>
        <v>Night</v>
      </c>
      <c r="AD110">
        <v>1</v>
      </c>
      <c r="AE110" t="s">
        <v>67</v>
      </c>
      <c r="AF110">
        <v>0</v>
      </c>
      <c r="AG110">
        <v>0</v>
      </c>
      <c r="AH110" t="s">
        <v>67</v>
      </c>
      <c r="AI110">
        <v>70590</v>
      </c>
      <c r="AJ110">
        <v>10860</v>
      </c>
      <c r="AK110">
        <v>10860</v>
      </c>
      <c r="AL110">
        <v>48870</v>
      </c>
      <c r="AM110" t="s">
        <v>59</v>
      </c>
      <c r="AN110">
        <v>93</v>
      </c>
      <c r="AO110">
        <v>2015</v>
      </c>
      <c r="AP110">
        <v>2000</v>
      </c>
      <c r="AQ110">
        <f t="shared" si="5"/>
        <v>15</v>
      </c>
      <c r="AR110" t="s">
        <v>61</v>
      </c>
    </row>
    <row r="111" spans="1:44" x14ac:dyDescent="0.25">
      <c r="A111">
        <v>87</v>
      </c>
      <c r="B111" t="str">
        <f t="shared" si="3"/>
        <v>5-10 years</v>
      </c>
      <c r="C111">
        <v>31</v>
      </c>
      <c r="D111" t="str" cm="1">
        <f t="array" ref="D111">_xlfn.IFS(C111&lt;26, "19-25", C111&lt;33, "26-32", C111&lt;40, "33-39", C111&lt;47, "40-46",C111&lt;54, "47-53", TRUE, "54+")</f>
        <v>26-32</v>
      </c>
      <c r="E111">
        <v>853360</v>
      </c>
      <c r="F111" s="1">
        <v>39990</v>
      </c>
      <c r="G111" t="s">
        <v>62</v>
      </c>
      <c r="H111" t="s">
        <v>96</v>
      </c>
      <c r="I111">
        <v>1000</v>
      </c>
      <c r="J111">
        <v>1074.07</v>
      </c>
      <c r="K111">
        <v>0</v>
      </c>
      <c r="L111">
        <v>451312</v>
      </c>
      <c r="M111" t="s">
        <v>75</v>
      </c>
      <c r="N111" t="s">
        <v>129</v>
      </c>
      <c r="O111" t="s">
        <v>77</v>
      </c>
      <c r="P111" t="s">
        <v>173</v>
      </c>
      <c r="Q111" t="s">
        <v>50</v>
      </c>
      <c r="R111">
        <v>0</v>
      </c>
      <c r="S111">
        <v>-47500</v>
      </c>
      <c r="T111" s="1">
        <v>42031</v>
      </c>
      <c r="U111" t="s">
        <v>80</v>
      </c>
      <c r="V111" t="s">
        <v>81</v>
      </c>
      <c r="W111" t="s">
        <v>53</v>
      </c>
      <c r="X111" t="s">
        <v>104</v>
      </c>
      <c r="Y111" t="s">
        <v>82</v>
      </c>
      <c r="Z111" t="s">
        <v>107</v>
      </c>
      <c r="AA111" t="s">
        <v>291</v>
      </c>
      <c r="AB111">
        <v>16</v>
      </c>
      <c r="AC111" t="str">
        <f t="shared" si="4"/>
        <v>Afternoon</v>
      </c>
      <c r="AD111">
        <v>3</v>
      </c>
      <c r="AE111" t="s">
        <v>84</v>
      </c>
      <c r="AF111">
        <v>0</v>
      </c>
      <c r="AG111">
        <v>3</v>
      </c>
      <c r="AH111" t="s">
        <v>58</v>
      </c>
      <c r="AI111">
        <v>60940</v>
      </c>
      <c r="AJ111">
        <v>5540</v>
      </c>
      <c r="AK111">
        <v>11080</v>
      </c>
      <c r="AL111">
        <v>44320</v>
      </c>
      <c r="AM111" t="s">
        <v>109</v>
      </c>
      <c r="AN111" t="s">
        <v>292</v>
      </c>
      <c r="AO111">
        <v>2015</v>
      </c>
      <c r="AP111">
        <v>2006</v>
      </c>
      <c r="AQ111">
        <f t="shared" si="5"/>
        <v>9</v>
      </c>
      <c r="AR111" t="s">
        <v>61</v>
      </c>
    </row>
    <row r="112" spans="1:44" x14ac:dyDescent="0.25">
      <c r="A112">
        <v>261</v>
      </c>
      <c r="B112" t="str">
        <f t="shared" si="3"/>
        <v>10+ years</v>
      </c>
      <c r="C112">
        <v>42</v>
      </c>
      <c r="D112" t="str" cm="1">
        <f t="array" ref="D112">_xlfn.IFS(C112&lt;26, "19-25", C112&lt;33, "26-32", C112&lt;40, "33-39", C112&lt;47, "40-46",C112&lt;54, "47-53", TRUE, "54+")</f>
        <v>40-46</v>
      </c>
      <c r="E112">
        <v>776860</v>
      </c>
      <c r="F112" s="1">
        <v>39824</v>
      </c>
      <c r="G112" t="s">
        <v>44</v>
      </c>
      <c r="H112" t="s">
        <v>45</v>
      </c>
      <c r="I112">
        <v>500</v>
      </c>
      <c r="J112">
        <v>1337.56</v>
      </c>
      <c r="K112">
        <v>0</v>
      </c>
      <c r="L112">
        <v>605141</v>
      </c>
      <c r="M112" t="s">
        <v>75</v>
      </c>
      <c r="N112" t="s">
        <v>146</v>
      </c>
      <c r="O112" t="s">
        <v>106</v>
      </c>
      <c r="P112" t="s">
        <v>186</v>
      </c>
      <c r="Q112" t="s">
        <v>90</v>
      </c>
      <c r="R112">
        <v>0</v>
      </c>
      <c r="S112">
        <v>0</v>
      </c>
      <c r="T112" s="1">
        <v>42016</v>
      </c>
      <c r="U112" t="s">
        <v>51</v>
      </c>
      <c r="V112" t="s">
        <v>81</v>
      </c>
      <c r="W112" t="s">
        <v>68</v>
      </c>
      <c r="X112" t="s">
        <v>54</v>
      </c>
      <c r="Y112" t="s">
        <v>55</v>
      </c>
      <c r="Z112" t="s">
        <v>70</v>
      </c>
      <c r="AA112" t="s">
        <v>293</v>
      </c>
      <c r="AB112">
        <v>18</v>
      </c>
      <c r="AC112" t="str">
        <f t="shared" si="4"/>
        <v>Evening</v>
      </c>
      <c r="AD112">
        <v>1</v>
      </c>
      <c r="AE112" t="s">
        <v>67</v>
      </c>
      <c r="AF112">
        <v>1</v>
      </c>
      <c r="AG112">
        <v>2</v>
      </c>
      <c r="AH112" t="s">
        <v>58</v>
      </c>
      <c r="AI112">
        <v>74700</v>
      </c>
      <c r="AJ112">
        <v>7470</v>
      </c>
      <c r="AK112">
        <v>14940</v>
      </c>
      <c r="AL112">
        <v>52290</v>
      </c>
      <c r="AM112" t="s">
        <v>85</v>
      </c>
      <c r="AN112" t="s">
        <v>86</v>
      </c>
      <c r="AO112">
        <v>2015</v>
      </c>
      <c r="AP112">
        <v>2010</v>
      </c>
      <c r="AQ112">
        <f t="shared" si="5"/>
        <v>5</v>
      </c>
      <c r="AR112" t="s">
        <v>87</v>
      </c>
    </row>
    <row r="113" spans="1:44" x14ac:dyDescent="0.25">
      <c r="A113">
        <v>453</v>
      </c>
      <c r="B113" t="str">
        <f t="shared" si="3"/>
        <v>10+ years</v>
      </c>
      <c r="C113">
        <v>60</v>
      </c>
      <c r="D113" t="str" cm="1">
        <f t="array" ref="D113">_xlfn.IFS(C113&lt;26, "19-25", C113&lt;33, "26-32", C113&lt;40, "33-39", C113&lt;47, "40-46",C113&lt;54, "47-53", TRUE, "54+")</f>
        <v>54+</v>
      </c>
      <c r="E113">
        <v>149367</v>
      </c>
      <c r="F113" s="1">
        <v>37698</v>
      </c>
      <c r="G113" t="s">
        <v>62</v>
      </c>
      <c r="H113" t="s">
        <v>74</v>
      </c>
      <c r="I113">
        <v>500</v>
      </c>
      <c r="J113">
        <v>1298.9100000000001</v>
      </c>
      <c r="K113">
        <v>6000000</v>
      </c>
      <c r="L113">
        <v>459504</v>
      </c>
      <c r="M113" t="s">
        <v>46</v>
      </c>
      <c r="N113" t="s">
        <v>76</v>
      </c>
      <c r="O113" t="s">
        <v>48</v>
      </c>
      <c r="P113" t="s">
        <v>131</v>
      </c>
      <c r="Q113" t="s">
        <v>90</v>
      </c>
      <c r="R113">
        <v>52600</v>
      </c>
      <c r="S113">
        <v>-38800</v>
      </c>
      <c r="T113" s="1">
        <v>42010</v>
      </c>
      <c r="U113" t="s">
        <v>51</v>
      </c>
      <c r="V113" t="s">
        <v>91</v>
      </c>
      <c r="W113" t="s">
        <v>53</v>
      </c>
      <c r="X113" t="s">
        <v>104</v>
      </c>
      <c r="Y113" t="s">
        <v>126</v>
      </c>
      <c r="Z113" t="s">
        <v>107</v>
      </c>
      <c r="AA113" t="s">
        <v>294</v>
      </c>
      <c r="AB113">
        <v>0</v>
      </c>
      <c r="AC113" t="str">
        <f t="shared" si="4"/>
        <v>Night</v>
      </c>
      <c r="AD113">
        <v>1</v>
      </c>
      <c r="AE113" t="s">
        <v>58</v>
      </c>
      <c r="AF113">
        <v>0</v>
      </c>
      <c r="AG113">
        <v>0</v>
      </c>
      <c r="AH113" t="s">
        <v>67</v>
      </c>
      <c r="AI113">
        <v>70000</v>
      </c>
      <c r="AJ113">
        <v>14000</v>
      </c>
      <c r="AK113">
        <v>7000</v>
      </c>
      <c r="AL113">
        <v>49000</v>
      </c>
      <c r="AM113" t="s">
        <v>134</v>
      </c>
      <c r="AN113" t="s">
        <v>135</v>
      </c>
      <c r="AO113">
        <v>2015</v>
      </c>
      <c r="AP113">
        <v>2015</v>
      </c>
      <c r="AQ113">
        <f t="shared" si="5"/>
        <v>0</v>
      </c>
      <c r="AR113" t="s">
        <v>61</v>
      </c>
    </row>
    <row r="114" spans="1:44" x14ac:dyDescent="0.25">
      <c r="A114">
        <v>210</v>
      </c>
      <c r="B114" t="str">
        <f t="shared" si="3"/>
        <v>10+ years</v>
      </c>
      <c r="C114">
        <v>41</v>
      </c>
      <c r="D114" t="str" cm="1">
        <f t="array" ref="D114">_xlfn.IFS(C114&lt;26, "19-25", C114&lt;33, "26-32", C114&lt;40, "33-39", C114&lt;47, "40-46",C114&lt;54, "47-53", TRUE, "54+")</f>
        <v>40-46</v>
      </c>
      <c r="E114">
        <v>395269</v>
      </c>
      <c r="F114" s="1">
        <v>41215</v>
      </c>
      <c r="G114" t="s">
        <v>88</v>
      </c>
      <c r="H114" t="s">
        <v>96</v>
      </c>
      <c r="I114">
        <v>500</v>
      </c>
      <c r="J114">
        <v>1222.75</v>
      </c>
      <c r="K114">
        <v>0</v>
      </c>
      <c r="L114">
        <v>432781</v>
      </c>
      <c r="M114" t="s">
        <v>46</v>
      </c>
      <c r="N114" t="s">
        <v>136</v>
      </c>
      <c r="O114" t="s">
        <v>130</v>
      </c>
      <c r="P114" t="s">
        <v>178</v>
      </c>
      <c r="Q114" t="s">
        <v>65</v>
      </c>
      <c r="R114">
        <v>0</v>
      </c>
      <c r="S114">
        <v>-41000</v>
      </c>
      <c r="T114" s="1">
        <v>42034</v>
      </c>
      <c r="U114" t="s">
        <v>80</v>
      </c>
      <c r="V114" t="s">
        <v>81</v>
      </c>
      <c r="W114" t="s">
        <v>112</v>
      </c>
      <c r="X114" t="s">
        <v>125</v>
      </c>
      <c r="Y114" t="s">
        <v>118</v>
      </c>
      <c r="Z114" t="s">
        <v>56</v>
      </c>
      <c r="AA114" t="s">
        <v>295</v>
      </c>
      <c r="AB114">
        <v>12</v>
      </c>
      <c r="AC114" t="str">
        <f t="shared" si="4"/>
        <v>Afternoon</v>
      </c>
      <c r="AD114">
        <v>3</v>
      </c>
      <c r="AE114" t="s">
        <v>67</v>
      </c>
      <c r="AF114">
        <v>2</v>
      </c>
      <c r="AG114">
        <v>0</v>
      </c>
      <c r="AH114" t="s">
        <v>84</v>
      </c>
      <c r="AI114">
        <v>81070</v>
      </c>
      <c r="AJ114">
        <v>14740</v>
      </c>
      <c r="AK114">
        <v>14740</v>
      </c>
      <c r="AL114">
        <v>51590</v>
      </c>
      <c r="AM114" t="s">
        <v>192</v>
      </c>
      <c r="AN114" t="s">
        <v>208</v>
      </c>
      <c r="AO114">
        <v>2015</v>
      </c>
      <c r="AP114">
        <v>2001</v>
      </c>
      <c r="AQ114">
        <f t="shared" si="5"/>
        <v>14</v>
      </c>
      <c r="AR114" t="s">
        <v>87</v>
      </c>
    </row>
    <row r="115" spans="1:44" x14ac:dyDescent="0.25">
      <c r="A115">
        <v>168</v>
      </c>
      <c r="B115" t="str">
        <f t="shared" si="3"/>
        <v>10+ years</v>
      </c>
      <c r="C115">
        <v>32</v>
      </c>
      <c r="D115" t="str" cm="1">
        <f t="array" ref="D115">_xlfn.IFS(C115&lt;26, "19-25", C115&lt;33, "26-32", C115&lt;40, "33-39", C115&lt;47, "40-46",C115&lt;54, "47-53", TRUE, "54+")</f>
        <v>26-32</v>
      </c>
      <c r="E115">
        <v>981123</v>
      </c>
      <c r="F115" s="1">
        <v>36650</v>
      </c>
      <c r="G115" t="s">
        <v>62</v>
      </c>
      <c r="H115" t="s">
        <v>74</v>
      </c>
      <c r="I115">
        <v>1000</v>
      </c>
      <c r="J115">
        <v>1059.52</v>
      </c>
      <c r="K115">
        <v>0</v>
      </c>
      <c r="L115">
        <v>452748</v>
      </c>
      <c r="M115" t="s">
        <v>46</v>
      </c>
      <c r="N115" t="s">
        <v>47</v>
      </c>
      <c r="O115" t="s">
        <v>140</v>
      </c>
      <c r="P115" t="s">
        <v>123</v>
      </c>
      <c r="Q115" t="s">
        <v>79</v>
      </c>
      <c r="R115">
        <v>0</v>
      </c>
      <c r="S115">
        <v>-40600</v>
      </c>
      <c r="T115" s="1">
        <v>42064</v>
      </c>
      <c r="U115" t="s">
        <v>80</v>
      </c>
      <c r="V115" t="s">
        <v>52</v>
      </c>
      <c r="W115" t="s">
        <v>53</v>
      </c>
      <c r="X115" t="s">
        <v>125</v>
      </c>
      <c r="Y115" t="s">
        <v>69</v>
      </c>
      <c r="Z115" t="s">
        <v>127</v>
      </c>
      <c r="AA115" t="s">
        <v>296</v>
      </c>
      <c r="AB115">
        <v>13</v>
      </c>
      <c r="AC115" t="str">
        <f t="shared" si="4"/>
        <v>Afternoon</v>
      </c>
      <c r="AD115">
        <v>2</v>
      </c>
      <c r="AE115" t="s">
        <v>67</v>
      </c>
      <c r="AF115">
        <v>1</v>
      </c>
      <c r="AG115">
        <v>1</v>
      </c>
      <c r="AH115" t="s">
        <v>67</v>
      </c>
      <c r="AI115">
        <v>57720</v>
      </c>
      <c r="AJ115">
        <v>14430</v>
      </c>
      <c r="AK115">
        <v>9620</v>
      </c>
      <c r="AL115">
        <v>33670</v>
      </c>
      <c r="AM115" t="s">
        <v>59</v>
      </c>
      <c r="AN115">
        <v>93</v>
      </c>
      <c r="AO115">
        <v>2015</v>
      </c>
      <c r="AP115">
        <v>2007</v>
      </c>
      <c r="AQ115">
        <f t="shared" si="5"/>
        <v>8</v>
      </c>
      <c r="AR115" t="s">
        <v>87</v>
      </c>
    </row>
    <row r="116" spans="1:44" x14ac:dyDescent="0.25">
      <c r="A116">
        <v>390</v>
      </c>
      <c r="B116" t="str">
        <f t="shared" si="3"/>
        <v>10+ years</v>
      </c>
      <c r="C116">
        <v>51</v>
      </c>
      <c r="D116" t="str" cm="1">
        <f t="array" ref="D116">_xlfn.IFS(C116&lt;26, "19-25", C116&lt;33, "26-32", C116&lt;40, "33-39", C116&lt;47, "40-46",C116&lt;54, "47-53", TRUE, "54+")</f>
        <v>47-53</v>
      </c>
      <c r="E116">
        <v>143626</v>
      </c>
      <c r="F116" s="1">
        <v>36432</v>
      </c>
      <c r="G116" t="s">
        <v>44</v>
      </c>
      <c r="H116" t="s">
        <v>45</v>
      </c>
      <c r="I116">
        <v>2000</v>
      </c>
      <c r="J116">
        <v>1124.3800000000001</v>
      </c>
      <c r="K116">
        <v>0</v>
      </c>
      <c r="L116">
        <v>618316</v>
      </c>
      <c r="M116" t="s">
        <v>46</v>
      </c>
      <c r="N116" t="s">
        <v>97</v>
      </c>
      <c r="O116" t="s">
        <v>89</v>
      </c>
      <c r="P116" t="s">
        <v>64</v>
      </c>
      <c r="Q116" t="s">
        <v>65</v>
      </c>
      <c r="R116">
        <v>0</v>
      </c>
      <c r="S116">
        <v>0</v>
      </c>
      <c r="T116" s="1">
        <v>42059</v>
      </c>
      <c r="U116" t="s">
        <v>66</v>
      </c>
      <c r="V116" t="s">
        <v>67</v>
      </c>
      <c r="W116" t="s">
        <v>68</v>
      </c>
      <c r="X116" t="s">
        <v>98</v>
      </c>
      <c r="Y116" t="s">
        <v>69</v>
      </c>
      <c r="Z116" t="s">
        <v>161</v>
      </c>
      <c r="AA116" t="s">
        <v>297</v>
      </c>
      <c r="AB116">
        <v>9</v>
      </c>
      <c r="AC116" t="str">
        <f t="shared" si="4"/>
        <v>Morning</v>
      </c>
      <c r="AD116">
        <v>1</v>
      </c>
      <c r="AE116" t="s">
        <v>58</v>
      </c>
      <c r="AF116">
        <v>1</v>
      </c>
      <c r="AG116">
        <v>1</v>
      </c>
      <c r="AH116" t="s">
        <v>58</v>
      </c>
      <c r="AI116">
        <v>7080</v>
      </c>
      <c r="AJ116">
        <v>1180</v>
      </c>
      <c r="AK116">
        <v>1180</v>
      </c>
      <c r="AL116">
        <v>4720</v>
      </c>
      <c r="AM116" t="s">
        <v>134</v>
      </c>
      <c r="AN116" t="s">
        <v>135</v>
      </c>
      <c r="AO116">
        <v>2015</v>
      </c>
      <c r="AP116">
        <v>2001</v>
      </c>
      <c r="AQ116">
        <f t="shared" si="5"/>
        <v>14</v>
      </c>
      <c r="AR116" t="s">
        <v>87</v>
      </c>
    </row>
    <row r="117" spans="1:44" x14ac:dyDescent="0.25">
      <c r="A117">
        <v>258</v>
      </c>
      <c r="B117" t="str">
        <f t="shared" si="3"/>
        <v>10+ years</v>
      </c>
      <c r="C117">
        <v>46</v>
      </c>
      <c r="D117" t="str" cm="1">
        <f t="array" ref="D117">_xlfn.IFS(C117&lt;26, "19-25", C117&lt;33, "26-32", C117&lt;40, "33-39", C117&lt;47, "40-46",C117&lt;54, "47-53", TRUE, "54+")</f>
        <v>40-46</v>
      </c>
      <c r="E117">
        <v>648397</v>
      </c>
      <c r="F117" s="1">
        <v>36228</v>
      </c>
      <c r="G117" t="s">
        <v>62</v>
      </c>
      <c r="H117" t="s">
        <v>74</v>
      </c>
      <c r="I117">
        <v>1000</v>
      </c>
      <c r="J117">
        <v>1110.3699999999999</v>
      </c>
      <c r="K117">
        <v>10000000</v>
      </c>
      <c r="L117">
        <v>455365</v>
      </c>
      <c r="M117" t="s">
        <v>46</v>
      </c>
      <c r="N117" t="s">
        <v>47</v>
      </c>
      <c r="O117" t="s">
        <v>63</v>
      </c>
      <c r="P117" t="s">
        <v>154</v>
      </c>
      <c r="Q117" t="s">
        <v>65</v>
      </c>
      <c r="R117">
        <v>34400</v>
      </c>
      <c r="S117">
        <v>-56800</v>
      </c>
      <c r="T117" s="1">
        <v>42028</v>
      </c>
      <c r="U117" t="s">
        <v>80</v>
      </c>
      <c r="V117" t="s">
        <v>52</v>
      </c>
      <c r="W117" t="s">
        <v>112</v>
      </c>
      <c r="X117" t="s">
        <v>125</v>
      </c>
      <c r="Y117" t="s">
        <v>82</v>
      </c>
      <c r="Z117" t="s">
        <v>70</v>
      </c>
      <c r="AA117" t="s">
        <v>298</v>
      </c>
      <c r="AB117">
        <v>14</v>
      </c>
      <c r="AC117" t="str">
        <f t="shared" si="4"/>
        <v>Afternoon</v>
      </c>
      <c r="AD117">
        <v>3</v>
      </c>
      <c r="AE117" t="s">
        <v>84</v>
      </c>
      <c r="AF117">
        <v>0</v>
      </c>
      <c r="AG117">
        <v>1</v>
      </c>
      <c r="AH117" t="s">
        <v>67</v>
      </c>
      <c r="AI117">
        <v>47700</v>
      </c>
      <c r="AJ117">
        <v>4770</v>
      </c>
      <c r="AK117">
        <v>9540</v>
      </c>
      <c r="AL117">
        <v>33390</v>
      </c>
      <c r="AM117" t="s">
        <v>100</v>
      </c>
      <c r="AN117" t="s">
        <v>153</v>
      </c>
      <c r="AO117">
        <v>2015</v>
      </c>
      <c r="AP117">
        <v>1997</v>
      </c>
      <c r="AQ117">
        <f t="shared" si="5"/>
        <v>18</v>
      </c>
      <c r="AR117" t="s">
        <v>61</v>
      </c>
    </row>
    <row r="118" spans="1:44" x14ac:dyDescent="0.25">
      <c r="A118">
        <v>107</v>
      </c>
      <c r="B118" t="str">
        <f t="shared" si="3"/>
        <v>5-10 years</v>
      </c>
      <c r="C118">
        <v>31</v>
      </c>
      <c r="D118" t="str" cm="1">
        <f t="array" ref="D118">_xlfn.IFS(C118&lt;26, "19-25", C118&lt;33, "26-32", C118&lt;40, "33-39", C118&lt;47, "40-46",C118&lt;54, "47-53", TRUE, "54+")</f>
        <v>26-32</v>
      </c>
      <c r="E118">
        <v>154982</v>
      </c>
      <c r="F118" s="1">
        <v>33282</v>
      </c>
      <c r="G118" t="s">
        <v>88</v>
      </c>
      <c r="H118" t="s">
        <v>96</v>
      </c>
      <c r="I118">
        <v>2000</v>
      </c>
      <c r="J118">
        <v>1374.22</v>
      </c>
      <c r="K118">
        <v>0</v>
      </c>
      <c r="L118">
        <v>470603</v>
      </c>
      <c r="M118" t="s">
        <v>75</v>
      </c>
      <c r="N118" t="s">
        <v>76</v>
      </c>
      <c r="O118" t="s">
        <v>63</v>
      </c>
      <c r="P118" t="s">
        <v>103</v>
      </c>
      <c r="Q118" t="s">
        <v>65</v>
      </c>
      <c r="R118">
        <v>62000</v>
      </c>
      <c r="S118">
        <v>-63100</v>
      </c>
      <c r="T118" s="1">
        <v>42061</v>
      </c>
      <c r="U118" t="s">
        <v>51</v>
      </c>
      <c r="V118" t="s">
        <v>81</v>
      </c>
      <c r="W118" t="s">
        <v>68</v>
      </c>
      <c r="X118" t="s">
        <v>54</v>
      </c>
      <c r="Y118" t="s">
        <v>55</v>
      </c>
      <c r="Z118" t="s">
        <v>127</v>
      </c>
      <c r="AA118" t="s">
        <v>299</v>
      </c>
      <c r="AB118">
        <v>16</v>
      </c>
      <c r="AC118" t="str">
        <f t="shared" si="4"/>
        <v>Afternoon</v>
      </c>
      <c r="AD118">
        <v>1</v>
      </c>
      <c r="AE118" t="s">
        <v>84</v>
      </c>
      <c r="AF118">
        <v>0</v>
      </c>
      <c r="AG118">
        <v>3</v>
      </c>
      <c r="AH118" t="s">
        <v>84</v>
      </c>
      <c r="AI118">
        <v>51260</v>
      </c>
      <c r="AJ118">
        <v>9320</v>
      </c>
      <c r="AK118">
        <v>9320</v>
      </c>
      <c r="AL118">
        <v>32620</v>
      </c>
      <c r="AM118" t="s">
        <v>158</v>
      </c>
      <c r="AN118" t="s">
        <v>159</v>
      </c>
      <c r="AO118">
        <v>2015</v>
      </c>
      <c r="AP118">
        <v>2002</v>
      </c>
      <c r="AQ118">
        <f t="shared" si="5"/>
        <v>13</v>
      </c>
      <c r="AR118" t="s">
        <v>87</v>
      </c>
    </row>
    <row r="119" spans="1:44" x14ac:dyDescent="0.25">
      <c r="A119">
        <v>225</v>
      </c>
      <c r="B119" t="str">
        <f t="shared" si="3"/>
        <v>10+ years</v>
      </c>
      <c r="C119">
        <v>41</v>
      </c>
      <c r="D119" t="str" cm="1">
        <f t="array" ref="D119">_xlfn.IFS(C119&lt;26, "19-25", C119&lt;33, "26-32", C119&lt;40, "33-39", C119&lt;47, "40-46",C119&lt;54, "47-53", TRUE, "54+")</f>
        <v>40-46</v>
      </c>
      <c r="E119">
        <v>330591</v>
      </c>
      <c r="F119" s="1">
        <v>34186</v>
      </c>
      <c r="G119" t="s">
        <v>44</v>
      </c>
      <c r="H119" t="s">
        <v>96</v>
      </c>
      <c r="I119">
        <v>2000</v>
      </c>
      <c r="J119">
        <v>1103.58</v>
      </c>
      <c r="K119">
        <v>0</v>
      </c>
      <c r="L119">
        <v>475292</v>
      </c>
      <c r="M119" t="s">
        <v>46</v>
      </c>
      <c r="N119" t="s">
        <v>136</v>
      </c>
      <c r="O119" t="s">
        <v>130</v>
      </c>
      <c r="P119" t="s">
        <v>269</v>
      </c>
      <c r="Q119" t="s">
        <v>90</v>
      </c>
      <c r="R119">
        <v>41200</v>
      </c>
      <c r="S119">
        <v>-36200</v>
      </c>
      <c r="T119" s="1">
        <v>42023</v>
      </c>
      <c r="U119" t="s">
        <v>80</v>
      </c>
      <c r="V119" t="s">
        <v>52</v>
      </c>
      <c r="W119" t="s">
        <v>53</v>
      </c>
      <c r="X119" t="s">
        <v>54</v>
      </c>
      <c r="Y119" t="s">
        <v>82</v>
      </c>
      <c r="Z119" t="s">
        <v>132</v>
      </c>
      <c r="AA119" t="s">
        <v>300</v>
      </c>
      <c r="AB119">
        <v>20</v>
      </c>
      <c r="AC119" t="str">
        <f t="shared" si="4"/>
        <v>Evening</v>
      </c>
      <c r="AD119">
        <v>3</v>
      </c>
      <c r="AE119" t="s">
        <v>67</v>
      </c>
      <c r="AF119">
        <v>2</v>
      </c>
      <c r="AG119">
        <v>2</v>
      </c>
      <c r="AH119" t="s">
        <v>84</v>
      </c>
      <c r="AI119">
        <v>70400</v>
      </c>
      <c r="AJ119">
        <v>6400</v>
      </c>
      <c r="AK119">
        <v>12800</v>
      </c>
      <c r="AL119">
        <v>51200</v>
      </c>
      <c r="AM119" t="s">
        <v>120</v>
      </c>
      <c r="AN119" t="s">
        <v>145</v>
      </c>
      <c r="AO119">
        <v>2015</v>
      </c>
      <c r="AP119">
        <v>2011</v>
      </c>
      <c r="AQ119">
        <f t="shared" si="5"/>
        <v>4</v>
      </c>
      <c r="AR119" t="s">
        <v>61</v>
      </c>
    </row>
    <row r="120" spans="1:44" x14ac:dyDescent="0.25">
      <c r="A120">
        <v>164</v>
      </c>
      <c r="B120" t="str">
        <f t="shared" si="3"/>
        <v>10+ years</v>
      </c>
      <c r="C120">
        <v>38</v>
      </c>
      <c r="D120" t="str" cm="1">
        <f t="array" ref="D120">_xlfn.IFS(C120&lt;26, "19-25", C120&lt;33, "26-32", C120&lt;40, "33-39", C120&lt;47, "40-46",C120&lt;54, "47-53", TRUE, "54+")</f>
        <v>33-39</v>
      </c>
      <c r="E120">
        <v>319232</v>
      </c>
      <c r="F120" s="1">
        <v>35734</v>
      </c>
      <c r="G120" t="s">
        <v>88</v>
      </c>
      <c r="H120" t="s">
        <v>45</v>
      </c>
      <c r="I120">
        <v>2000</v>
      </c>
      <c r="J120">
        <v>1269.76</v>
      </c>
      <c r="K120">
        <v>0</v>
      </c>
      <c r="L120">
        <v>467743</v>
      </c>
      <c r="M120" t="s">
        <v>75</v>
      </c>
      <c r="N120" t="s">
        <v>76</v>
      </c>
      <c r="O120" t="s">
        <v>150</v>
      </c>
      <c r="P120" t="s">
        <v>160</v>
      </c>
      <c r="Q120" t="s">
        <v>147</v>
      </c>
      <c r="R120">
        <v>44300</v>
      </c>
      <c r="S120">
        <v>0</v>
      </c>
      <c r="T120" s="1">
        <v>42021</v>
      </c>
      <c r="U120" t="s">
        <v>51</v>
      </c>
      <c r="V120" t="s">
        <v>81</v>
      </c>
      <c r="W120" t="s">
        <v>68</v>
      </c>
      <c r="X120" t="s">
        <v>104</v>
      </c>
      <c r="Y120" t="s">
        <v>82</v>
      </c>
      <c r="Z120" t="s">
        <v>127</v>
      </c>
      <c r="AA120" t="s">
        <v>301</v>
      </c>
      <c r="AB120">
        <v>4</v>
      </c>
      <c r="AC120" t="str">
        <f t="shared" si="4"/>
        <v>Night</v>
      </c>
      <c r="AD120">
        <v>1</v>
      </c>
      <c r="AE120" t="s">
        <v>84</v>
      </c>
      <c r="AF120">
        <v>1</v>
      </c>
      <c r="AG120">
        <v>3</v>
      </c>
      <c r="AH120" t="s">
        <v>58</v>
      </c>
      <c r="AI120">
        <v>90000</v>
      </c>
      <c r="AJ120">
        <v>18000</v>
      </c>
      <c r="AK120">
        <v>9000</v>
      </c>
      <c r="AL120">
        <v>63000</v>
      </c>
      <c r="AM120" t="s">
        <v>134</v>
      </c>
      <c r="AN120" t="s">
        <v>254</v>
      </c>
      <c r="AO120">
        <v>2015</v>
      </c>
      <c r="AP120">
        <v>2015</v>
      </c>
      <c r="AQ120">
        <f t="shared" si="5"/>
        <v>0</v>
      </c>
      <c r="AR120" t="s">
        <v>87</v>
      </c>
    </row>
    <row r="121" spans="1:44" x14ac:dyDescent="0.25">
      <c r="A121">
        <v>245</v>
      </c>
      <c r="B121" t="str">
        <f t="shared" si="3"/>
        <v>10+ years</v>
      </c>
      <c r="C121">
        <v>39</v>
      </c>
      <c r="D121" t="str" cm="1">
        <f t="array" ref="D121">_xlfn.IFS(C121&lt;26, "19-25", C121&lt;33, "26-32", C121&lt;40, "33-39", C121&lt;47, "40-46",C121&lt;54, "47-53", TRUE, "54+")</f>
        <v>33-39</v>
      </c>
      <c r="E121">
        <v>531640</v>
      </c>
      <c r="F121" s="1">
        <v>37002</v>
      </c>
      <c r="G121" t="s">
        <v>44</v>
      </c>
      <c r="H121" t="s">
        <v>45</v>
      </c>
      <c r="I121">
        <v>500</v>
      </c>
      <c r="J121">
        <v>964.79</v>
      </c>
      <c r="K121">
        <v>8000000</v>
      </c>
      <c r="L121">
        <v>460675</v>
      </c>
      <c r="M121" t="s">
        <v>75</v>
      </c>
      <c r="N121" t="s">
        <v>97</v>
      </c>
      <c r="O121" t="s">
        <v>190</v>
      </c>
      <c r="P121" t="s">
        <v>123</v>
      </c>
      <c r="Q121" t="s">
        <v>50</v>
      </c>
      <c r="R121">
        <v>58000</v>
      </c>
      <c r="S121">
        <v>0</v>
      </c>
      <c r="T121" s="1">
        <v>42055</v>
      </c>
      <c r="U121" t="s">
        <v>80</v>
      </c>
      <c r="V121" t="s">
        <v>81</v>
      </c>
      <c r="W121" t="s">
        <v>68</v>
      </c>
      <c r="X121" t="s">
        <v>54</v>
      </c>
      <c r="Y121" t="s">
        <v>82</v>
      </c>
      <c r="Z121" t="s">
        <v>92</v>
      </c>
      <c r="AA121" t="s">
        <v>302</v>
      </c>
      <c r="AB121">
        <v>7</v>
      </c>
      <c r="AC121" t="str">
        <f t="shared" si="4"/>
        <v>Morning</v>
      </c>
      <c r="AD121">
        <v>3</v>
      </c>
      <c r="AE121" t="s">
        <v>67</v>
      </c>
      <c r="AF121">
        <v>0</v>
      </c>
      <c r="AG121">
        <v>1</v>
      </c>
      <c r="AH121" t="s">
        <v>67</v>
      </c>
      <c r="AI121">
        <v>72820</v>
      </c>
      <c r="AJ121">
        <v>13240</v>
      </c>
      <c r="AK121">
        <v>6620</v>
      </c>
      <c r="AL121">
        <v>52960</v>
      </c>
      <c r="AM121" t="s">
        <v>192</v>
      </c>
      <c r="AN121" t="s">
        <v>193</v>
      </c>
      <c r="AO121">
        <v>2015</v>
      </c>
      <c r="AP121">
        <v>2010</v>
      </c>
      <c r="AQ121">
        <f t="shared" si="5"/>
        <v>5</v>
      </c>
      <c r="AR121" t="s">
        <v>87</v>
      </c>
    </row>
    <row r="122" spans="1:44" x14ac:dyDescent="0.25">
      <c r="A122">
        <v>255</v>
      </c>
      <c r="B122" t="str">
        <f t="shared" si="3"/>
        <v>10+ years</v>
      </c>
      <c r="C122">
        <v>41</v>
      </c>
      <c r="D122" t="str" cm="1">
        <f t="array" ref="D122">_xlfn.IFS(C122&lt;26, "19-25", C122&lt;33, "26-32", C122&lt;40, "33-39", C122&lt;47, "40-46",C122&lt;54, "47-53", TRUE, "54+")</f>
        <v>40-46</v>
      </c>
      <c r="E122">
        <v>368050</v>
      </c>
      <c r="F122" s="1">
        <v>41282</v>
      </c>
      <c r="G122" t="s">
        <v>88</v>
      </c>
      <c r="H122" t="s">
        <v>96</v>
      </c>
      <c r="I122">
        <v>2000</v>
      </c>
      <c r="J122">
        <v>1167.3</v>
      </c>
      <c r="K122">
        <v>4000000</v>
      </c>
      <c r="L122">
        <v>618123</v>
      </c>
      <c r="M122" t="s">
        <v>46</v>
      </c>
      <c r="N122" t="s">
        <v>136</v>
      </c>
      <c r="O122" t="s">
        <v>122</v>
      </c>
      <c r="P122" t="s">
        <v>78</v>
      </c>
      <c r="Q122" t="s">
        <v>65</v>
      </c>
      <c r="R122">
        <v>0</v>
      </c>
      <c r="S122">
        <v>0</v>
      </c>
      <c r="T122" s="1">
        <v>42057</v>
      </c>
      <c r="U122" t="s">
        <v>51</v>
      </c>
      <c r="V122" t="s">
        <v>52</v>
      </c>
      <c r="W122" t="s">
        <v>68</v>
      </c>
      <c r="X122" t="s">
        <v>104</v>
      </c>
      <c r="Y122" t="s">
        <v>55</v>
      </c>
      <c r="Z122" t="s">
        <v>127</v>
      </c>
      <c r="AA122" t="s">
        <v>303</v>
      </c>
      <c r="AB122">
        <v>22</v>
      </c>
      <c r="AC122" t="str">
        <f t="shared" si="4"/>
        <v>Evening</v>
      </c>
      <c r="AD122">
        <v>1</v>
      </c>
      <c r="AE122" t="s">
        <v>84</v>
      </c>
      <c r="AF122">
        <v>2</v>
      </c>
      <c r="AG122">
        <v>0</v>
      </c>
      <c r="AH122" t="s">
        <v>67</v>
      </c>
      <c r="AI122">
        <v>69300</v>
      </c>
      <c r="AJ122">
        <v>13860</v>
      </c>
      <c r="AK122">
        <v>13860</v>
      </c>
      <c r="AL122">
        <v>41580</v>
      </c>
      <c r="AM122" t="s">
        <v>219</v>
      </c>
      <c r="AN122" t="s">
        <v>220</v>
      </c>
      <c r="AO122">
        <v>2015</v>
      </c>
      <c r="AP122">
        <v>2000</v>
      </c>
      <c r="AQ122">
        <f t="shared" si="5"/>
        <v>15</v>
      </c>
      <c r="AR122" t="s">
        <v>87</v>
      </c>
    </row>
    <row r="123" spans="1:44" x14ac:dyDescent="0.25">
      <c r="A123">
        <v>206</v>
      </c>
      <c r="B123" t="str">
        <f t="shared" si="3"/>
        <v>10+ years</v>
      </c>
      <c r="C123">
        <v>36</v>
      </c>
      <c r="D123" t="str" cm="1">
        <f t="array" ref="D123">_xlfn.IFS(C123&lt;26, "19-25", C123&lt;33, "26-32", C123&lt;40, "33-39", C123&lt;47, "40-46",C123&lt;54, "47-53", TRUE, "54+")</f>
        <v>33-39</v>
      </c>
      <c r="E123">
        <v>253791</v>
      </c>
      <c r="F123" s="1">
        <v>40017</v>
      </c>
      <c r="G123" t="s">
        <v>88</v>
      </c>
      <c r="H123" t="s">
        <v>96</v>
      </c>
      <c r="I123">
        <v>500</v>
      </c>
      <c r="J123">
        <v>1625.45</v>
      </c>
      <c r="K123">
        <v>4000000</v>
      </c>
      <c r="L123">
        <v>607452</v>
      </c>
      <c r="M123" t="s">
        <v>75</v>
      </c>
      <c r="N123" t="s">
        <v>47</v>
      </c>
      <c r="O123" t="s">
        <v>116</v>
      </c>
      <c r="P123" t="s">
        <v>186</v>
      </c>
      <c r="Q123" t="s">
        <v>65</v>
      </c>
      <c r="R123">
        <v>0</v>
      </c>
      <c r="S123">
        <v>-53700</v>
      </c>
      <c r="T123" s="1">
        <v>42027</v>
      </c>
      <c r="U123" t="s">
        <v>51</v>
      </c>
      <c r="V123" t="s">
        <v>91</v>
      </c>
      <c r="W123" t="s">
        <v>53</v>
      </c>
      <c r="X123" t="s">
        <v>141</v>
      </c>
      <c r="Y123" t="s">
        <v>82</v>
      </c>
      <c r="Z123" t="s">
        <v>161</v>
      </c>
      <c r="AA123" t="s">
        <v>304</v>
      </c>
      <c r="AB123">
        <v>11</v>
      </c>
      <c r="AC123" t="str">
        <f t="shared" si="4"/>
        <v>Morning</v>
      </c>
      <c r="AD123">
        <v>1</v>
      </c>
      <c r="AE123" t="s">
        <v>84</v>
      </c>
      <c r="AF123">
        <v>2</v>
      </c>
      <c r="AG123">
        <v>1</v>
      </c>
      <c r="AH123" t="s">
        <v>84</v>
      </c>
      <c r="AI123">
        <v>76560</v>
      </c>
      <c r="AJ123">
        <v>12760</v>
      </c>
      <c r="AK123">
        <v>12760</v>
      </c>
      <c r="AL123">
        <v>51040</v>
      </c>
      <c r="AM123" t="s">
        <v>134</v>
      </c>
      <c r="AN123" t="s">
        <v>254</v>
      </c>
      <c r="AO123">
        <v>2015</v>
      </c>
      <c r="AP123">
        <v>2008</v>
      </c>
      <c r="AQ123">
        <f t="shared" si="5"/>
        <v>7</v>
      </c>
      <c r="AR123" t="s">
        <v>61</v>
      </c>
    </row>
    <row r="124" spans="1:44" x14ac:dyDescent="0.25">
      <c r="A124">
        <v>203</v>
      </c>
      <c r="B124" t="str">
        <f t="shared" si="3"/>
        <v>10+ years</v>
      </c>
      <c r="C124">
        <v>38</v>
      </c>
      <c r="D124" t="str" cm="1">
        <f t="array" ref="D124">_xlfn.IFS(C124&lt;26, "19-25", C124&lt;33, "26-32", C124&lt;40, "33-39", C124&lt;47, "40-46",C124&lt;54, "47-53", TRUE, "54+")</f>
        <v>33-39</v>
      </c>
      <c r="E124">
        <v>155724</v>
      </c>
      <c r="F124" s="1">
        <v>35846</v>
      </c>
      <c r="G124" t="s">
        <v>88</v>
      </c>
      <c r="H124" t="s">
        <v>45</v>
      </c>
      <c r="I124">
        <v>500</v>
      </c>
      <c r="J124">
        <v>1394.43</v>
      </c>
      <c r="K124">
        <v>0</v>
      </c>
      <c r="L124">
        <v>606352</v>
      </c>
      <c r="M124" t="s">
        <v>75</v>
      </c>
      <c r="N124" t="s">
        <v>129</v>
      </c>
      <c r="O124" t="s">
        <v>116</v>
      </c>
      <c r="P124" t="s">
        <v>137</v>
      </c>
      <c r="Q124" t="s">
        <v>147</v>
      </c>
      <c r="R124">
        <v>0</v>
      </c>
      <c r="S124">
        <v>0</v>
      </c>
      <c r="T124" s="1">
        <v>42035</v>
      </c>
      <c r="U124" t="s">
        <v>51</v>
      </c>
      <c r="V124" t="s">
        <v>91</v>
      </c>
      <c r="W124" t="s">
        <v>53</v>
      </c>
      <c r="X124" t="s">
        <v>141</v>
      </c>
      <c r="Y124" t="s">
        <v>69</v>
      </c>
      <c r="Z124" t="s">
        <v>56</v>
      </c>
      <c r="AA124" t="s">
        <v>305</v>
      </c>
      <c r="AB124">
        <v>7</v>
      </c>
      <c r="AC124" t="str">
        <f t="shared" si="4"/>
        <v>Morning</v>
      </c>
      <c r="AD124">
        <v>1</v>
      </c>
      <c r="AE124" t="s">
        <v>67</v>
      </c>
      <c r="AF124">
        <v>0</v>
      </c>
      <c r="AG124">
        <v>1</v>
      </c>
      <c r="AH124" t="s">
        <v>58</v>
      </c>
      <c r="AI124">
        <v>55440</v>
      </c>
      <c r="AJ124">
        <v>0</v>
      </c>
      <c r="AK124">
        <v>6160</v>
      </c>
      <c r="AL124">
        <v>49280</v>
      </c>
      <c r="AM124" t="s">
        <v>109</v>
      </c>
      <c r="AN124" t="s">
        <v>156</v>
      </c>
      <c r="AO124">
        <v>2015</v>
      </c>
      <c r="AP124">
        <v>1999</v>
      </c>
      <c r="AQ124">
        <f t="shared" si="5"/>
        <v>16</v>
      </c>
      <c r="AR124" t="s">
        <v>61</v>
      </c>
    </row>
    <row r="125" spans="1:44" x14ac:dyDescent="0.25">
      <c r="A125">
        <v>22</v>
      </c>
      <c r="B125" t="str">
        <f t="shared" si="3"/>
        <v>0-2 years</v>
      </c>
      <c r="C125">
        <v>25</v>
      </c>
      <c r="D125" t="str" cm="1">
        <f t="array" ref="D125">_xlfn.IFS(C125&lt;26, "19-25", C125&lt;33, "26-32", C125&lt;40, "33-39", C125&lt;47, "40-46",C125&lt;54, "47-53", TRUE, "54+")</f>
        <v>19-25</v>
      </c>
      <c r="E125">
        <v>824540</v>
      </c>
      <c r="F125" s="1">
        <v>39520</v>
      </c>
      <c r="G125" t="s">
        <v>44</v>
      </c>
      <c r="H125" t="s">
        <v>45</v>
      </c>
      <c r="I125">
        <v>2000</v>
      </c>
      <c r="J125">
        <v>1053.24</v>
      </c>
      <c r="K125">
        <v>0</v>
      </c>
      <c r="L125">
        <v>603527</v>
      </c>
      <c r="M125" t="s">
        <v>75</v>
      </c>
      <c r="N125" t="s">
        <v>146</v>
      </c>
      <c r="O125" t="s">
        <v>106</v>
      </c>
      <c r="P125" t="s">
        <v>151</v>
      </c>
      <c r="Q125" t="s">
        <v>65</v>
      </c>
      <c r="R125">
        <v>51100</v>
      </c>
      <c r="S125">
        <v>0</v>
      </c>
      <c r="T125" s="1">
        <v>42009</v>
      </c>
      <c r="U125" t="s">
        <v>80</v>
      </c>
      <c r="V125" t="s">
        <v>91</v>
      </c>
      <c r="W125" t="s">
        <v>112</v>
      </c>
      <c r="X125" t="s">
        <v>125</v>
      </c>
      <c r="Y125" t="s">
        <v>126</v>
      </c>
      <c r="Z125" t="s">
        <v>92</v>
      </c>
      <c r="AA125" t="s">
        <v>306</v>
      </c>
      <c r="AB125">
        <v>0</v>
      </c>
      <c r="AC125" t="str">
        <f t="shared" si="4"/>
        <v>Night</v>
      </c>
      <c r="AD125">
        <v>4</v>
      </c>
      <c r="AE125" t="s">
        <v>58</v>
      </c>
      <c r="AF125">
        <v>1</v>
      </c>
      <c r="AG125">
        <v>0</v>
      </c>
      <c r="AH125" t="s">
        <v>84</v>
      </c>
      <c r="AI125">
        <v>77130</v>
      </c>
      <c r="AJ125">
        <v>8570</v>
      </c>
      <c r="AK125">
        <v>17140</v>
      </c>
      <c r="AL125">
        <v>51420</v>
      </c>
      <c r="AM125" t="s">
        <v>100</v>
      </c>
      <c r="AN125" t="s">
        <v>153</v>
      </c>
      <c r="AO125">
        <v>2015</v>
      </c>
      <c r="AP125">
        <v>1995</v>
      </c>
      <c r="AQ125">
        <f t="shared" si="5"/>
        <v>20</v>
      </c>
      <c r="AR125" t="s">
        <v>87</v>
      </c>
    </row>
    <row r="126" spans="1:44" x14ac:dyDescent="0.25">
      <c r="A126">
        <v>211</v>
      </c>
      <c r="B126" t="str">
        <f t="shared" si="3"/>
        <v>10+ years</v>
      </c>
      <c r="C126">
        <v>35</v>
      </c>
      <c r="D126" t="str" cm="1">
        <f t="array" ref="D126">_xlfn.IFS(C126&lt;26, "19-25", C126&lt;33, "26-32", C126&lt;40, "33-39", C126&lt;47, "40-46",C126&lt;54, "47-53", TRUE, "54+")</f>
        <v>33-39</v>
      </c>
      <c r="E126">
        <v>717392</v>
      </c>
      <c r="F126" s="1">
        <v>35297</v>
      </c>
      <c r="G126" t="s">
        <v>88</v>
      </c>
      <c r="H126" t="s">
        <v>74</v>
      </c>
      <c r="I126">
        <v>500</v>
      </c>
      <c r="J126">
        <v>1040.75</v>
      </c>
      <c r="K126">
        <v>0</v>
      </c>
      <c r="L126">
        <v>445601</v>
      </c>
      <c r="M126" t="s">
        <v>75</v>
      </c>
      <c r="N126" t="s">
        <v>166</v>
      </c>
      <c r="O126" t="s">
        <v>106</v>
      </c>
      <c r="P126" t="s">
        <v>170</v>
      </c>
      <c r="Q126" t="s">
        <v>147</v>
      </c>
      <c r="R126">
        <v>0</v>
      </c>
      <c r="S126">
        <v>0</v>
      </c>
      <c r="T126" s="1">
        <v>42038</v>
      </c>
      <c r="U126" t="s">
        <v>51</v>
      </c>
      <c r="V126" t="s">
        <v>81</v>
      </c>
      <c r="W126" t="s">
        <v>112</v>
      </c>
      <c r="X126" t="s">
        <v>141</v>
      </c>
      <c r="Y126" t="s">
        <v>118</v>
      </c>
      <c r="Z126" t="s">
        <v>132</v>
      </c>
      <c r="AA126" t="s">
        <v>307</v>
      </c>
      <c r="AB126">
        <v>1</v>
      </c>
      <c r="AC126" t="str">
        <f t="shared" si="4"/>
        <v>Night</v>
      </c>
      <c r="AD126">
        <v>1</v>
      </c>
      <c r="AE126" t="s">
        <v>58</v>
      </c>
      <c r="AF126">
        <v>1</v>
      </c>
      <c r="AG126">
        <v>1</v>
      </c>
      <c r="AH126" t="s">
        <v>67</v>
      </c>
      <c r="AI126">
        <v>42000</v>
      </c>
      <c r="AJ126">
        <v>7000</v>
      </c>
      <c r="AK126">
        <v>7000</v>
      </c>
      <c r="AL126">
        <v>28000</v>
      </c>
      <c r="AM126" t="s">
        <v>192</v>
      </c>
      <c r="AN126" t="s">
        <v>208</v>
      </c>
      <c r="AO126">
        <v>2015</v>
      </c>
      <c r="AP126">
        <v>2011</v>
      </c>
      <c r="AQ126">
        <f t="shared" si="5"/>
        <v>4</v>
      </c>
      <c r="AR126" t="s">
        <v>87</v>
      </c>
    </row>
    <row r="127" spans="1:44" x14ac:dyDescent="0.25">
      <c r="A127">
        <v>206</v>
      </c>
      <c r="B127" t="str">
        <f t="shared" si="3"/>
        <v>10+ years</v>
      </c>
      <c r="C127">
        <v>39</v>
      </c>
      <c r="D127" t="str" cm="1">
        <f t="array" ref="D127">_xlfn.IFS(C127&lt;26, "19-25", C127&lt;33, "26-32", C127&lt;40, "33-39", C127&lt;47, "40-46",C127&lt;54, "47-53", TRUE, "54+")</f>
        <v>33-39</v>
      </c>
      <c r="E127">
        <v>965768</v>
      </c>
      <c r="F127" s="1">
        <v>41847</v>
      </c>
      <c r="G127" t="s">
        <v>62</v>
      </c>
      <c r="H127" t="s">
        <v>45</v>
      </c>
      <c r="I127">
        <v>1000</v>
      </c>
      <c r="J127">
        <v>1302.4000000000001</v>
      </c>
      <c r="K127">
        <v>6000000</v>
      </c>
      <c r="L127">
        <v>603948</v>
      </c>
      <c r="M127" t="s">
        <v>46</v>
      </c>
      <c r="N127" t="s">
        <v>166</v>
      </c>
      <c r="O127" t="s">
        <v>48</v>
      </c>
      <c r="P127" t="s">
        <v>131</v>
      </c>
      <c r="Q127" t="s">
        <v>90</v>
      </c>
      <c r="R127">
        <v>47200</v>
      </c>
      <c r="S127">
        <v>-69700</v>
      </c>
      <c r="T127" s="1">
        <v>42052</v>
      </c>
      <c r="U127" t="s">
        <v>80</v>
      </c>
      <c r="V127" t="s">
        <v>81</v>
      </c>
      <c r="W127" t="s">
        <v>112</v>
      </c>
      <c r="X127" t="s">
        <v>141</v>
      </c>
      <c r="Y127" t="s">
        <v>82</v>
      </c>
      <c r="Z127" t="s">
        <v>127</v>
      </c>
      <c r="AA127" t="s">
        <v>308</v>
      </c>
      <c r="AB127">
        <v>12</v>
      </c>
      <c r="AC127" t="str">
        <f t="shared" si="4"/>
        <v>Afternoon</v>
      </c>
      <c r="AD127">
        <v>3</v>
      </c>
      <c r="AE127" t="s">
        <v>84</v>
      </c>
      <c r="AF127">
        <v>2</v>
      </c>
      <c r="AG127">
        <v>3</v>
      </c>
      <c r="AH127" t="s">
        <v>58</v>
      </c>
      <c r="AI127">
        <v>36300</v>
      </c>
      <c r="AJ127">
        <v>3300</v>
      </c>
      <c r="AK127">
        <v>9900</v>
      </c>
      <c r="AL127">
        <v>23100</v>
      </c>
      <c r="AM127" t="s">
        <v>134</v>
      </c>
      <c r="AN127" t="s">
        <v>177</v>
      </c>
      <c r="AO127">
        <v>2015</v>
      </c>
      <c r="AP127">
        <v>2013</v>
      </c>
      <c r="AQ127">
        <f t="shared" si="5"/>
        <v>2</v>
      </c>
      <c r="AR127" t="s">
        <v>87</v>
      </c>
    </row>
    <row r="128" spans="1:44" x14ac:dyDescent="0.25">
      <c r="A128">
        <v>166</v>
      </c>
      <c r="B128" t="str">
        <f t="shared" si="3"/>
        <v>10+ years</v>
      </c>
      <c r="C128">
        <v>38</v>
      </c>
      <c r="D128" t="str" cm="1">
        <f t="array" ref="D128">_xlfn.IFS(C128&lt;26, "19-25", C128&lt;33, "26-32", C128&lt;40, "33-39", C128&lt;47, "40-46",C128&lt;54, "47-53", TRUE, "54+")</f>
        <v>33-39</v>
      </c>
      <c r="E128">
        <v>414779</v>
      </c>
      <c r="F128" s="1">
        <v>33917</v>
      </c>
      <c r="G128" t="s">
        <v>88</v>
      </c>
      <c r="H128" t="s">
        <v>74</v>
      </c>
      <c r="I128">
        <v>2000</v>
      </c>
      <c r="J128">
        <v>1588.55</v>
      </c>
      <c r="K128">
        <v>0</v>
      </c>
      <c r="L128">
        <v>435758</v>
      </c>
      <c r="M128" t="s">
        <v>46</v>
      </c>
      <c r="N128" t="s">
        <v>47</v>
      </c>
      <c r="O128" t="s">
        <v>140</v>
      </c>
      <c r="P128" t="s">
        <v>186</v>
      </c>
      <c r="Q128" t="s">
        <v>90</v>
      </c>
      <c r="R128">
        <v>59600</v>
      </c>
      <c r="S128">
        <v>-32100</v>
      </c>
      <c r="T128" s="1">
        <v>42013</v>
      </c>
      <c r="U128" t="s">
        <v>51</v>
      </c>
      <c r="V128" t="s">
        <v>52</v>
      </c>
      <c r="W128" t="s">
        <v>112</v>
      </c>
      <c r="X128" t="s">
        <v>125</v>
      </c>
      <c r="Y128" t="s">
        <v>118</v>
      </c>
      <c r="Z128" t="s">
        <v>56</v>
      </c>
      <c r="AA128" t="s">
        <v>309</v>
      </c>
      <c r="AB128">
        <v>8</v>
      </c>
      <c r="AC128" t="str">
        <f t="shared" si="4"/>
        <v>Morning</v>
      </c>
      <c r="AD128">
        <v>1</v>
      </c>
      <c r="AE128" t="s">
        <v>84</v>
      </c>
      <c r="AF128">
        <v>0</v>
      </c>
      <c r="AG128">
        <v>0</v>
      </c>
      <c r="AH128" t="s">
        <v>67</v>
      </c>
      <c r="AI128">
        <v>40320</v>
      </c>
      <c r="AJ128">
        <v>5760</v>
      </c>
      <c r="AK128">
        <v>5760</v>
      </c>
      <c r="AL128">
        <v>28800</v>
      </c>
      <c r="AM128" t="s">
        <v>158</v>
      </c>
      <c r="AN128" t="s">
        <v>168</v>
      </c>
      <c r="AO128">
        <v>2015</v>
      </c>
      <c r="AP128">
        <v>2001</v>
      </c>
      <c r="AQ128">
        <f t="shared" si="5"/>
        <v>14</v>
      </c>
      <c r="AR128" t="s">
        <v>87</v>
      </c>
    </row>
    <row r="129" spans="1:44" x14ac:dyDescent="0.25">
      <c r="A129">
        <v>165</v>
      </c>
      <c r="B129" t="str">
        <f t="shared" si="3"/>
        <v>10+ years</v>
      </c>
      <c r="C129">
        <v>32</v>
      </c>
      <c r="D129" t="str" cm="1">
        <f t="array" ref="D129">_xlfn.IFS(C129&lt;26, "19-25", C129&lt;33, "26-32", C129&lt;40, "33-39", C129&lt;47, "40-46",C129&lt;54, "47-53", TRUE, "54+")</f>
        <v>26-32</v>
      </c>
      <c r="E129">
        <v>428230</v>
      </c>
      <c r="F129" s="1">
        <v>41064</v>
      </c>
      <c r="G129" t="s">
        <v>62</v>
      </c>
      <c r="H129" t="s">
        <v>96</v>
      </c>
      <c r="I129">
        <v>500</v>
      </c>
      <c r="J129">
        <v>1399.26</v>
      </c>
      <c r="K129">
        <v>0</v>
      </c>
      <c r="L129">
        <v>611586</v>
      </c>
      <c r="M129" t="s">
        <v>75</v>
      </c>
      <c r="N129" t="s">
        <v>136</v>
      </c>
      <c r="O129" t="s">
        <v>102</v>
      </c>
      <c r="P129" t="s">
        <v>269</v>
      </c>
      <c r="Q129" t="s">
        <v>79</v>
      </c>
      <c r="R129">
        <v>70500</v>
      </c>
      <c r="S129">
        <v>0</v>
      </c>
      <c r="T129" s="1">
        <v>42043</v>
      </c>
      <c r="U129" t="s">
        <v>143</v>
      </c>
      <c r="V129" t="s">
        <v>67</v>
      </c>
      <c r="W129" t="s">
        <v>68</v>
      </c>
      <c r="X129" t="s">
        <v>54</v>
      </c>
      <c r="Y129" t="s">
        <v>180</v>
      </c>
      <c r="Z129" t="s">
        <v>161</v>
      </c>
      <c r="AA129" t="s">
        <v>310</v>
      </c>
      <c r="AB129">
        <v>9</v>
      </c>
      <c r="AC129" t="str">
        <f t="shared" si="4"/>
        <v>Morning</v>
      </c>
      <c r="AD129">
        <v>1</v>
      </c>
      <c r="AE129" t="s">
        <v>67</v>
      </c>
      <c r="AF129">
        <v>2</v>
      </c>
      <c r="AG129">
        <v>0</v>
      </c>
      <c r="AH129" t="s">
        <v>67</v>
      </c>
      <c r="AI129">
        <v>3960</v>
      </c>
      <c r="AJ129">
        <v>330</v>
      </c>
      <c r="AK129">
        <v>660</v>
      </c>
      <c r="AL129">
        <v>2970</v>
      </c>
      <c r="AM129" t="s">
        <v>192</v>
      </c>
      <c r="AN129" t="s">
        <v>206</v>
      </c>
      <c r="AO129">
        <v>2015</v>
      </c>
      <c r="AP129">
        <v>1998</v>
      </c>
      <c r="AQ129">
        <f t="shared" si="5"/>
        <v>17</v>
      </c>
      <c r="AR129" t="s">
        <v>87</v>
      </c>
    </row>
    <row r="130" spans="1:44" x14ac:dyDescent="0.25">
      <c r="A130">
        <v>274</v>
      </c>
      <c r="B130" t="str">
        <f t="shared" si="3"/>
        <v>10+ years</v>
      </c>
      <c r="C130">
        <v>43</v>
      </c>
      <c r="D130" t="str" cm="1">
        <f t="array" ref="D130">_xlfn.IFS(C130&lt;26, "19-25", C130&lt;33, "26-32", C130&lt;40, "33-39", C130&lt;47, "40-46",C130&lt;54, "47-53", TRUE, "54+")</f>
        <v>40-46</v>
      </c>
      <c r="E130">
        <v>517240</v>
      </c>
      <c r="F130" s="1">
        <v>37024</v>
      </c>
      <c r="G130" t="s">
        <v>44</v>
      </c>
      <c r="H130" t="s">
        <v>74</v>
      </c>
      <c r="I130">
        <v>2000</v>
      </c>
      <c r="J130">
        <v>1352.31</v>
      </c>
      <c r="K130">
        <v>0</v>
      </c>
      <c r="L130">
        <v>465263</v>
      </c>
      <c r="M130" t="s">
        <v>46</v>
      </c>
      <c r="N130" t="s">
        <v>146</v>
      </c>
      <c r="O130" t="s">
        <v>194</v>
      </c>
      <c r="P130" t="s">
        <v>184</v>
      </c>
      <c r="Q130" t="s">
        <v>124</v>
      </c>
      <c r="R130">
        <v>40700</v>
      </c>
      <c r="S130">
        <v>-47300</v>
      </c>
      <c r="T130" s="1">
        <v>42041</v>
      </c>
      <c r="U130" t="s">
        <v>51</v>
      </c>
      <c r="V130" t="s">
        <v>91</v>
      </c>
      <c r="W130" t="s">
        <v>53</v>
      </c>
      <c r="X130" t="s">
        <v>104</v>
      </c>
      <c r="Y130" t="s">
        <v>82</v>
      </c>
      <c r="Z130" t="s">
        <v>132</v>
      </c>
      <c r="AA130" t="s">
        <v>311</v>
      </c>
      <c r="AB130">
        <v>22</v>
      </c>
      <c r="AC130" t="str">
        <f t="shared" si="4"/>
        <v>Evening</v>
      </c>
      <c r="AD130">
        <v>1</v>
      </c>
      <c r="AE130" t="s">
        <v>58</v>
      </c>
      <c r="AF130">
        <v>0</v>
      </c>
      <c r="AG130">
        <v>3</v>
      </c>
      <c r="AH130" t="s">
        <v>58</v>
      </c>
      <c r="AI130">
        <v>63840</v>
      </c>
      <c r="AJ130">
        <v>10640</v>
      </c>
      <c r="AK130">
        <v>10640</v>
      </c>
      <c r="AL130">
        <v>42560</v>
      </c>
      <c r="AM130" t="s">
        <v>192</v>
      </c>
      <c r="AN130" t="s">
        <v>208</v>
      </c>
      <c r="AO130">
        <v>2015</v>
      </c>
      <c r="AP130">
        <v>2006</v>
      </c>
      <c r="AQ130">
        <f t="shared" si="5"/>
        <v>9</v>
      </c>
      <c r="AR130" t="s">
        <v>61</v>
      </c>
    </row>
    <row r="131" spans="1:44" x14ac:dyDescent="0.25">
      <c r="A131">
        <v>81</v>
      </c>
      <c r="B131" t="str">
        <f t="shared" ref="B131:B194" si="6">IF(A131&lt;=24, "0-2 years", IF(A131&lt;=60, "2-5 years", IF(A131&lt;=120, "5-10 years", "10+ years")))</f>
        <v>5-10 years</v>
      </c>
      <c r="C131">
        <v>28</v>
      </c>
      <c r="D131" t="str" cm="1">
        <f t="array" ref="D131">_xlfn.IFS(C131&lt;26, "19-25", C131&lt;33, "26-32", C131&lt;40, "33-39", C131&lt;47, "40-46",C131&lt;54, "47-53", TRUE, "54+")</f>
        <v>26-32</v>
      </c>
      <c r="E131">
        <v>469874</v>
      </c>
      <c r="F131" s="1">
        <v>40803</v>
      </c>
      <c r="G131" t="s">
        <v>88</v>
      </c>
      <c r="H131" t="s">
        <v>45</v>
      </c>
      <c r="I131">
        <v>1000</v>
      </c>
      <c r="J131">
        <v>1139</v>
      </c>
      <c r="K131">
        <v>6000000</v>
      </c>
      <c r="L131">
        <v>617858</v>
      </c>
      <c r="M131" t="s">
        <v>75</v>
      </c>
      <c r="N131" t="s">
        <v>129</v>
      </c>
      <c r="O131" t="s">
        <v>77</v>
      </c>
      <c r="P131" t="s">
        <v>49</v>
      </c>
      <c r="Q131" t="s">
        <v>50</v>
      </c>
      <c r="R131">
        <v>42400</v>
      </c>
      <c r="S131">
        <v>0</v>
      </c>
      <c r="T131" s="1">
        <v>42018</v>
      </c>
      <c r="U131" t="s">
        <v>80</v>
      </c>
      <c r="V131" t="s">
        <v>91</v>
      </c>
      <c r="W131" t="s">
        <v>53</v>
      </c>
      <c r="X131" t="s">
        <v>104</v>
      </c>
      <c r="Y131" t="s">
        <v>55</v>
      </c>
      <c r="Z131" t="s">
        <v>132</v>
      </c>
      <c r="AA131" t="s">
        <v>312</v>
      </c>
      <c r="AB131">
        <v>0</v>
      </c>
      <c r="AC131" t="str">
        <f t="shared" ref="AC131:AC194" si="7">IF(AB131&lt;6, "Night", IF(AB131&lt;12, "Morning", IF(AB131&lt;18, "Afternoon", "Evening")))</f>
        <v>Night</v>
      </c>
      <c r="AD131">
        <v>3</v>
      </c>
      <c r="AE131" t="s">
        <v>67</v>
      </c>
      <c r="AF131">
        <v>1</v>
      </c>
      <c r="AG131">
        <v>2</v>
      </c>
      <c r="AH131" t="s">
        <v>67</v>
      </c>
      <c r="AI131">
        <v>44730</v>
      </c>
      <c r="AJ131">
        <v>4970</v>
      </c>
      <c r="AK131">
        <v>4970</v>
      </c>
      <c r="AL131">
        <v>34790</v>
      </c>
      <c r="AM131" t="s">
        <v>59</v>
      </c>
      <c r="AN131" t="s">
        <v>60</v>
      </c>
      <c r="AO131">
        <v>2015</v>
      </c>
      <c r="AP131">
        <v>2000</v>
      </c>
      <c r="AQ131">
        <f t="shared" ref="AQ131:AQ194" si="8">AO131-AP131</f>
        <v>15</v>
      </c>
      <c r="AR131" t="s">
        <v>61</v>
      </c>
    </row>
    <row r="132" spans="1:44" x14ac:dyDescent="0.25">
      <c r="A132">
        <v>280</v>
      </c>
      <c r="B132" t="str">
        <f t="shared" si="6"/>
        <v>10+ years</v>
      </c>
      <c r="C132">
        <v>45</v>
      </c>
      <c r="D132" t="str" cm="1">
        <f t="array" ref="D132">_xlfn.IFS(C132&lt;26, "19-25", C132&lt;33, "26-32", C132&lt;40, "33-39", C132&lt;47, "40-46",C132&lt;54, "47-53", TRUE, "54+")</f>
        <v>40-46</v>
      </c>
      <c r="E132">
        <v>718428</v>
      </c>
      <c r="F132" s="1">
        <v>40739</v>
      </c>
      <c r="G132" t="s">
        <v>62</v>
      </c>
      <c r="H132" t="s">
        <v>45</v>
      </c>
      <c r="I132">
        <v>1000</v>
      </c>
      <c r="J132">
        <v>1397.67</v>
      </c>
      <c r="K132">
        <v>0</v>
      </c>
      <c r="L132">
        <v>607889</v>
      </c>
      <c r="M132" t="s">
        <v>46</v>
      </c>
      <c r="N132" t="s">
        <v>166</v>
      </c>
      <c r="O132" t="s">
        <v>63</v>
      </c>
      <c r="P132" t="s">
        <v>123</v>
      </c>
      <c r="Q132" t="s">
        <v>124</v>
      </c>
      <c r="R132">
        <v>57900</v>
      </c>
      <c r="S132">
        <v>0</v>
      </c>
      <c r="T132" s="1">
        <v>42026</v>
      </c>
      <c r="U132" t="s">
        <v>80</v>
      </c>
      <c r="V132" t="s">
        <v>91</v>
      </c>
      <c r="W132" t="s">
        <v>68</v>
      </c>
      <c r="X132" t="s">
        <v>125</v>
      </c>
      <c r="Y132" t="s">
        <v>82</v>
      </c>
      <c r="Z132" t="s">
        <v>92</v>
      </c>
      <c r="AA132" t="s">
        <v>313</v>
      </c>
      <c r="AB132">
        <v>0</v>
      </c>
      <c r="AC132" t="str">
        <f t="shared" si="7"/>
        <v>Night</v>
      </c>
      <c r="AD132">
        <v>3</v>
      </c>
      <c r="AE132" t="s">
        <v>58</v>
      </c>
      <c r="AF132">
        <v>1</v>
      </c>
      <c r="AG132">
        <v>2</v>
      </c>
      <c r="AH132" t="s">
        <v>84</v>
      </c>
      <c r="AI132">
        <v>84720</v>
      </c>
      <c r="AJ132">
        <v>14120</v>
      </c>
      <c r="AK132">
        <v>14120</v>
      </c>
      <c r="AL132">
        <v>56480</v>
      </c>
      <c r="AM132" t="s">
        <v>134</v>
      </c>
      <c r="AN132" t="s">
        <v>177</v>
      </c>
      <c r="AO132">
        <v>2015</v>
      </c>
      <c r="AP132">
        <v>1999</v>
      </c>
      <c r="AQ132">
        <f t="shared" si="8"/>
        <v>16</v>
      </c>
      <c r="AR132" t="s">
        <v>87</v>
      </c>
    </row>
    <row r="133" spans="1:44" x14ac:dyDescent="0.25">
      <c r="A133">
        <v>194</v>
      </c>
      <c r="B133" t="str">
        <f t="shared" si="6"/>
        <v>10+ years</v>
      </c>
      <c r="C133">
        <v>39</v>
      </c>
      <c r="D133" t="str" cm="1">
        <f t="array" ref="D133">_xlfn.IFS(C133&lt;26, "19-25", C133&lt;33, "26-32", C133&lt;40, "33-39", C133&lt;47, "40-46",C133&lt;54, "47-53", TRUE, "54+")</f>
        <v>33-39</v>
      </c>
      <c r="E133">
        <v>620215</v>
      </c>
      <c r="F133" s="1">
        <v>38560</v>
      </c>
      <c r="G133" t="s">
        <v>62</v>
      </c>
      <c r="H133" t="s">
        <v>45</v>
      </c>
      <c r="I133">
        <v>500</v>
      </c>
      <c r="J133">
        <v>823.17</v>
      </c>
      <c r="K133">
        <v>0</v>
      </c>
      <c r="L133">
        <v>455689</v>
      </c>
      <c r="M133" t="s">
        <v>46</v>
      </c>
      <c r="N133" t="s">
        <v>129</v>
      </c>
      <c r="O133" t="s">
        <v>190</v>
      </c>
      <c r="P133" t="s">
        <v>170</v>
      </c>
      <c r="Q133" t="s">
        <v>79</v>
      </c>
      <c r="R133">
        <v>0</v>
      </c>
      <c r="S133">
        <v>0</v>
      </c>
      <c r="T133" s="1">
        <v>42058</v>
      </c>
      <c r="U133" t="s">
        <v>80</v>
      </c>
      <c r="V133" t="s">
        <v>91</v>
      </c>
      <c r="W133" t="s">
        <v>53</v>
      </c>
      <c r="X133" t="s">
        <v>125</v>
      </c>
      <c r="Y133" t="s">
        <v>118</v>
      </c>
      <c r="Z133" t="s">
        <v>56</v>
      </c>
      <c r="AA133" t="s">
        <v>314</v>
      </c>
      <c r="AB133">
        <v>3</v>
      </c>
      <c r="AC133" t="str">
        <f t="shared" si="7"/>
        <v>Night</v>
      </c>
      <c r="AD133">
        <v>3</v>
      </c>
      <c r="AE133" t="s">
        <v>67</v>
      </c>
      <c r="AF133">
        <v>2</v>
      </c>
      <c r="AG133">
        <v>2</v>
      </c>
      <c r="AH133" t="s">
        <v>84</v>
      </c>
      <c r="AI133">
        <v>61500</v>
      </c>
      <c r="AJ133">
        <v>6150</v>
      </c>
      <c r="AK133">
        <v>12300</v>
      </c>
      <c r="AL133">
        <v>43050</v>
      </c>
      <c r="AM133" t="s">
        <v>85</v>
      </c>
      <c r="AN133" t="s">
        <v>86</v>
      </c>
      <c r="AO133">
        <v>2015</v>
      </c>
      <c r="AP133">
        <v>2012</v>
      </c>
      <c r="AQ133">
        <f t="shared" si="8"/>
        <v>3</v>
      </c>
      <c r="AR133" t="s">
        <v>87</v>
      </c>
    </row>
    <row r="134" spans="1:44" x14ac:dyDescent="0.25">
      <c r="A134">
        <v>112</v>
      </c>
      <c r="B134" t="str">
        <f t="shared" si="6"/>
        <v>5-10 years</v>
      </c>
      <c r="C134">
        <v>27</v>
      </c>
      <c r="D134" t="str" cm="1">
        <f t="array" ref="D134">_xlfn.IFS(C134&lt;26, "19-25", C134&lt;33, "26-32", C134&lt;40, "33-39", C134&lt;47, "40-46",C134&lt;54, "47-53", TRUE, "54+")</f>
        <v>26-32</v>
      </c>
      <c r="E134">
        <v>618659</v>
      </c>
      <c r="F134" s="1">
        <v>38643</v>
      </c>
      <c r="G134" t="s">
        <v>44</v>
      </c>
      <c r="H134" t="s">
        <v>74</v>
      </c>
      <c r="I134">
        <v>500</v>
      </c>
      <c r="J134">
        <v>965.13</v>
      </c>
      <c r="K134">
        <v>0</v>
      </c>
      <c r="L134">
        <v>450341</v>
      </c>
      <c r="M134" t="s">
        <v>75</v>
      </c>
      <c r="N134" t="s">
        <v>129</v>
      </c>
      <c r="O134" t="s">
        <v>102</v>
      </c>
      <c r="P134" t="s">
        <v>269</v>
      </c>
      <c r="Q134" t="s">
        <v>90</v>
      </c>
      <c r="R134">
        <v>60000</v>
      </c>
      <c r="S134">
        <v>-54800</v>
      </c>
      <c r="T134" s="1">
        <v>42057</v>
      </c>
      <c r="U134" t="s">
        <v>80</v>
      </c>
      <c r="V134" t="s">
        <v>91</v>
      </c>
      <c r="W134" t="s">
        <v>53</v>
      </c>
      <c r="X134" t="s">
        <v>141</v>
      </c>
      <c r="Y134" t="s">
        <v>126</v>
      </c>
      <c r="Z134" t="s">
        <v>92</v>
      </c>
      <c r="AA134" t="s">
        <v>315</v>
      </c>
      <c r="AB134">
        <v>21</v>
      </c>
      <c r="AC134" t="str">
        <f t="shared" si="7"/>
        <v>Evening</v>
      </c>
      <c r="AD134">
        <v>3</v>
      </c>
      <c r="AE134" t="s">
        <v>67</v>
      </c>
      <c r="AF134">
        <v>0</v>
      </c>
      <c r="AG134">
        <v>1</v>
      </c>
      <c r="AH134" t="s">
        <v>67</v>
      </c>
      <c r="AI134">
        <v>51000</v>
      </c>
      <c r="AJ134">
        <v>8500</v>
      </c>
      <c r="AK134">
        <v>8500</v>
      </c>
      <c r="AL134">
        <v>34000</v>
      </c>
      <c r="AM134" t="s">
        <v>109</v>
      </c>
      <c r="AN134" t="s">
        <v>110</v>
      </c>
      <c r="AO134">
        <v>2015</v>
      </c>
      <c r="AP134">
        <v>2013</v>
      </c>
      <c r="AQ134">
        <f t="shared" si="8"/>
        <v>2</v>
      </c>
      <c r="AR134" t="s">
        <v>87</v>
      </c>
    </row>
    <row r="135" spans="1:44" x14ac:dyDescent="0.25">
      <c r="A135">
        <v>24</v>
      </c>
      <c r="B135" t="str">
        <f t="shared" si="6"/>
        <v>0-2 years</v>
      </c>
      <c r="C135">
        <v>33</v>
      </c>
      <c r="D135" t="str" cm="1">
        <f t="array" ref="D135">_xlfn.IFS(C135&lt;26, "19-25", C135&lt;33, "26-32", C135&lt;40, "33-39", C135&lt;47, "40-46",C135&lt;54, "47-53", TRUE, "54+")</f>
        <v>33-39</v>
      </c>
      <c r="E135">
        <v>649082</v>
      </c>
      <c r="F135" s="1">
        <v>35083</v>
      </c>
      <c r="G135" t="s">
        <v>88</v>
      </c>
      <c r="H135" t="s">
        <v>96</v>
      </c>
      <c r="I135">
        <v>1000</v>
      </c>
      <c r="J135">
        <v>1922.84</v>
      </c>
      <c r="K135">
        <v>0</v>
      </c>
      <c r="L135">
        <v>431277</v>
      </c>
      <c r="M135" t="s">
        <v>75</v>
      </c>
      <c r="N135" t="s">
        <v>136</v>
      </c>
      <c r="O135" t="s">
        <v>63</v>
      </c>
      <c r="P135" t="s">
        <v>137</v>
      </c>
      <c r="Q135" t="s">
        <v>124</v>
      </c>
      <c r="R135">
        <v>0</v>
      </c>
      <c r="S135">
        <v>-45200</v>
      </c>
      <c r="T135" s="1">
        <v>42028</v>
      </c>
      <c r="U135" t="s">
        <v>51</v>
      </c>
      <c r="V135" t="s">
        <v>52</v>
      </c>
      <c r="W135" t="s">
        <v>112</v>
      </c>
      <c r="X135" t="s">
        <v>54</v>
      </c>
      <c r="Y135" t="s">
        <v>118</v>
      </c>
      <c r="Z135" t="s">
        <v>132</v>
      </c>
      <c r="AA135" t="s">
        <v>316</v>
      </c>
      <c r="AB135">
        <v>0</v>
      </c>
      <c r="AC135" t="str">
        <f t="shared" si="7"/>
        <v>Night</v>
      </c>
      <c r="AD135">
        <v>1</v>
      </c>
      <c r="AE135" t="s">
        <v>67</v>
      </c>
      <c r="AF135">
        <v>2</v>
      </c>
      <c r="AG135">
        <v>1</v>
      </c>
      <c r="AH135" t="s">
        <v>84</v>
      </c>
      <c r="AI135">
        <v>46800</v>
      </c>
      <c r="AJ135">
        <v>4680</v>
      </c>
      <c r="AK135">
        <v>9360</v>
      </c>
      <c r="AL135">
        <v>32760</v>
      </c>
      <c r="AM135" t="s">
        <v>202</v>
      </c>
      <c r="AN135" t="s">
        <v>203</v>
      </c>
      <c r="AO135">
        <v>2015</v>
      </c>
      <c r="AP135">
        <v>2002</v>
      </c>
      <c r="AQ135">
        <f t="shared" si="8"/>
        <v>13</v>
      </c>
      <c r="AR135" t="s">
        <v>87</v>
      </c>
    </row>
    <row r="136" spans="1:44" x14ac:dyDescent="0.25">
      <c r="A136">
        <v>93</v>
      </c>
      <c r="B136" t="str">
        <f t="shared" si="6"/>
        <v>5-10 years</v>
      </c>
      <c r="C136">
        <v>32</v>
      </c>
      <c r="D136" t="str" cm="1">
        <f t="array" ref="D136">_xlfn.IFS(C136&lt;26, "19-25", C136&lt;33, "26-32", C136&lt;40, "33-39", C136&lt;47, "40-46",C136&lt;54, "47-53", TRUE, "54+")</f>
        <v>26-32</v>
      </c>
      <c r="E136">
        <v>437573</v>
      </c>
      <c r="F136" s="1">
        <v>38624</v>
      </c>
      <c r="G136" t="s">
        <v>44</v>
      </c>
      <c r="H136" t="s">
        <v>45</v>
      </c>
      <c r="I136">
        <v>2000</v>
      </c>
      <c r="J136">
        <v>1624.82</v>
      </c>
      <c r="K136">
        <v>0</v>
      </c>
      <c r="L136">
        <v>454656</v>
      </c>
      <c r="M136" t="s">
        <v>46</v>
      </c>
      <c r="N136" t="s">
        <v>76</v>
      </c>
      <c r="O136" t="s">
        <v>130</v>
      </c>
      <c r="P136" t="s">
        <v>184</v>
      </c>
      <c r="Q136" t="s">
        <v>90</v>
      </c>
      <c r="R136">
        <v>65300</v>
      </c>
      <c r="S136">
        <v>-65600</v>
      </c>
      <c r="T136" s="1">
        <v>42044</v>
      </c>
      <c r="U136" t="s">
        <v>51</v>
      </c>
      <c r="V136" t="s">
        <v>52</v>
      </c>
      <c r="W136" t="s">
        <v>68</v>
      </c>
      <c r="X136" t="s">
        <v>141</v>
      </c>
      <c r="Y136" t="s">
        <v>118</v>
      </c>
      <c r="Z136" t="s">
        <v>132</v>
      </c>
      <c r="AA136" t="s">
        <v>317</v>
      </c>
      <c r="AB136">
        <v>16</v>
      </c>
      <c r="AC136" t="str">
        <f t="shared" si="7"/>
        <v>Afternoon</v>
      </c>
      <c r="AD136">
        <v>1</v>
      </c>
      <c r="AE136" t="s">
        <v>67</v>
      </c>
      <c r="AF136">
        <v>1</v>
      </c>
      <c r="AG136">
        <v>1</v>
      </c>
      <c r="AH136" t="s">
        <v>67</v>
      </c>
      <c r="AI136">
        <v>78120</v>
      </c>
      <c r="AJ136">
        <v>17360</v>
      </c>
      <c r="AK136">
        <v>8680</v>
      </c>
      <c r="AL136">
        <v>52080</v>
      </c>
      <c r="AM136" t="s">
        <v>192</v>
      </c>
      <c r="AN136" t="s">
        <v>193</v>
      </c>
      <c r="AO136">
        <v>2015</v>
      </c>
      <c r="AP136">
        <v>2006</v>
      </c>
      <c r="AQ136">
        <f t="shared" si="8"/>
        <v>9</v>
      </c>
      <c r="AR136" t="s">
        <v>87</v>
      </c>
    </row>
    <row r="137" spans="1:44" x14ac:dyDescent="0.25">
      <c r="A137">
        <v>171</v>
      </c>
      <c r="B137" t="str">
        <f t="shared" si="6"/>
        <v>10+ years</v>
      </c>
      <c r="C137">
        <v>34</v>
      </c>
      <c r="D137" t="str" cm="1">
        <f t="array" ref="D137">_xlfn.IFS(C137&lt;26, "19-25", C137&lt;33, "26-32", C137&lt;40, "33-39", C137&lt;47, "40-46",C137&lt;54, "47-53", TRUE, "54+")</f>
        <v>33-39</v>
      </c>
      <c r="E137">
        <v>964657</v>
      </c>
      <c r="F137" s="1">
        <v>35479</v>
      </c>
      <c r="G137" t="s">
        <v>62</v>
      </c>
      <c r="H137" t="s">
        <v>45</v>
      </c>
      <c r="I137">
        <v>2000</v>
      </c>
      <c r="J137">
        <v>1277.25</v>
      </c>
      <c r="K137">
        <v>0</v>
      </c>
      <c r="L137">
        <v>605169</v>
      </c>
      <c r="M137" t="s">
        <v>75</v>
      </c>
      <c r="N137" t="s">
        <v>146</v>
      </c>
      <c r="O137" t="s">
        <v>130</v>
      </c>
      <c r="P137" t="s">
        <v>160</v>
      </c>
      <c r="Q137" t="s">
        <v>65</v>
      </c>
      <c r="R137">
        <v>84900</v>
      </c>
      <c r="S137">
        <v>0</v>
      </c>
      <c r="T137" s="1">
        <v>42023</v>
      </c>
      <c r="U137" t="s">
        <v>51</v>
      </c>
      <c r="V137" t="s">
        <v>81</v>
      </c>
      <c r="W137" t="s">
        <v>53</v>
      </c>
      <c r="X137" t="s">
        <v>54</v>
      </c>
      <c r="Y137" t="s">
        <v>82</v>
      </c>
      <c r="Z137" t="s">
        <v>107</v>
      </c>
      <c r="AA137" t="s">
        <v>318</v>
      </c>
      <c r="AB137">
        <v>14</v>
      </c>
      <c r="AC137" t="str">
        <f t="shared" si="7"/>
        <v>Afternoon</v>
      </c>
      <c r="AD137">
        <v>1</v>
      </c>
      <c r="AE137" t="s">
        <v>84</v>
      </c>
      <c r="AF137">
        <v>1</v>
      </c>
      <c r="AG137">
        <v>2</v>
      </c>
      <c r="AH137" t="s">
        <v>67</v>
      </c>
      <c r="AI137">
        <v>69200</v>
      </c>
      <c r="AJ137">
        <v>13840</v>
      </c>
      <c r="AK137">
        <v>6920</v>
      </c>
      <c r="AL137">
        <v>48440</v>
      </c>
      <c r="AM137" t="s">
        <v>219</v>
      </c>
      <c r="AN137" t="s">
        <v>220</v>
      </c>
      <c r="AO137">
        <v>2015</v>
      </c>
      <c r="AP137">
        <v>1996</v>
      </c>
      <c r="AQ137">
        <f t="shared" si="8"/>
        <v>19</v>
      </c>
      <c r="AR137" t="s">
        <v>61</v>
      </c>
    </row>
    <row r="138" spans="1:44" x14ac:dyDescent="0.25">
      <c r="A138">
        <v>200</v>
      </c>
      <c r="B138" t="str">
        <f t="shared" si="6"/>
        <v>10+ years</v>
      </c>
      <c r="C138">
        <v>40</v>
      </c>
      <c r="D138" t="str" cm="1">
        <f t="array" ref="D138">_xlfn.IFS(C138&lt;26, "19-25", C138&lt;33, "26-32", C138&lt;40, "33-39", C138&lt;47, "40-46",C138&lt;54, "47-53", TRUE, "54+")</f>
        <v>40-46</v>
      </c>
      <c r="E138">
        <v>932502</v>
      </c>
      <c r="F138" s="1">
        <v>40309</v>
      </c>
      <c r="G138" t="s">
        <v>88</v>
      </c>
      <c r="H138" t="s">
        <v>74</v>
      </c>
      <c r="I138">
        <v>1000</v>
      </c>
      <c r="J138">
        <v>1439.34</v>
      </c>
      <c r="K138">
        <v>0</v>
      </c>
      <c r="L138">
        <v>444822</v>
      </c>
      <c r="M138" t="s">
        <v>75</v>
      </c>
      <c r="N138" t="s">
        <v>136</v>
      </c>
      <c r="O138" t="s">
        <v>77</v>
      </c>
      <c r="P138" t="s">
        <v>269</v>
      </c>
      <c r="Q138" t="s">
        <v>65</v>
      </c>
      <c r="R138">
        <v>45300</v>
      </c>
      <c r="S138">
        <v>-20400</v>
      </c>
      <c r="T138" s="1">
        <v>42005</v>
      </c>
      <c r="U138" t="s">
        <v>66</v>
      </c>
      <c r="V138" t="s">
        <v>67</v>
      </c>
      <c r="W138" t="s">
        <v>68</v>
      </c>
      <c r="X138" t="s">
        <v>54</v>
      </c>
      <c r="Y138" t="s">
        <v>69</v>
      </c>
      <c r="Z138" t="s">
        <v>70</v>
      </c>
      <c r="AA138" t="s">
        <v>319</v>
      </c>
      <c r="AB138">
        <v>9</v>
      </c>
      <c r="AC138" t="str">
        <f t="shared" si="7"/>
        <v>Morning</v>
      </c>
      <c r="AD138">
        <v>1</v>
      </c>
      <c r="AE138" t="s">
        <v>67</v>
      </c>
      <c r="AF138">
        <v>0</v>
      </c>
      <c r="AG138">
        <v>0</v>
      </c>
      <c r="AH138" t="s">
        <v>84</v>
      </c>
      <c r="AI138">
        <v>3690</v>
      </c>
      <c r="AJ138">
        <v>410</v>
      </c>
      <c r="AK138">
        <v>410</v>
      </c>
      <c r="AL138">
        <v>2870</v>
      </c>
      <c r="AM138" t="s">
        <v>134</v>
      </c>
      <c r="AN138" t="s">
        <v>177</v>
      </c>
      <c r="AO138">
        <v>2015</v>
      </c>
      <c r="AP138">
        <v>2015</v>
      </c>
      <c r="AQ138">
        <f t="shared" si="8"/>
        <v>0</v>
      </c>
      <c r="AR138" t="s">
        <v>87</v>
      </c>
    </row>
    <row r="139" spans="1:44" x14ac:dyDescent="0.25">
      <c r="A139">
        <v>120</v>
      </c>
      <c r="B139" t="str">
        <f t="shared" si="6"/>
        <v>5-10 years</v>
      </c>
      <c r="C139">
        <v>28</v>
      </c>
      <c r="D139" t="str" cm="1">
        <f t="array" ref="D139">_xlfn.IFS(C139&lt;26, "19-25", C139&lt;33, "26-32", C139&lt;40, "33-39", C139&lt;47, "40-46",C139&lt;54, "47-53", TRUE, "54+")</f>
        <v>26-32</v>
      </c>
      <c r="E139">
        <v>434507</v>
      </c>
      <c r="F139" s="1">
        <v>39850</v>
      </c>
      <c r="G139" t="s">
        <v>88</v>
      </c>
      <c r="H139" t="s">
        <v>45</v>
      </c>
      <c r="I139">
        <v>1000</v>
      </c>
      <c r="J139">
        <v>1281.27</v>
      </c>
      <c r="K139">
        <v>0</v>
      </c>
      <c r="L139">
        <v>447442</v>
      </c>
      <c r="M139" t="s">
        <v>75</v>
      </c>
      <c r="N139" t="s">
        <v>76</v>
      </c>
      <c r="O139" t="s">
        <v>102</v>
      </c>
      <c r="P139" t="s">
        <v>117</v>
      </c>
      <c r="Q139" t="s">
        <v>147</v>
      </c>
      <c r="R139">
        <v>68900</v>
      </c>
      <c r="S139">
        <v>0</v>
      </c>
      <c r="T139" s="1">
        <v>42011</v>
      </c>
      <c r="U139" t="s">
        <v>80</v>
      </c>
      <c r="V139" t="s">
        <v>81</v>
      </c>
      <c r="W139" t="s">
        <v>68</v>
      </c>
      <c r="X139" t="s">
        <v>104</v>
      </c>
      <c r="Y139" t="s">
        <v>55</v>
      </c>
      <c r="Z139" t="s">
        <v>107</v>
      </c>
      <c r="AA139" t="s">
        <v>320</v>
      </c>
      <c r="AB139">
        <v>9</v>
      </c>
      <c r="AC139" t="str">
        <f t="shared" si="7"/>
        <v>Morning</v>
      </c>
      <c r="AD139">
        <v>3</v>
      </c>
      <c r="AE139" t="s">
        <v>84</v>
      </c>
      <c r="AF139">
        <v>0</v>
      </c>
      <c r="AG139">
        <v>3</v>
      </c>
      <c r="AH139" t="s">
        <v>67</v>
      </c>
      <c r="AI139">
        <v>65500</v>
      </c>
      <c r="AJ139">
        <v>6550</v>
      </c>
      <c r="AK139">
        <v>6550</v>
      </c>
      <c r="AL139">
        <v>52400</v>
      </c>
      <c r="AM139" t="s">
        <v>192</v>
      </c>
      <c r="AN139" t="s">
        <v>208</v>
      </c>
      <c r="AO139">
        <v>2015</v>
      </c>
      <c r="AP139">
        <v>2010</v>
      </c>
      <c r="AQ139">
        <f t="shared" si="8"/>
        <v>5</v>
      </c>
      <c r="AR139" t="s">
        <v>87</v>
      </c>
    </row>
    <row r="140" spans="1:44" x14ac:dyDescent="0.25">
      <c r="A140">
        <v>325</v>
      </c>
      <c r="B140" t="str">
        <f t="shared" si="6"/>
        <v>10+ years</v>
      </c>
      <c r="C140">
        <v>46</v>
      </c>
      <c r="D140" t="str" cm="1">
        <f t="array" ref="D140">_xlfn.IFS(C140&lt;26, "19-25", C140&lt;33, "26-32", C140&lt;40, "33-39", C140&lt;47, "40-46",C140&lt;54, "47-53", TRUE, "54+")</f>
        <v>40-46</v>
      </c>
      <c r="E140">
        <v>935277</v>
      </c>
      <c r="F140" s="1">
        <v>41464</v>
      </c>
      <c r="G140" t="s">
        <v>88</v>
      </c>
      <c r="H140" t="s">
        <v>96</v>
      </c>
      <c r="I140">
        <v>500</v>
      </c>
      <c r="J140">
        <v>1348.83</v>
      </c>
      <c r="K140">
        <v>0</v>
      </c>
      <c r="L140">
        <v>474360</v>
      </c>
      <c r="M140" t="s">
        <v>75</v>
      </c>
      <c r="N140" t="s">
        <v>136</v>
      </c>
      <c r="O140" t="s">
        <v>106</v>
      </c>
      <c r="P140" t="s">
        <v>184</v>
      </c>
      <c r="Q140" t="s">
        <v>124</v>
      </c>
      <c r="R140">
        <v>46300</v>
      </c>
      <c r="S140">
        <v>-77500</v>
      </c>
      <c r="T140" s="1">
        <v>42036</v>
      </c>
      <c r="U140" t="s">
        <v>80</v>
      </c>
      <c r="V140" t="s">
        <v>81</v>
      </c>
      <c r="W140" t="s">
        <v>68</v>
      </c>
      <c r="X140" t="s">
        <v>104</v>
      </c>
      <c r="Y140" t="s">
        <v>126</v>
      </c>
      <c r="Z140" t="s">
        <v>107</v>
      </c>
      <c r="AA140" t="s">
        <v>321</v>
      </c>
      <c r="AB140">
        <v>21</v>
      </c>
      <c r="AC140" t="str">
        <f t="shared" si="7"/>
        <v>Evening</v>
      </c>
      <c r="AD140">
        <v>3</v>
      </c>
      <c r="AE140" t="s">
        <v>67</v>
      </c>
      <c r="AF140">
        <v>1</v>
      </c>
      <c r="AG140">
        <v>2</v>
      </c>
      <c r="AH140" t="s">
        <v>58</v>
      </c>
      <c r="AI140">
        <v>76120</v>
      </c>
      <c r="AJ140">
        <v>13840</v>
      </c>
      <c r="AK140">
        <v>6920</v>
      </c>
      <c r="AL140">
        <v>55360</v>
      </c>
      <c r="AM140" t="s">
        <v>120</v>
      </c>
      <c r="AN140" t="s">
        <v>121</v>
      </c>
      <c r="AO140">
        <v>2015</v>
      </c>
      <c r="AP140">
        <v>1999</v>
      </c>
      <c r="AQ140">
        <f t="shared" si="8"/>
        <v>16</v>
      </c>
      <c r="AR140" t="s">
        <v>87</v>
      </c>
    </row>
    <row r="141" spans="1:44" x14ac:dyDescent="0.25">
      <c r="A141">
        <v>124</v>
      </c>
      <c r="B141" t="str">
        <f t="shared" si="6"/>
        <v>10+ years</v>
      </c>
      <c r="C141">
        <v>32</v>
      </c>
      <c r="D141" t="str" cm="1">
        <f t="array" ref="D141">_xlfn.IFS(C141&lt;26, "19-25", C141&lt;33, "26-32", C141&lt;40, "33-39", C141&lt;47, "40-46",C141&lt;54, "47-53", TRUE, "54+")</f>
        <v>26-32</v>
      </c>
      <c r="E141">
        <v>756054</v>
      </c>
      <c r="F141" s="1">
        <v>33761</v>
      </c>
      <c r="G141" t="s">
        <v>88</v>
      </c>
      <c r="H141" t="s">
        <v>45</v>
      </c>
      <c r="I141">
        <v>1000</v>
      </c>
      <c r="J141">
        <v>1198.1500000000001</v>
      </c>
      <c r="K141">
        <v>0</v>
      </c>
      <c r="L141">
        <v>447925</v>
      </c>
      <c r="M141" t="s">
        <v>75</v>
      </c>
      <c r="N141" t="s">
        <v>47</v>
      </c>
      <c r="O141" t="s">
        <v>116</v>
      </c>
      <c r="P141" t="s">
        <v>154</v>
      </c>
      <c r="Q141" t="s">
        <v>147</v>
      </c>
      <c r="R141">
        <v>0</v>
      </c>
      <c r="S141">
        <v>-43200</v>
      </c>
      <c r="T141" s="1">
        <v>42056</v>
      </c>
      <c r="U141" t="s">
        <v>80</v>
      </c>
      <c r="V141" t="s">
        <v>91</v>
      </c>
      <c r="W141" t="s">
        <v>112</v>
      </c>
      <c r="X141" t="s">
        <v>125</v>
      </c>
      <c r="Y141" t="s">
        <v>69</v>
      </c>
      <c r="Z141" t="s">
        <v>107</v>
      </c>
      <c r="AA141" t="s">
        <v>322</v>
      </c>
      <c r="AB141">
        <v>19</v>
      </c>
      <c r="AC141" t="str">
        <f t="shared" si="7"/>
        <v>Evening</v>
      </c>
      <c r="AD141">
        <v>3</v>
      </c>
      <c r="AE141" t="s">
        <v>84</v>
      </c>
      <c r="AF141">
        <v>0</v>
      </c>
      <c r="AG141">
        <v>2</v>
      </c>
      <c r="AH141" t="s">
        <v>58</v>
      </c>
      <c r="AI141">
        <v>73560</v>
      </c>
      <c r="AJ141">
        <v>12260</v>
      </c>
      <c r="AK141">
        <v>12260</v>
      </c>
      <c r="AL141">
        <v>49040</v>
      </c>
      <c r="AM141" t="s">
        <v>192</v>
      </c>
      <c r="AN141" t="s">
        <v>208</v>
      </c>
      <c r="AO141">
        <v>2015</v>
      </c>
      <c r="AP141">
        <v>1995</v>
      </c>
      <c r="AQ141">
        <f t="shared" si="8"/>
        <v>20</v>
      </c>
      <c r="AR141" t="s">
        <v>87</v>
      </c>
    </row>
    <row r="142" spans="1:44" x14ac:dyDescent="0.25">
      <c r="A142">
        <v>211</v>
      </c>
      <c r="B142" t="str">
        <f t="shared" si="6"/>
        <v>10+ years</v>
      </c>
      <c r="C142">
        <v>35</v>
      </c>
      <c r="D142" t="str" cm="1">
        <f t="array" ref="D142">_xlfn.IFS(C142&lt;26, "19-25", C142&lt;33, "26-32", C142&lt;40, "33-39", C142&lt;47, "40-46",C142&lt;54, "47-53", TRUE, "54+")</f>
        <v>33-39</v>
      </c>
      <c r="E142">
        <v>682387</v>
      </c>
      <c r="F142" s="1">
        <v>35862</v>
      </c>
      <c r="G142" t="s">
        <v>44</v>
      </c>
      <c r="H142" t="s">
        <v>74</v>
      </c>
      <c r="I142">
        <v>2000</v>
      </c>
      <c r="J142">
        <v>1221.22</v>
      </c>
      <c r="K142">
        <v>0</v>
      </c>
      <c r="L142">
        <v>451586</v>
      </c>
      <c r="M142" t="s">
        <v>46</v>
      </c>
      <c r="N142" t="s">
        <v>129</v>
      </c>
      <c r="O142" t="s">
        <v>63</v>
      </c>
      <c r="P142" t="s">
        <v>123</v>
      </c>
      <c r="Q142" t="s">
        <v>65</v>
      </c>
      <c r="R142">
        <v>76000</v>
      </c>
      <c r="S142">
        <v>0</v>
      </c>
      <c r="T142" s="1">
        <v>42025</v>
      </c>
      <c r="U142" t="s">
        <v>51</v>
      </c>
      <c r="V142" t="s">
        <v>81</v>
      </c>
      <c r="W142" t="s">
        <v>112</v>
      </c>
      <c r="X142" t="s">
        <v>54</v>
      </c>
      <c r="Y142" t="s">
        <v>82</v>
      </c>
      <c r="Z142" t="s">
        <v>132</v>
      </c>
      <c r="AA142" t="s">
        <v>323</v>
      </c>
      <c r="AB142">
        <v>2</v>
      </c>
      <c r="AC142" t="str">
        <f t="shared" si="7"/>
        <v>Night</v>
      </c>
      <c r="AD142">
        <v>1</v>
      </c>
      <c r="AE142" t="s">
        <v>58</v>
      </c>
      <c r="AF142">
        <v>0</v>
      </c>
      <c r="AG142">
        <v>1</v>
      </c>
      <c r="AH142" t="s">
        <v>67</v>
      </c>
      <c r="AI142">
        <v>52030</v>
      </c>
      <c r="AJ142">
        <v>9460</v>
      </c>
      <c r="AK142">
        <v>4730</v>
      </c>
      <c r="AL142">
        <v>37840</v>
      </c>
      <c r="AM142" t="s">
        <v>72</v>
      </c>
      <c r="AN142" t="s">
        <v>73</v>
      </c>
      <c r="AO142">
        <v>2015</v>
      </c>
      <c r="AP142">
        <v>2008</v>
      </c>
      <c r="AQ142">
        <f t="shared" si="8"/>
        <v>7</v>
      </c>
      <c r="AR142" t="s">
        <v>87</v>
      </c>
    </row>
    <row r="143" spans="1:44" x14ac:dyDescent="0.25">
      <c r="A143">
        <v>287</v>
      </c>
      <c r="B143" t="str">
        <f t="shared" si="6"/>
        <v>10+ years</v>
      </c>
      <c r="C143">
        <v>41</v>
      </c>
      <c r="D143" t="str" cm="1">
        <f t="array" ref="D143">_xlfn.IFS(C143&lt;26, "19-25", C143&lt;33, "26-32", C143&lt;40, "33-39", C143&lt;47, "40-46",C143&lt;54, "47-53", TRUE, "54+")</f>
        <v>40-46</v>
      </c>
      <c r="E143">
        <v>456604</v>
      </c>
      <c r="F143" s="1">
        <v>38075</v>
      </c>
      <c r="G143" t="s">
        <v>88</v>
      </c>
      <c r="H143" t="s">
        <v>96</v>
      </c>
      <c r="I143">
        <v>2000</v>
      </c>
      <c r="J143">
        <v>968.74</v>
      </c>
      <c r="K143">
        <v>0</v>
      </c>
      <c r="L143">
        <v>477519</v>
      </c>
      <c r="M143" t="s">
        <v>46</v>
      </c>
      <c r="N143" t="s">
        <v>129</v>
      </c>
      <c r="O143" t="s">
        <v>150</v>
      </c>
      <c r="P143" t="s">
        <v>186</v>
      </c>
      <c r="Q143" t="s">
        <v>124</v>
      </c>
      <c r="R143">
        <v>0</v>
      </c>
      <c r="S143">
        <v>-49000</v>
      </c>
      <c r="T143" s="1">
        <v>42023</v>
      </c>
      <c r="U143" t="s">
        <v>66</v>
      </c>
      <c r="V143" t="s">
        <v>67</v>
      </c>
      <c r="W143" t="s">
        <v>217</v>
      </c>
      <c r="X143" t="s">
        <v>98</v>
      </c>
      <c r="Y143" t="s">
        <v>55</v>
      </c>
      <c r="Z143" t="s">
        <v>161</v>
      </c>
      <c r="AA143" t="s">
        <v>324</v>
      </c>
      <c r="AB143">
        <v>9</v>
      </c>
      <c r="AC143" t="str">
        <f t="shared" si="7"/>
        <v>Morning</v>
      </c>
      <c r="AD143">
        <v>1</v>
      </c>
      <c r="AE143" t="s">
        <v>67</v>
      </c>
      <c r="AF143">
        <v>2</v>
      </c>
      <c r="AG143">
        <v>3</v>
      </c>
      <c r="AH143" t="s">
        <v>67</v>
      </c>
      <c r="AI143">
        <v>5170</v>
      </c>
      <c r="AJ143">
        <v>470</v>
      </c>
      <c r="AK143">
        <v>940</v>
      </c>
      <c r="AL143">
        <v>3760</v>
      </c>
      <c r="AM143" t="s">
        <v>158</v>
      </c>
      <c r="AN143" t="s">
        <v>172</v>
      </c>
      <c r="AO143">
        <v>2015</v>
      </c>
      <c r="AP143">
        <v>2001</v>
      </c>
      <c r="AQ143">
        <f t="shared" si="8"/>
        <v>14</v>
      </c>
      <c r="AR143" t="s">
        <v>87</v>
      </c>
    </row>
    <row r="144" spans="1:44" x14ac:dyDescent="0.25">
      <c r="A144">
        <v>122</v>
      </c>
      <c r="B144" t="str">
        <f t="shared" si="6"/>
        <v>10+ years</v>
      </c>
      <c r="C144">
        <v>34</v>
      </c>
      <c r="D144" t="str" cm="1">
        <f t="array" ref="D144">_xlfn.IFS(C144&lt;26, "19-25", C144&lt;33, "26-32", C144&lt;40, "33-39", C144&lt;47, "40-46",C144&lt;54, "47-53", TRUE, "54+")</f>
        <v>33-39</v>
      </c>
      <c r="E144">
        <v>139872</v>
      </c>
      <c r="F144" s="1">
        <v>38869</v>
      </c>
      <c r="G144" t="s">
        <v>62</v>
      </c>
      <c r="H144" t="s">
        <v>45</v>
      </c>
      <c r="I144">
        <v>1000</v>
      </c>
      <c r="J144">
        <v>1220.71</v>
      </c>
      <c r="K144">
        <v>0</v>
      </c>
      <c r="L144">
        <v>603639</v>
      </c>
      <c r="M144" t="s">
        <v>46</v>
      </c>
      <c r="N144" t="s">
        <v>76</v>
      </c>
      <c r="O144" t="s">
        <v>63</v>
      </c>
      <c r="P144" t="s">
        <v>186</v>
      </c>
      <c r="Q144" t="s">
        <v>79</v>
      </c>
      <c r="R144">
        <v>58600</v>
      </c>
      <c r="S144">
        <v>-28700</v>
      </c>
      <c r="T144" s="1">
        <v>42062</v>
      </c>
      <c r="U144" t="s">
        <v>143</v>
      </c>
      <c r="V144" t="s">
        <v>67</v>
      </c>
      <c r="W144" t="s">
        <v>68</v>
      </c>
      <c r="X144" t="s">
        <v>98</v>
      </c>
      <c r="Y144" t="s">
        <v>55</v>
      </c>
      <c r="Z144" t="s">
        <v>132</v>
      </c>
      <c r="AA144" t="s">
        <v>325</v>
      </c>
      <c r="AB144">
        <v>5</v>
      </c>
      <c r="AC144" t="str">
        <f t="shared" si="7"/>
        <v>Night</v>
      </c>
      <c r="AD144">
        <v>1</v>
      </c>
      <c r="AE144" t="s">
        <v>67</v>
      </c>
      <c r="AF144">
        <v>2</v>
      </c>
      <c r="AG144">
        <v>1</v>
      </c>
      <c r="AH144" t="s">
        <v>58</v>
      </c>
      <c r="AI144">
        <v>8190</v>
      </c>
      <c r="AJ144">
        <v>1890</v>
      </c>
      <c r="AK144">
        <v>1260</v>
      </c>
      <c r="AL144">
        <v>5040</v>
      </c>
      <c r="AM144" t="s">
        <v>94</v>
      </c>
      <c r="AN144" t="s">
        <v>228</v>
      </c>
      <c r="AO144">
        <v>2015</v>
      </c>
      <c r="AP144">
        <v>2013</v>
      </c>
      <c r="AQ144">
        <f t="shared" si="8"/>
        <v>2</v>
      </c>
      <c r="AR144" t="s">
        <v>87</v>
      </c>
    </row>
    <row r="145" spans="1:44" x14ac:dyDescent="0.25">
      <c r="A145">
        <v>22</v>
      </c>
      <c r="B145" t="str">
        <f t="shared" si="6"/>
        <v>0-2 years</v>
      </c>
      <c r="C145">
        <v>29</v>
      </c>
      <c r="D145" t="str" cm="1">
        <f t="array" ref="D145">_xlfn.IFS(C145&lt;26, "19-25", C145&lt;33, "26-32", C145&lt;40, "33-39", C145&lt;47, "40-46",C145&lt;54, "47-53", TRUE, "54+")</f>
        <v>26-32</v>
      </c>
      <c r="E145">
        <v>354105</v>
      </c>
      <c r="F145" s="1">
        <v>34493</v>
      </c>
      <c r="G145" t="s">
        <v>62</v>
      </c>
      <c r="H145" t="s">
        <v>45</v>
      </c>
      <c r="I145">
        <v>2000</v>
      </c>
      <c r="J145">
        <v>1238.6199999999999</v>
      </c>
      <c r="K145">
        <v>6000000</v>
      </c>
      <c r="L145">
        <v>463993</v>
      </c>
      <c r="M145" t="s">
        <v>46</v>
      </c>
      <c r="N145" t="s">
        <v>47</v>
      </c>
      <c r="O145" t="s">
        <v>130</v>
      </c>
      <c r="P145" t="s">
        <v>160</v>
      </c>
      <c r="Q145" t="s">
        <v>65</v>
      </c>
      <c r="R145">
        <v>0</v>
      </c>
      <c r="S145">
        <v>-56200</v>
      </c>
      <c r="T145" s="1">
        <v>42049</v>
      </c>
      <c r="U145" t="s">
        <v>51</v>
      </c>
      <c r="V145" t="s">
        <v>81</v>
      </c>
      <c r="W145" t="s">
        <v>53</v>
      </c>
      <c r="X145" t="s">
        <v>141</v>
      </c>
      <c r="Y145" t="s">
        <v>55</v>
      </c>
      <c r="Z145" t="s">
        <v>107</v>
      </c>
      <c r="AA145" t="s">
        <v>326</v>
      </c>
      <c r="AB145">
        <v>14</v>
      </c>
      <c r="AC145" t="str">
        <f t="shared" si="7"/>
        <v>Afternoon</v>
      </c>
      <c r="AD145">
        <v>1</v>
      </c>
      <c r="AE145" t="s">
        <v>67</v>
      </c>
      <c r="AF145">
        <v>2</v>
      </c>
      <c r="AG145">
        <v>3</v>
      </c>
      <c r="AH145" t="s">
        <v>67</v>
      </c>
      <c r="AI145">
        <v>70800</v>
      </c>
      <c r="AJ145">
        <v>7080</v>
      </c>
      <c r="AK145">
        <v>14160</v>
      </c>
      <c r="AL145">
        <v>49560</v>
      </c>
      <c r="AM145" t="s">
        <v>100</v>
      </c>
      <c r="AN145" t="s">
        <v>153</v>
      </c>
      <c r="AO145">
        <v>2015</v>
      </c>
      <c r="AP145">
        <v>2012</v>
      </c>
      <c r="AQ145">
        <f t="shared" si="8"/>
        <v>3</v>
      </c>
      <c r="AR145" t="s">
        <v>61</v>
      </c>
    </row>
    <row r="146" spans="1:44" x14ac:dyDescent="0.25">
      <c r="A146">
        <v>106</v>
      </c>
      <c r="B146" t="str">
        <f t="shared" si="6"/>
        <v>5-10 years</v>
      </c>
      <c r="C146">
        <v>31</v>
      </c>
      <c r="D146" t="str" cm="1">
        <f t="array" ref="D146">_xlfn.IFS(C146&lt;26, "19-25", C146&lt;33, "26-32", C146&lt;40, "33-39", C146&lt;47, "40-46",C146&lt;54, "47-53", TRUE, "54+")</f>
        <v>26-32</v>
      </c>
      <c r="E146">
        <v>165485</v>
      </c>
      <c r="F146" s="1">
        <v>35838</v>
      </c>
      <c r="G146" t="s">
        <v>88</v>
      </c>
      <c r="H146" t="s">
        <v>96</v>
      </c>
      <c r="I146">
        <v>2000</v>
      </c>
      <c r="J146">
        <v>1320.75</v>
      </c>
      <c r="K146">
        <v>0</v>
      </c>
      <c r="L146">
        <v>441491</v>
      </c>
      <c r="M146" t="s">
        <v>75</v>
      </c>
      <c r="N146" t="s">
        <v>166</v>
      </c>
      <c r="O146" t="s">
        <v>194</v>
      </c>
      <c r="P146" t="s">
        <v>186</v>
      </c>
      <c r="Q146" t="s">
        <v>124</v>
      </c>
      <c r="R146">
        <v>54100</v>
      </c>
      <c r="S146">
        <v>0</v>
      </c>
      <c r="T146" s="1">
        <v>42036</v>
      </c>
      <c r="U146" t="s">
        <v>80</v>
      </c>
      <c r="V146" t="s">
        <v>81</v>
      </c>
      <c r="W146" t="s">
        <v>112</v>
      </c>
      <c r="X146" t="s">
        <v>54</v>
      </c>
      <c r="Y146" t="s">
        <v>118</v>
      </c>
      <c r="Z146" t="s">
        <v>107</v>
      </c>
      <c r="AA146" t="s">
        <v>327</v>
      </c>
      <c r="AB146">
        <v>20</v>
      </c>
      <c r="AC146" t="str">
        <f t="shared" si="7"/>
        <v>Evening</v>
      </c>
      <c r="AD146">
        <v>3</v>
      </c>
      <c r="AE146" t="s">
        <v>67</v>
      </c>
      <c r="AF146">
        <v>0</v>
      </c>
      <c r="AG146">
        <v>3</v>
      </c>
      <c r="AH146" t="s">
        <v>58</v>
      </c>
      <c r="AI146">
        <v>45630</v>
      </c>
      <c r="AJ146">
        <v>5070</v>
      </c>
      <c r="AK146">
        <v>5070</v>
      </c>
      <c r="AL146">
        <v>35490</v>
      </c>
      <c r="AM146" t="s">
        <v>100</v>
      </c>
      <c r="AN146" t="s">
        <v>153</v>
      </c>
      <c r="AO146">
        <v>2015</v>
      </c>
      <c r="AP146">
        <v>2011</v>
      </c>
      <c r="AQ146">
        <f t="shared" si="8"/>
        <v>4</v>
      </c>
      <c r="AR146" t="s">
        <v>87</v>
      </c>
    </row>
    <row r="147" spans="1:44" x14ac:dyDescent="0.25">
      <c r="A147">
        <v>398</v>
      </c>
      <c r="B147" t="str">
        <f t="shared" si="6"/>
        <v>10+ years</v>
      </c>
      <c r="C147">
        <v>58</v>
      </c>
      <c r="D147" t="str" cm="1">
        <f t="array" ref="D147">_xlfn.IFS(C147&lt;26, "19-25", C147&lt;33, "26-32", C147&lt;40, "33-39", C147&lt;47, "40-46",C147&lt;54, "47-53", TRUE, "54+")</f>
        <v>54+</v>
      </c>
      <c r="E147">
        <v>515050</v>
      </c>
      <c r="F147" s="1">
        <v>36846</v>
      </c>
      <c r="G147" t="s">
        <v>44</v>
      </c>
      <c r="H147" t="s">
        <v>74</v>
      </c>
      <c r="I147">
        <v>500</v>
      </c>
      <c r="J147">
        <v>990.98</v>
      </c>
      <c r="K147">
        <v>0</v>
      </c>
      <c r="L147">
        <v>469429</v>
      </c>
      <c r="M147" t="s">
        <v>75</v>
      </c>
      <c r="N147" t="s">
        <v>97</v>
      </c>
      <c r="O147" t="s">
        <v>130</v>
      </c>
      <c r="P147" t="s">
        <v>247</v>
      </c>
      <c r="Q147" t="s">
        <v>124</v>
      </c>
      <c r="R147">
        <v>0</v>
      </c>
      <c r="S147">
        <v>-57900</v>
      </c>
      <c r="T147" s="1">
        <v>42037</v>
      </c>
      <c r="U147" t="s">
        <v>51</v>
      </c>
      <c r="V147" t="s">
        <v>91</v>
      </c>
      <c r="W147" t="s">
        <v>53</v>
      </c>
      <c r="X147" t="s">
        <v>54</v>
      </c>
      <c r="Y147" t="s">
        <v>126</v>
      </c>
      <c r="Z147" t="s">
        <v>161</v>
      </c>
      <c r="AA147" t="s">
        <v>328</v>
      </c>
      <c r="AB147">
        <v>18</v>
      </c>
      <c r="AC147" t="str">
        <f t="shared" si="7"/>
        <v>Evening</v>
      </c>
      <c r="AD147">
        <v>1</v>
      </c>
      <c r="AE147" t="s">
        <v>58</v>
      </c>
      <c r="AF147">
        <v>2</v>
      </c>
      <c r="AG147">
        <v>1</v>
      </c>
      <c r="AH147" t="s">
        <v>67</v>
      </c>
      <c r="AI147">
        <v>99320</v>
      </c>
      <c r="AJ147">
        <v>7640</v>
      </c>
      <c r="AK147">
        <v>15280</v>
      </c>
      <c r="AL147">
        <v>76400</v>
      </c>
      <c r="AM147" t="s">
        <v>100</v>
      </c>
      <c r="AN147" t="s">
        <v>163</v>
      </c>
      <c r="AO147">
        <v>2015</v>
      </c>
      <c r="AP147">
        <v>2002</v>
      </c>
      <c r="AQ147">
        <f t="shared" si="8"/>
        <v>13</v>
      </c>
      <c r="AR147" t="s">
        <v>61</v>
      </c>
    </row>
    <row r="148" spans="1:44" x14ac:dyDescent="0.25">
      <c r="A148">
        <v>214</v>
      </c>
      <c r="B148" t="str">
        <f t="shared" si="6"/>
        <v>10+ years</v>
      </c>
      <c r="C148">
        <v>41</v>
      </c>
      <c r="D148" t="str" cm="1">
        <f t="array" ref="D148">_xlfn.IFS(C148&lt;26, "19-25", C148&lt;33, "26-32", C148&lt;40, "33-39", C148&lt;47, "40-46",C148&lt;54, "47-53", TRUE, "54+")</f>
        <v>40-46</v>
      </c>
      <c r="E148">
        <v>795686</v>
      </c>
      <c r="F148" s="1">
        <v>38284</v>
      </c>
      <c r="G148" t="s">
        <v>88</v>
      </c>
      <c r="H148" t="s">
        <v>96</v>
      </c>
      <c r="I148">
        <v>500</v>
      </c>
      <c r="J148">
        <v>1398.51</v>
      </c>
      <c r="K148">
        <v>4000000</v>
      </c>
      <c r="L148">
        <v>472214</v>
      </c>
      <c r="M148" t="s">
        <v>46</v>
      </c>
      <c r="N148" t="s">
        <v>129</v>
      </c>
      <c r="O148" t="s">
        <v>102</v>
      </c>
      <c r="P148" t="s">
        <v>178</v>
      </c>
      <c r="Q148" t="s">
        <v>147</v>
      </c>
      <c r="R148">
        <v>0</v>
      </c>
      <c r="S148">
        <v>-57100</v>
      </c>
      <c r="T148" s="1">
        <v>42036</v>
      </c>
      <c r="U148" t="s">
        <v>80</v>
      </c>
      <c r="V148" t="s">
        <v>52</v>
      </c>
      <c r="W148" t="s">
        <v>53</v>
      </c>
      <c r="X148" t="s">
        <v>104</v>
      </c>
      <c r="Y148" t="s">
        <v>126</v>
      </c>
      <c r="Z148" t="s">
        <v>132</v>
      </c>
      <c r="AA148" t="s">
        <v>329</v>
      </c>
      <c r="AB148">
        <v>13</v>
      </c>
      <c r="AC148" t="str">
        <f t="shared" si="7"/>
        <v>Afternoon</v>
      </c>
      <c r="AD148">
        <v>3</v>
      </c>
      <c r="AE148" t="s">
        <v>67</v>
      </c>
      <c r="AF148">
        <v>2</v>
      </c>
      <c r="AG148">
        <v>0</v>
      </c>
      <c r="AH148" t="s">
        <v>84</v>
      </c>
      <c r="AI148">
        <v>64000</v>
      </c>
      <c r="AJ148">
        <v>12800</v>
      </c>
      <c r="AK148">
        <v>6400</v>
      </c>
      <c r="AL148">
        <v>44800</v>
      </c>
      <c r="AM148" t="s">
        <v>192</v>
      </c>
      <c r="AN148" t="s">
        <v>243</v>
      </c>
      <c r="AO148">
        <v>2015</v>
      </c>
      <c r="AP148">
        <v>1996</v>
      </c>
      <c r="AQ148">
        <f t="shared" si="8"/>
        <v>19</v>
      </c>
      <c r="AR148" t="s">
        <v>61</v>
      </c>
    </row>
    <row r="149" spans="1:44" x14ac:dyDescent="0.25">
      <c r="A149">
        <v>209</v>
      </c>
      <c r="B149" t="str">
        <f t="shared" si="6"/>
        <v>10+ years</v>
      </c>
      <c r="C149">
        <v>38</v>
      </c>
      <c r="D149" t="str" cm="1">
        <f t="array" ref="D149">_xlfn.IFS(C149&lt;26, "19-25", C149&lt;33, "26-32", C149&lt;40, "33-39", C149&lt;47, "40-46",C149&lt;54, "47-53", TRUE, "54+")</f>
        <v>33-39</v>
      </c>
      <c r="E149">
        <v>395983</v>
      </c>
      <c r="F149" s="1">
        <v>40125</v>
      </c>
      <c r="G149" t="s">
        <v>44</v>
      </c>
      <c r="H149" t="s">
        <v>74</v>
      </c>
      <c r="I149">
        <v>500</v>
      </c>
      <c r="J149">
        <v>1355.08</v>
      </c>
      <c r="K149">
        <v>0</v>
      </c>
      <c r="L149">
        <v>614945</v>
      </c>
      <c r="M149" t="s">
        <v>75</v>
      </c>
      <c r="N149" t="s">
        <v>47</v>
      </c>
      <c r="O149" t="s">
        <v>116</v>
      </c>
      <c r="P149" t="s">
        <v>117</v>
      </c>
      <c r="Q149" t="s">
        <v>65</v>
      </c>
      <c r="R149">
        <v>58100</v>
      </c>
      <c r="S149">
        <v>0</v>
      </c>
      <c r="T149" s="1">
        <v>42023</v>
      </c>
      <c r="U149" t="s">
        <v>51</v>
      </c>
      <c r="V149" t="s">
        <v>91</v>
      </c>
      <c r="W149" t="s">
        <v>68</v>
      </c>
      <c r="X149" t="s">
        <v>104</v>
      </c>
      <c r="Y149" t="s">
        <v>118</v>
      </c>
      <c r="Z149" t="s">
        <v>161</v>
      </c>
      <c r="AA149" t="s">
        <v>330</v>
      </c>
      <c r="AB149">
        <v>21</v>
      </c>
      <c r="AC149" t="str">
        <f t="shared" si="7"/>
        <v>Evening</v>
      </c>
      <c r="AD149">
        <v>1</v>
      </c>
      <c r="AE149" t="s">
        <v>67</v>
      </c>
      <c r="AF149">
        <v>1</v>
      </c>
      <c r="AG149">
        <v>1</v>
      </c>
      <c r="AH149" t="s">
        <v>67</v>
      </c>
      <c r="AI149">
        <v>47300</v>
      </c>
      <c r="AJ149">
        <v>4730</v>
      </c>
      <c r="AK149">
        <v>4730</v>
      </c>
      <c r="AL149">
        <v>37840</v>
      </c>
      <c r="AM149" t="s">
        <v>109</v>
      </c>
      <c r="AN149" t="s">
        <v>110</v>
      </c>
      <c r="AO149">
        <v>2015</v>
      </c>
      <c r="AP149">
        <v>2014</v>
      </c>
      <c r="AQ149">
        <f t="shared" si="8"/>
        <v>1</v>
      </c>
      <c r="AR149" t="s">
        <v>87</v>
      </c>
    </row>
    <row r="150" spans="1:44" x14ac:dyDescent="0.25">
      <c r="A150">
        <v>82</v>
      </c>
      <c r="B150" t="str">
        <f t="shared" si="6"/>
        <v>5-10 years</v>
      </c>
      <c r="C150">
        <v>27</v>
      </c>
      <c r="D150" t="str" cm="1">
        <f t="array" ref="D150">_xlfn.IFS(C150&lt;26, "19-25", C150&lt;33, "26-32", C150&lt;40, "33-39", C150&lt;47, "40-46",C150&lt;54, "47-53", TRUE, "54+")</f>
        <v>26-32</v>
      </c>
      <c r="E150">
        <v>119513</v>
      </c>
      <c r="F150" s="1">
        <v>35329</v>
      </c>
      <c r="G150" t="s">
        <v>88</v>
      </c>
      <c r="H150" t="s">
        <v>74</v>
      </c>
      <c r="I150">
        <v>1000</v>
      </c>
      <c r="J150">
        <v>1384.51</v>
      </c>
      <c r="K150">
        <v>0</v>
      </c>
      <c r="L150">
        <v>476727</v>
      </c>
      <c r="M150" t="s">
        <v>46</v>
      </c>
      <c r="N150" t="s">
        <v>76</v>
      </c>
      <c r="O150" t="s">
        <v>190</v>
      </c>
      <c r="P150" t="s">
        <v>64</v>
      </c>
      <c r="Q150" t="s">
        <v>147</v>
      </c>
      <c r="R150">
        <v>13100</v>
      </c>
      <c r="S150">
        <v>-38200</v>
      </c>
      <c r="T150" s="1">
        <v>42053</v>
      </c>
      <c r="U150" t="s">
        <v>51</v>
      </c>
      <c r="V150" t="s">
        <v>81</v>
      </c>
      <c r="W150" t="s">
        <v>53</v>
      </c>
      <c r="X150" t="s">
        <v>125</v>
      </c>
      <c r="Y150" t="s">
        <v>55</v>
      </c>
      <c r="Z150" t="s">
        <v>107</v>
      </c>
      <c r="AA150" t="s">
        <v>331</v>
      </c>
      <c r="AB150">
        <v>14</v>
      </c>
      <c r="AC150" t="str">
        <f t="shared" si="7"/>
        <v>Afternoon</v>
      </c>
      <c r="AD150">
        <v>1</v>
      </c>
      <c r="AE150" t="s">
        <v>84</v>
      </c>
      <c r="AF150">
        <v>2</v>
      </c>
      <c r="AG150">
        <v>3</v>
      </c>
      <c r="AH150" t="s">
        <v>67</v>
      </c>
      <c r="AI150">
        <v>71680</v>
      </c>
      <c r="AJ150">
        <v>8960</v>
      </c>
      <c r="AK150">
        <v>8960</v>
      </c>
      <c r="AL150">
        <v>53760</v>
      </c>
      <c r="AM150" t="s">
        <v>219</v>
      </c>
      <c r="AN150" t="s">
        <v>263</v>
      </c>
      <c r="AO150">
        <v>2015</v>
      </c>
      <c r="AP150">
        <v>2007</v>
      </c>
      <c r="AQ150">
        <f t="shared" si="8"/>
        <v>8</v>
      </c>
      <c r="AR150" t="s">
        <v>61</v>
      </c>
    </row>
    <row r="151" spans="1:44" x14ac:dyDescent="0.25">
      <c r="A151">
        <v>193</v>
      </c>
      <c r="B151" t="str">
        <f t="shared" si="6"/>
        <v>10+ years</v>
      </c>
      <c r="C151">
        <v>41</v>
      </c>
      <c r="D151" t="str" cm="1">
        <f t="array" ref="D151">_xlfn.IFS(C151&lt;26, "19-25", C151&lt;33, "26-32", C151&lt;40, "33-39", C151&lt;47, "40-46",C151&lt;54, "47-53", TRUE, "54+")</f>
        <v>40-46</v>
      </c>
      <c r="E151">
        <v>217938</v>
      </c>
      <c r="F151" s="1">
        <v>34896</v>
      </c>
      <c r="G151" t="s">
        <v>44</v>
      </c>
      <c r="H151" t="s">
        <v>45</v>
      </c>
      <c r="I151">
        <v>500</v>
      </c>
      <c r="J151">
        <v>847.03</v>
      </c>
      <c r="K151">
        <v>0</v>
      </c>
      <c r="L151">
        <v>438555</v>
      </c>
      <c r="M151" t="s">
        <v>75</v>
      </c>
      <c r="N151" t="s">
        <v>166</v>
      </c>
      <c r="O151" t="s">
        <v>48</v>
      </c>
      <c r="P151" t="s">
        <v>137</v>
      </c>
      <c r="Q151" t="s">
        <v>147</v>
      </c>
      <c r="R151">
        <v>0</v>
      </c>
      <c r="S151">
        <v>0</v>
      </c>
      <c r="T151" s="1">
        <v>42043</v>
      </c>
      <c r="U151" t="s">
        <v>51</v>
      </c>
      <c r="V151" t="s">
        <v>52</v>
      </c>
      <c r="W151" t="s">
        <v>53</v>
      </c>
      <c r="X151" t="s">
        <v>125</v>
      </c>
      <c r="Y151" t="s">
        <v>55</v>
      </c>
      <c r="Z151" t="s">
        <v>107</v>
      </c>
      <c r="AA151" t="s">
        <v>332</v>
      </c>
      <c r="AB151">
        <v>1</v>
      </c>
      <c r="AC151" t="str">
        <f t="shared" si="7"/>
        <v>Night</v>
      </c>
      <c r="AD151">
        <v>1</v>
      </c>
      <c r="AE151" t="s">
        <v>67</v>
      </c>
      <c r="AF151">
        <v>1</v>
      </c>
      <c r="AG151">
        <v>0</v>
      </c>
      <c r="AH151" t="s">
        <v>58</v>
      </c>
      <c r="AI151">
        <v>112320</v>
      </c>
      <c r="AJ151">
        <v>17280</v>
      </c>
      <c r="AK151">
        <v>17280</v>
      </c>
      <c r="AL151">
        <v>77760</v>
      </c>
      <c r="AM151" t="s">
        <v>158</v>
      </c>
      <c r="AN151" t="s">
        <v>168</v>
      </c>
      <c r="AO151">
        <v>2015</v>
      </c>
      <c r="AP151">
        <v>2011</v>
      </c>
      <c r="AQ151">
        <f t="shared" si="8"/>
        <v>4</v>
      </c>
      <c r="AR151" t="s">
        <v>61</v>
      </c>
    </row>
    <row r="152" spans="1:44" x14ac:dyDescent="0.25">
      <c r="A152">
        <v>134</v>
      </c>
      <c r="B152" t="str">
        <f t="shared" si="6"/>
        <v>10+ years</v>
      </c>
      <c r="C152">
        <v>32</v>
      </c>
      <c r="D152" t="str" cm="1">
        <f t="array" ref="D152">_xlfn.IFS(C152&lt;26, "19-25", C152&lt;33, "26-32", C152&lt;40, "33-39", C152&lt;47, "40-46",C152&lt;54, "47-53", TRUE, "54+")</f>
        <v>26-32</v>
      </c>
      <c r="E152">
        <v>203914</v>
      </c>
      <c r="F152" s="1">
        <v>37051</v>
      </c>
      <c r="G152" t="s">
        <v>44</v>
      </c>
      <c r="H152" t="s">
        <v>74</v>
      </c>
      <c r="I152">
        <v>1000</v>
      </c>
      <c r="J152">
        <v>1000.06</v>
      </c>
      <c r="K152">
        <v>0</v>
      </c>
      <c r="L152">
        <v>440961</v>
      </c>
      <c r="M152" t="s">
        <v>75</v>
      </c>
      <c r="N152" t="s">
        <v>76</v>
      </c>
      <c r="O152" t="s">
        <v>194</v>
      </c>
      <c r="P152" t="s">
        <v>111</v>
      </c>
      <c r="Q152" t="s">
        <v>124</v>
      </c>
      <c r="R152">
        <v>0</v>
      </c>
      <c r="S152">
        <v>0</v>
      </c>
      <c r="T152" s="1">
        <v>42013</v>
      </c>
      <c r="U152" t="s">
        <v>51</v>
      </c>
      <c r="V152" t="s">
        <v>52</v>
      </c>
      <c r="W152" t="s">
        <v>112</v>
      </c>
      <c r="X152" t="s">
        <v>125</v>
      </c>
      <c r="Y152" t="s">
        <v>82</v>
      </c>
      <c r="Z152" t="s">
        <v>56</v>
      </c>
      <c r="AA152" t="s">
        <v>333</v>
      </c>
      <c r="AB152">
        <v>17</v>
      </c>
      <c r="AC152" t="str">
        <f t="shared" si="7"/>
        <v>Afternoon</v>
      </c>
      <c r="AD152">
        <v>1</v>
      </c>
      <c r="AE152" t="s">
        <v>67</v>
      </c>
      <c r="AF152">
        <v>1</v>
      </c>
      <c r="AG152">
        <v>0</v>
      </c>
      <c r="AH152" t="s">
        <v>67</v>
      </c>
      <c r="AI152">
        <v>82720</v>
      </c>
      <c r="AJ152">
        <v>7520</v>
      </c>
      <c r="AK152">
        <v>15040</v>
      </c>
      <c r="AL152">
        <v>60160</v>
      </c>
      <c r="AM152" t="s">
        <v>114</v>
      </c>
      <c r="AN152" t="s">
        <v>139</v>
      </c>
      <c r="AO152">
        <v>2015</v>
      </c>
      <c r="AP152">
        <v>2014</v>
      </c>
      <c r="AQ152">
        <f t="shared" si="8"/>
        <v>1</v>
      </c>
      <c r="AR152" t="s">
        <v>87</v>
      </c>
    </row>
    <row r="153" spans="1:44" x14ac:dyDescent="0.25">
      <c r="A153">
        <v>288</v>
      </c>
      <c r="B153" t="str">
        <f t="shared" si="6"/>
        <v>10+ years</v>
      </c>
      <c r="C153">
        <v>45</v>
      </c>
      <c r="D153" t="str" cm="1">
        <f t="array" ref="D153">_xlfn.IFS(C153&lt;26, "19-25", C153&lt;33, "26-32", C153&lt;40, "33-39", C153&lt;47, "40-46",C153&lt;54, "47-53", TRUE, "54+")</f>
        <v>40-46</v>
      </c>
      <c r="E153">
        <v>565157</v>
      </c>
      <c r="F153" s="1">
        <v>37535</v>
      </c>
      <c r="G153" t="s">
        <v>88</v>
      </c>
      <c r="H153" t="s">
        <v>74</v>
      </c>
      <c r="I153">
        <v>1000</v>
      </c>
      <c r="J153">
        <v>1046.71</v>
      </c>
      <c r="K153">
        <v>0</v>
      </c>
      <c r="L153">
        <v>616714</v>
      </c>
      <c r="M153" t="s">
        <v>46</v>
      </c>
      <c r="N153" t="s">
        <v>129</v>
      </c>
      <c r="O153" t="s">
        <v>122</v>
      </c>
      <c r="P153" t="s">
        <v>178</v>
      </c>
      <c r="Q153" t="s">
        <v>50</v>
      </c>
      <c r="R153">
        <v>0</v>
      </c>
      <c r="S153">
        <v>0</v>
      </c>
      <c r="T153" s="1">
        <v>42062</v>
      </c>
      <c r="U153" t="s">
        <v>80</v>
      </c>
      <c r="V153" t="s">
        <v>81</v>
      </c>
      <c r="W153" t="s">
        <v>53</v>
      </c>
      <c r="X153" t="s">
        <v>104</v>
      </c>
      <c r="Y153" t="s">
        <v>126</v>
      </c>
      <c r="Z153" t="s">
        <v>127</v>
      </c>
      <c r="AA153" t="s">
        <v>334</v>
      </c>
      <c r="AB153">
        <v>4</v>
      </c>
      <c r="AC153" t="str">
        <f t="shared" si="7"/>
        <v>Night</v>
      </c>
      <c r="AD153">
        <v>3</v>
      </c>
      <c r="AE153" t="s">
        <v>67</v>
      </c>
      <c r="AF153">
        <v>2</v>
      </c>
      <c r="AG153">
        <v>1</v>
      </c>
      <c r="AH153" t="s">
        <v>67</v>
      </c>
      <c r="AI153">
        <v>48060</v>
      </c>
      <c r="AJ153">
        <v>10680</v>
      </c>
      <c r="AK153">
        <v>5340</v>
      </c>
      <c r="AL153">
        <v>32040</v>
      </c>
      <c r="AM153" t="s">
        <v>72</v>
      </c>
      <c r="AN153" t="s">
        <v>198</v>
      </c>
      <c r="AO153">
        <v>2015</v>
      </c>
      <c r="AP153">
        <v>2009</v>
      </c>
      <c r="AQ153">
        <f t="shared" si="8"/>
        <v>6</v>
      </c>
      <c r="AR153" t="s">
        <v>87</v>
      </c>
    </row>
    <row r="154" spans="1:44" x14ac:dyDescent="0.25">
      <c r="A154">
        <v>104</v>
      </c>
      <c r="B154" t="str">
        <f t="shared" si="6"/>
        <v>5-10 years</v>
      </c>
      <c r="C154">
        <v>32</v>
      </c>
      <c r="D154" t="str" cm="1">
        <f t="array" ref="D154">_xlfn.IFS(C154&lt;26, "19-25", C154&lt;33, "26-32", C154&lt;40, "33-39", C154&lt;47, "40-46",C154&lt;54, "47-53", TRUE, "54+")</f>
        <v>26-32</v>
      </c>
      <c r="E154">
        <v>904191</v>
      </c>
      <c r="F154" s="1">
        <v>35625</v>
      </c>
      <c r="G154" t="s">
        <v>62</v>
      </c>
      <c r="H154" t="s">
        <v>45</v>
      </c>
      <c r="I154">
        <v>500</v>
      </c>
      <c r="J154">
        <v>1158.03</v>
      </c>
      <c r="K154">
        <v>0</v>
      </c>
      <c r="L154">
        <v>434247</v>
      </c>
      <c r="M154" t="s">
        <v>46</v>
      </c>
      <c r="N154" t="s">
        <v>136</v>
      </c>
      <c r="O154" t="s">
        <v>130</v>
      </c>
      <c r="P154" t="s">
        <v>175</v>
      </c>
      <c r="Q154" t="s">
        <v>79</v>
      </c>
      <c r="R154">
        <v>31900</v>
      </c>
      <c r="S154">
        <v>-44600</v>
      </c>
      <c r="T154" s="1">
        <v>42012</v>
      </c>
      <c r="U154" t="s">
        <v>80</v>
      </c>
      <c r="V154" t="s">
        <v>81</v>
      </c>
      <c r="W154" t="s">
        <v>112</v>
      </c>
      <c r="X154" t="s">
        <v>54</v>
      </c>
      <c r="Y154" t="s">
        <v>82</v>
      </c>
      <c r="Z154" t="s">
        <v>70</v>
      </c>
      <c r="AA154" t="s">
        <v>335</v>
      </c>
      <c r="AB154">
        <v>23</v>
      </c>
      <c r="AC154" t="str">
        <f t="shared" si="7"/>
        <v>Evening</v>
      </c>
      <c r="AD154">
        <v>3</v>
      </c>
      <c r="AE154" t="s">
        <v>58</v>
      </c>
      <c r="AF154">
        <v>1</v>
      </c>
      <c r="AG154">
        <v>3</v>
      </c>
      <c r="AH154" t="s">
        <v>58</v>
      </c>
      <c r="AI154">
        <v>63570</v>
      </c>
      <c r="AJ154">
        <v>9780</v>
      </c>
      <c r="AK154">
        <v>9780</v>
      </c>
      <c r="AL154">
        <v>44010</v>
      </c>
      <c r="AM154" t="s">
        <v>219</v>
      </c>
      <c r="AN154" t="s">
        <v>263</v>
      </c>
      <c r="AO154">
        <v>2015</v>
      </c>
      <c r="AP154">
        <v>2006</v>
      </c>
      <c r="AQ154">
        <f t="shared" si="8"/>
        <v>9</v>
      </c>
      <c r="AR154" t="s">
        <v>61</v>
      </c>
    </row>
    <row r="155" spans="1:44" x14ac:dyDescent="0.25">
      <c r="A155">
        <v>431</v>
      </c>
      <c r="B155" t="str">
        <f t="shared" si="6"/>
        <v>10+ years</v>
      </c>
      <c r="C155">
        <v>54</v>
      </c>
      <c r="D155" t="str" cm="1">
        <f t="array" ref="D155">_xlfn.IFS(C155&lt;26, "19-25", C155&lt;33, "26-32", C155&lt;40, "33-39", C155&lt;47, "40-46",C155&lt;54, "47-53", TRUE, "54+")</f>
        <v>54+</v>
      </c>
      <c r="E155">
        <v>419510</v>
      </c>
      <c r="F155" s="1">
        <v>34649</v>
      </c>
      <c r="G155" t="s">
        <v>44</v>
      </c>
      <c r="H155" t="s">
        <v>74</v>
      </c>
      <c r="I155">
        <v>1000</v>
      </c>
      <c r="J155">
        <v>1372.27</v>
      </c>
      <c r="K155">
        <v>0</v>
      </c>
      <c r="L155">
        <v>436547</v>
      </c>
      <c r="M155" t="s">
        <v>75</v>
      </c>
      <c r="N155" t="s">
        <v>129</v>
      </c>
      <c r="O155" t="s">
        <v>48</v>
      </c>
      <c r="P155" t="s">
        <v>170</v>
      </c>
      <c r="Q155" t="s">
        <v>79</v>
      </c>
      <c r="R155">
        <v>17600</v>
      </c>
      <c r="S155">
        <v>0</v>
      </c>
      <c r="T155" s="1">
        <v>42012</v>
      </c>
      <c r="U155" t="s">
        <v>80</v>
      </c>
      <c r="V155" t="s">
        <v>81</v>
      </c>
      <c r="W155" t="s">
        <v>112</v>
      </c>
      <c r="X155" t="s">
        <v>104</v>
      </c>
      <c r="Y155" t="s">
        <v>118</v>
      </c>
      <c r="Z155" t="s">
        <v>56</v>
      </c>
      <c r="AA155" t="s">
        <v>336</v>
      </c>
      <c r="AB155">
        <v>13</v>
      </c>
      <c r="AC155" t="str">
        <f t="shared" si="7"/>
        <v>Afternoon</v>
      </c>
      <c r="AD155">
        <v>3</v>
      </c>
      <c r="AE155" t="s">
        <v>84</v>
      </c>
      <c r="AF155">
        <v>2</v>
      </c>
      <c r="AG155">
        <v>3</v>
      </c>
      <c r="AH155" t="s">
        <v>67</v>
      </c>
      <c r="AI155">
        <v>63240</v>
      </c>
      <c r="AJ155">
        <v>10540</v>
      </c>
      <c r="AK155">
        <v>10540</v>
      </c>
      <c r="AL155">
        <v>42160</v>
      </c>
      <c r="AM155" t="s">
        <v>158</v>
      </c>
      <c r="AN155" t="s">
        <v>172</v>
      </c>
      <c r="AO155">
        <v>2015</v>
      </c>
      <c r="AP155">
        <v>1997</v>
      </c>
      <c r="AQ155">
        <f t="shared" si="8"/>
        <v>18</v>
      </c>
      <c r="AR155" t="s">
        <v>87</v>
      </c>
    </row>
    <row r="156" spans="1:44" x14ac:dyDescent="0.25">
      <c r="A156">
        <v>101</v>
      </c>
      <c r="B156" t="str">
        <f t="shared" si="6"/>
        <v>5-10 years</v>
      </c>
      <c r="C156">
        <v>33</v>
      </c>
      <c r="D156" t="str" cm="1">
        <f t="array" ref="D156">_xlfn.IFS(C156&lt;26, "19-25", C156&lt;33, "26-32", C156&lt;40, "33-39", C156&lt;47, "40-46",C156&lt;54, "47-53", TRUE, "54+")</f>
        <v>33-39</v>
      </c>
      <c r="E156">
        <v>575000</v>
      </c>
      <c r="F156" s="1">
        <v>41083</v>
      </c>
      <c r="G156" t="s">
        <v>44</v>
      </c>
      <c r="H156" t="s">
        <v>74</v>
      </c>
      <c r="I156">
        <v>1000</v>
      </c>
      <c r="J156">
        <v>1053.04</v>
      </c>
      <c r="K156">
        <v>7000000</v>
      </c>
      <c r="L156">
        <v>619540</v>
      </c>
      <c r="M156" t="s">
        <v>75</v>
      </c>
      <c r="N156" t="s">
        <v>129</v>
      </c>
      <c r="O156" t="s">
        <v>116</v>
      </c>
      <c r="P156" t="s">
        <v>64</v>
      </c>
      <c r="Q156" t="s">
        <v>79</v>
      </c>
      <c r="R156">
        <v>52000</v>
      </c>
      <c r="S156">
        <v>-44500</v>
      </c>
      <c r="T156" s="1">
        <v>42059</v>
      </c>
      <c r="U156" t="s">
        <v>80</v>
      </c>
      <c r="V156" t="s">
        <v>81</v>
      </c>
      <c r="W156" t="s">
        <v>68</v>
      </c>
      <c r="X156" t="s">
        <v>141</v>
      </c>
      <c r="Y156" t="s">
        <v>126</v>
      </c>
      <c r="Z156" t="s">
        <v>161</v>
      </c>
      <c r="AA156" t="s">
        <v>337</v>
      </c>
      <c r="AB156">
        <v>20</v>
      </c>
      <c r="AC156" t="str">
        <f t="shared" si="7"/>
        <v>Evening</v>
      </c>
      <c r="AD156">
        <v>3</v>
      </c>
      <c r="AE156" t="s">
        <v>84</v>
      </c>
      <c r="AF156">
        <v>1</v>
      </c>
      <c r="AG156">
        <v>3</v>
      </c>
      <c r="AH156" t="s">
        <v>67</v>
      </c>
      <c r="AI156">
        <v>54240</v>
      </c>
      <c r="AJ156">
        <v>9040</v>
      </c>
      <c r="AK156">
        <v>9040</v>
      </c>
      <c r="AL156">
        <v>36160</v>
      </c>
      <c r="AM156" t="s">
        <v>59</v>
      </c>
      <c r="AN156">
        <v>93</v>
      </c>
      <c r="AO156">
        <v>2015</v>
      </c>
      <c r="AP156">
        <v>2013</v>
      </c>
      <c r="AQ156">
        <f t="shared" si="8"/>
        <v>2</v>
      </c>
      <c r="AR156" t="s">
        <v>61</v>
      </c>
    </row>
    <row r="157" spans="1:44" x14ac:dyDescent="0.25">
      <c r="A157">
        <v>375</v>
      </c>
      <c r="B157" t="str">
        <f t="shared" si="6"/>
        <v>10+ years</v>
      </c>
      <c r="C157">
        <v>50</v>
      </c>
      <c r="D157" t="str" cm="1">
        <f t="array" ref="D157">_xlfn.IFS(C157&lt;26, "19-25", C157&lt;33, "26-32", C157&lt;40, "33-39", C157&lt;47, "40-46",C157&lt;54, "47-53", TRUE, "54+")</f>
        <v>47-53</v>
      </c>
      <c r="E157">
        <v>120485</v>
      </c>
      <c r="F157" s="1">
        <v>39131</v>
      </c>
      <c r="G157" t="s">
        <v>44</v>
      </c>
      <c r="H157" t="s">
        <v>74</v>
      </c>
      <c r="I157">
        <v>1000</v>
      </c>
      <c r="J157">
        <v>1275.3900000000001</v>
      </c>
      <c r="K157">
        <v>0</v>
      </c>
      <c r="L157">
        <v>466283</v>
      </c>
      <c r="M157" t="s">
        <v>46</v>
      </c>
      <c r="N157" t="s">
        <v>97</v>
      </c>
      <c r="O157" t="s">
        <v>77</v>
      </c>
      <c r="P157" t="s">
        <v>103</v>
      </c>
      <c r="Q157" t="s">
        <v>65</v>
      </c>
      <c r="R157">
        <v>0</v>
      </c>
      <c r="S157">
        <v>0</v>
      </c>
      <c r="T157" s="1">
        <v>42047</v>
      </c>
      <c r="U157" t="s">
        <v>51</v>
      </c>
      <c r="V157" t="s">
        <v>91</v>
      </c>
      <c r="W157" t="s">
        <v>53</v>
      </c>
      <c r="X157" t="s">
        <v>54</v>
      </c>
      <c r="Y157" t="s">
        <v>82</v>
      </c>
      <c r="Z157" t="s">
        <v>70</v>
      </c>
      <c r="AA157" t="s">
        <v>338</v>
      </c>
      <c r="AB157">
        <v>16</v>
      </c>
      <c r="AC157" t="str">
        <f t="shared" si="7"/>
        <v>Afternoon</v>
      </c>
      <c r="AD157">
        <v>1</v>
      </c>
      <c r="AE157" t="s">
        <v>58</v>
      </c>
      <c r="AF157">
        <v>2</v>
      </c>
      <c r="AG157">
        <v>3</v>
      </c>
      <c r="AH157" t="s">
        <v>84</v>
      </c>
      <c r="AI157">
        <v>37280</v>
      </c>
      <c r="AJ157">
        <v>0</v>
      </c>
      <c r="AK157">
        <v>0</v>
      </c>
      <c r="AL157">
        <v>37280</v>
      </c>
      <c r="AM157" t="s">
        <v>114</v>
      </c>
      <c r="AN157" t="s">
        <v>115</v>
      </c>
      <c r="AO157">
        <v>2015</v>
      </c>
      <c r="AP157">
        <v>1996</v>
      </c>
      <c r="AQ157">
        <f t="shared" si="8"/>
        <v>19</v>
      </c>
      <c r="AR157" t="s">
        <v>61</v>
      </c>
    </row>
    <row r="158" spans="1:44" x14ac:dyDescent="0.25">
      <c r="A158">
        <v>461</v>
      </c>
      <c r="B158" t="str">
        <f t="shared" si="6"/>
        <v>10+ years</v>
      </c>
      <c r="C158">
        <v>61</v>
      </c>
      <c r="D158" t="str" cm="1">
        <f t="array" ref="D158">_xlfn.IFS(C158&lt;26, "19-25", C158&lt;33, "26-32", C158&lt;40, "33-39", C158&lt;47, "40-46",C158&lt;54, "47-53", TRUE, "54+")</f>
        <v>54+</v>
      </c>
      <c r="E158">
        <v>781181</v>
      </c>
      <c r="F158" s="1">
        <v>38530</v>
      </c>
      <c r="G158" t="s">
        <v>44</v>
      </c>
      <c r="H158" t="s">
        <v>74</v>
      </c>
      <c r="I158">
        <v>2000</v>
      </c>
      <c r="J158">
        <v>1402.75</v>
      </c>
      <c r="K158">
        <v>0</v>
      </c>
      <c r="L158">
        <v>449557</v>
      </c>
      <c r="M158" t="s">
        <v>46</v>
      </c>
      <c r="N158" t="s">
        <v>166</v>
      </c>
      <c r="O158" t="s">
        <v>130</v>
      </c>
      <c r="P158" t="s">
        <v>269</v>
      </c>
      <c r="Q158" t="s">
        <v>50</v>
      </c>
      <c r="R158">
        <v>0</v>
      </c>
      <c r="S158">
        <v>0</v>
      </c>
      <c r="T158" s="1">
        <v>42053</v>
      </c>
      <c r="U158" t="s">
        <v>80</v>
      </c>
      <c r="V158" t="s">
        <v>81</v>
      </c>
      <c r="W158" t="s">
        <v>68</v>
      </c>
      <c r="X158" t="s">
        <v>54</v>
      </c>
      <c r="Y158" t="s">
        <v>82</v>
      </c>
      <c r="Z158" t="s">
        <v>56</v>
      </c>
      <c r="AA158" t="s">
        <v>339</v>
      </c>
      <c r="AB158">
        <v>10</v>
      </c>
      <c r="AC158" t="str">
        <f t="shared" si="7"/>
        <v>Morning</v>
      </c>
      <c r="AD158">
        <v>3</v>
      </c>
      <c r="AE158" t="s">
        <v>67</v>
      </c>
      <c r="AF158">
        <v>2</v>
      </c>
      <c r="AG158">
        <v>1</v>
      </c>
      <c r="AH158" t="s">
        <v>58</v>
      </c>
      <c r="AI158">
        <v>72100</v>
      </c>
      <c r="AJ158">
        <v>7210</v>
      </c>
      <c r="AK158">
        <v>14420</v>
      </c>
      <c r="AL158">
        <v>50470</v>
      </c>
      <c r="AM158" t="s">
        <v>202</v>
      </c>
      <c r="AN158" t="s">
        <v>203</v>
      </c>
      <c r="AO158">
        <v>2015</v>
      </c>
      <c r="AP158">
        <v>2006</v>
      </c>
      <c r="AQ158">
        <f t="shared" si="8"/>
        <v>9</v>
      </c>
      <c r="AR158" t="s">
        <v>87</v>
      </c>
    </row>
    <row r="159" spans="1:44" x14ac:dyDescent="0.25">
      <c r="A159">
        <v>428</v>
      </c>
      <c r="B159" t="str">
        <f t="shared" si="6"/>
        <v>10+ years</v>
      </c>
      <c r="C159">
        <v>59</v>
      </c>
      <c r="D159" t="str" cm="1">
        <f t="array" ref="D159">_xlfn.IFS(C159&lt;26, "19-25", C159&lt;33, "26-32", C159&lt;40, "33-39", C159&lt;47, "40-46",C159&lt;54, "47-53", TRUE, "54+")</f>
        <v>54+</v>
      </c>
      <c r="E159">
        <v>299796</v>
      </c>
      <c r="F159" s="1">
        <v>36432</v>
      </c>
      <c r="G159" t="s">
        <v>62</v>
      </c>
      <c r="H159" t="s">
        <v>45</v>
      </c>
      <c r="I159">
        <v>500</v>
      </c>
      <c r="J159">
        <v>1344.36</v>
      </c>
      <c r="K159">
        <v>7000000</v>
      </c>
      <c r="L159">
        <v>473329</v>
      </c>
      <c r="M159" t="s">
        <v>75</v>
      </c>
      <c r="N159" t="s">
        <v>166</v>
      </c>
      <c r="O159" t="s">
        <v>106</v>
      </c>
      <c r="P159" t="s">
        <v>154</v>
      </c>
      <c r="Q159" t="s">
        <v>65</v>
      </c>
      <c r="R159">
        <v>0</v>
      </c>
      <c r="S159">
        <v>0</v>
      </c>
      <c r="T159" s="1">
        <v>42041</v>
      </c>
      <c r="U159" t="s">
        <v>143</v>
      </c>
      <c r="V159" t="s">
        <v>67</v>
      </c>
      <c r="W159" t="s">
        <v>68</v>
      </c>
      <c r="X159" t="s">
        <v>98</v>
      </c>
      <c r="Y159" t="s">
        <v>118</v>
      </c>
      <c r="Z159" t="s">
        <v>132</v>
      </c>
      <c r="AA159" t="s">
        <v>340</v>
      </c>
      <c r="AB159">
        <v>8</v>
      </c>
      <c r="AC159" t="str">
        <f t="shared" si="7"/>
        <v>Morning</v>
      </c>
      <c r="AD159">
        <v>1</v>
      </c>
      <c r="AE159" t="s">
        <v>67</v>
      </c>
      <c r="AF159">
        <v>2</v>
      </c>
      <c r="AG159">
        <v>3</v>
      </c>
      <c r="AH159" t="s">
        <v>84</v>
      </c>
      <c r="AI159">
        <v>6500</v>
      </c>
      <c r="AJ159">
        <v>1300</v>
      </c>
      <c r="AK159">
        <v>650</v>
      </c>
      <c r="AL159">
        <v>4550</v>
      </c>
      <c r="AM159" t="s">
        <v>59</v>
      </c>
      <c r="AN159" t="s">
        <v>60</v>
      </c>
      <c r="AO159">
        <v>2015</v>
      </c>
      <c r="AP159">
        <v>2013</v>
      </c>
      <c r="AQ159">
        <f t="shared" si="8"/>
        <v>2</v>
      </c>
      <c r="AR159" t="s">
        <v>87</v>
      </c>
    </row>
    <row r="160" spans="1:44" x14ac:dyDescent="0.25">
      <c r="A160">
        <v>45</v>
      </c>
      <c r="B160" t="str">
        <f t="shared" si="6"/>
        <v>2-5 years</v>
      </c>
      <c r="C160">
        <v>38</v>
      </c>
      <c r="D160" t="str" cm="1">
        <f t="array" ref="D160">_xlfn.IFS(C160&lt;26, "19-25", C160&lt;33, "26-32", C160&lt;40, "33-39", C160&lt;47, "40-46",C160&lt;54, "47-53", TRUE, "54+")</f>
        <v>33-39</v>
      </c>
      <c r="E160">
        <v>589749</v>
      </c>
      <c r="F160" s="1">
        <v>38851</v>
      </c>
      <c r="G160" t="s">
        <v>62</v>
      </c>
      <c r="H160" t="s">
        <v>74</v>
      </c>
      <c r="I160">
        <v>1000</v>
      </c>
      <c r="J160">
        <v>1197.71</v>
      </c>
      <c r="K160">
        <v>0</v>
      </c>
      <c r="L160">
        <v>470117</v>
      </c>
      <c r="M160" t="s">
        <v>46</v>
      </c>
      <c r="N160" t="s">
        <v>129</v>
      </c>
      <c r="O160" t="s">
        <v>63</v>
      </c>
      <c r="P160" t="s">
        <v>151</v>
      </c>
      <c r="Q160" t="s">
        <v>147</v>
      </c>
      <c r="R160">
        <v>29000</v>
      </c>
      <c r="S160">
        <v>0</v>
      </c>
      <c r="T160" s="1">
        <v>42049</v>
      </c>
      <c r="U160" t="s">
        <v>80</v>
      </c>
      <c r="V160" t="s">
        <v>91</v>
      </c>
      <c r="W160" t="s">
        <v>112</v>
      </c>
      <c r="X160" t="s">
        <v>141</v>
      </c>
      <c r="Y160" t="s">
        <v>118</v>
      </c>
      <c r="Z160" t="s">
        <v>107</v>
      </c>
      <c r="AA160" t="s">
        <v>341</v>
      </c>
      <c r="AB160">
        <v>17</v>
      </c>
      <c r="AC160" t="str">
        <f t="shared" si="7"/>
        <v>Afternoon</v>
      </c>
      <c r="AD160">
        <v>3</v>
      </c>
      <c r="AE160" t="s">
        <v>67</v>
      </c>
      <c r="AF160">
        <v>2</v>
      </c>
      <c r="AG160">
        <v>0</v>
      </c>
      <c r="AH160" t="s">
        <v>67</v>
      </c>
      <c r="AI160">
        <v>78240</v>
      </c>
      <c r="AJ160">
        <v>13040</v>
      </c>
      <c r="AK160">
        <v>13040</v>
      </c>
      <c r="AL160">
        <v>52160</v>
      </c>
      <c r="AM160" t="s">
        <v>158</v>
      </c>
      <c r="AN160" t="s">
        <v>159</v>
      </c>
      <c r="AO160">
        <v>2015</v>
      </c>
      <c r="AP160">
        <v>2013</v>
      </c>
      <c r="AQ160">
        <f t="shared" si="8"/>
        <v>2</v>
      </c>
      <c r="AR160" t="s">
        <v>87</v>
      </c>
    </row>
    <row r="161" spans="1:44" x14ac:dyDescent="0.25">
      <c r="A161">
        <v>136</v>
      </c>
      <c r="B161" t="str">
        <f t="shared" si="6"/>
        <v>10+ years</v>
      </c>
      <c r="C161">
        <v>29</v>
      </c>
      <c r="D161" t="str" cm="1">
        <f t="array" ref="D161">_xlfn.IFS(C161&lt;26, "19-25", C161&lt;33, "26-32", C161&lt;40, "33-39", C161&lt;47, "40-46",C161&lt;54, "47-53", TRUE, "54+")</f>
        <v>26-32</v>
      </c>
      <c r="E161">
        <v>854021</v>
      </c>
      <c r="F161" s="1">
        <v>40297</v>
      </c>
      <c r="G161" t="s">
        <v>44</v>
      </c>
      <c r="H161" t="s">
        <v>74</v>
      </c>
      <c r="I161">
        <v>500</v>
      </c>
      <c r="J161">
        <v>1203.24</v>
      </c>
      <c r="K161">
        <v>0</v>
      </c>
      <c r="L161">
        <v>600702</v>
      </c>
      <c r="M161" t="s">
        <v>75</v>
      </c>
      <c r="N161" t="s">
        <v>166</v>
      </c>
      <c r="O161" t="s">
        <v>150</v>
      </c>
      <c r="P161" t="s">
        <v>186</v>
      </c>
      <c r="Q161" t="s">
        <v>65</v>
      </c>
      <c r="R161">
        <v>62500</v>
      </c>
      <c r="S161">
        <v>-66900</v>
      </c>
      <c r="T161" s="1">
        <v>42040</v>
      </c>
      <c r="U161" t="s">
        <v>66</v>
      </c>
      <c r="V161" t="s">
        <v>67</v>
      </c>
      <c r="W161" t="s">
        <v>68</v>
      </c>
      <c r="X161" t="s">
        <v>54</v>
      </c>
      <c r="Y161" t="s">
        <v>82</v>
      </c>
      <c r="Z161" t="s">
        <v>56</v>
      </c>
      <c r="AA161" t="s">
        <v>342</v>
      </c>
      <c r="AB161">
        <v>9</v>
      </c>
      <c r="AC161" t="str">
        <f t="shared" si="7"/>
        <v>Morning</v>
      </c>
      <c r="AD161">
        <v>1</v>
      </c>
      <c r="AE161" t="s">
        <v>67</v>
      </c>
      <c r="AF161">
        <v>2</v>
      </c>
      <c r="AG161">
        <v>0</v>
      </c>
      <c r="AH161" t="s">
        <v>67</v>
      </c>
      <c r="AI161">
        <v>6200</v>
      </c>
      <c r="AJ161">
        <v>1240</v>
      </c>
      <c r="AK161">
        <v>620</v>
      </c>
      <c r="AL161">
        <v>4340</v>
      </c>
      <c r="AM161" t="s">
        <v>214</v>
      </c>
      <c r="AN161" t="s">
        <v>236</v>
      </c>
      <c r="AO161">
        <v>2015</v>
      </c>
      <c r="AP161">
        <v>1999</v>
      </c>
      <c r="AQ161">
        <f t="shared" si="8"/>
        <v>16</v>
      </c>
      <c r="AR161" t="s">
        <v>87</v>
      </c>
    </row>
    <row r="162" spans="1:44" x14ac:dyDescent="0.25">
      <c r="A162">
        <v>216</v>
      </c>
      <c r="B162" t="str">
        <f t="shared" si="6"/>
        <v>10+ years</v>
      </c>
      <c r="C162">
        <v>36</v>
      </c>
      <c r="D162" t="str" cm="1">
        <f t="array" ref="D162">_xlfn.IFS(C162&lt;26, "19-25", C162&lt;33, "26-32", C162&lt;40, "33-39", C162&lt;47, "40-46",C162&lt;54, "47-53", TRUE, "54+")</f>
        <v>33-39</v>
      </c>
      <c r="E162">
        <v>454086</v>
      </c>
      <c r="F162" s="1">
        <v>33918</v>
      </c>
      <c r="G162" t="s">
        <v>62</v>
      </c>
      <c r="H162" t="s">
        <v>96</v>
      </c>
      <c r="I162">
        <v>1000</v>
      </c>
      <c r="J162">
        <v>1152.4000000000001</v>
      </c>
      <c r="K162">
        <v>0</v>
      </c>
      <c r="L162">
        <v>615921</v>
      </c>
      <c r="M162" t="s">
        <v>75</v>
      </c>
      <c r="N162" t="s">
        <v>97</v>
      </c>
      <c r="O162" t="s">
        <v>122</v>
      </c>
      <c r="P162" t="s">
        <v>64</v>
      </c>
      <c r="Q162" t="s">
        <v>90</v>
      </c>
      <c r="R162">
        <v>39600</v>
      </c>
      <c r="S162">
        <v>-82400</v>
      </c>
      <c r="T162" s="1">
        <v>42029</v>
      </c>
      <c r="U162" t="s">
        <v>143</v>
      </c>
      <c r="V162" t="s">
        <v>67</v>
      </c>
      <c r="W162" t="s">
        <v>68</v>
      </c>
      <c r="X162" t="s">
        <v>54</v>
      </c>
      <c r="Y162" t="s">
        <v>69</v>
      </c>
      <c r="Z162" t="s">
        <v>107</v>
      </c>
      <c r="AA162" t="s">
        <v>343</v>
      </c>
      <c r="AB162">
        <v>0</v>
      </c>
      <c r="AC162" t="str">
        <f t="shared" si="7"/>
        <v>Night</v>
      </c>
      <c r="AD162">
        <v>1</v>
      </c>
      <c r="AE162" t="s">
        <v>58</v>
      </c>
      <c r="AF162">
        <v>2</v>
      </c>
      <c r="AG162">
        <v>3</v>
      </c>
      <c r="AH162" t="s">
        <v>67</v>
      </c>
      <c r="AI162">
        <v>6160</v>
      </c>
      <c r="AJ162">
        <v>560</v>
      </c>
      <c r="AK162">
        <v>1680</v>
      </c>
      <c r="AL162">
        <v>3920</v>
      </c>
      <c r="AM162" t="s">
        <v>72</v>
      </c>
      <c r="AN162" t="s">
        <v>73</v>
      </c>
      <c r="AO162">
        <v>2015</v>
      </c>
      <c r="AP162">
        <v>2014</v>
      </c>
      <c r="AQ162">
        <f t="shared" si="8"/>
        <v>1</v>
      </c>
      <c r="AR162" t="s">
        <v>87</v>
      </c>
    </row>
    <row r="163" spans="1:44" x14ac:dyDescent="0.25">
      <c r="A163">
        <v>278</v>
      </c>
      <c r="B163" t="str">
        <f t="shared" si="6"/>
        <v>10+ years</v>
      </c>
      <c r="C163">
        <v>48</v>
      </c>
      <c r="D163" t="str" cm="1">
        <f t="array" ref="D163">_xlfn.IFS(C163&lt;26, "19-25", C163&lt;33, "26-32", C163&lt;40, "33-39", C163&lt;47, "40-46",C163&lt;54, "47-53", TRUE, "54+")</f>
        <v>47-53</v>
      </c>
      <c r="E163">
        <v>139484</v>
      </c>
      <c r="F163" s="1">
        <v>36365</v>
      </c>
      <c r="G163" t="s">
        <v>62</v>
      </c>
      <c r="H163" t="s">
        <v>96</v>
      </c>
      <c r="I163">
        <v>2000</v>
      </c>
      <c r="J163">
        <v>1142.6199999999999</v>
      </c>
      <c r="K163">
        <v>7000000</v>
      </c>
      <c r="L163">
        <v>475588</v>
      </c>
      <c r="M163" t="s">
        <v>75</v>
      </c>
      <c r="N163" t="s">
        <v>47</v>
      </c>
      <c r="O163" t="s">
        <v>194</v>
      </c>
      <c r="P163" t="s">
        <v>131</v>
      </c>
      <c r="Q163" t="s">
        <v>147</v>
      </c>
      <c r="R163">
        <v>0</v>
      </c>
      <c r="S163">
        <v>-54000</v>
      </c>
      <c r="T163" s="1">
        <v>42020</v>
      </c>
      <c r="U163" t="s">
        <v>51</v>
      </c>
      <c r="V163" t="s">
        <v>91</v>
      </c>
      <c r="W163" t="s">
        <v>112</v>
      </c>
      <c r="X163" t="s">
        <v>141</v>
      </c>
      <c r="Y163" t="s">
        <v>55</v>
      </c>
      <c r="Z163" t="s">
        <v>161</v>
      </c>
      <c r="AA163" t="s">
        <v>344</v>
      </c>
      <c r="AB163">
        <v>12</v>
      </c>
      <c r="AC163" t="str">
        <f t="shared" si="7"/>
        <v>Afternoon</v>
      </c>
      <c r="AD163">
        <v>1</v>
      </c>
      <c r="AE163" t="s">
        <v>67</v>
      </c>
      <c r="AF163">
        <v>2</v>
      </c>
      <c r="AG163">
        <v>0</v>
      </c>
      <c r="AH163" t="s">
        <v>67</v>
      </c>
      <c r="AI163">
        <v>76050</v>
      </c>
      <c r="AJ163">
        <v>11700</v>
      </c>
      <c r="AK163">
        <v>11700</v>
      </c>
      <c r="AL163">
        <v>52650</v>
      </c>
      <c r="AM163" t="s">
        <v>94</v>
      </c>
      <c r="AN163" t="s">
        <v>228</v>
      </c>
      <c r="AO163">
        <v>2015</v>
      </c>
      <c r="AP163">
        <v>1997</v>
      </c>
      <c r="AQ163">
        <f t="shared" si="8"/>
        <v>18</v>
      </c>
      <c r="AR163" t="s">
        <v>87</v>
      </c>
    </row>
    <row r="164" spans="1:44" x14ac:dyDescent="0.25">
      <c r="A164">
        <v>295</v>
      </c>
      <c r="B164" t="str">
        <f t="shared" si="6"/>
        <v>10+ years</v>
      </c>
      <c r="C164">
        <v>48</v>
      </c>
      <c r="D164" t="str" cm="1">
        <f t="array" ref="D164">_xlfn.IFS(C164&lt;26, "19-25", C164&lt;33, "26-32", C164&lt;40, "33-39", C164&lt;47, "40-46",C164&lt;54, "47-53", TRUE, "54+")</f>
        <v>47-53</v>
      </c>
      <c r="E164">
        <v>678849</v>
      </c>
      <c r="F164" s="1">
        <v>33656</v>
      </c>
      <c r="G164" t="s">
        <v>44</v>
      </c>
      <c r="H164" t="s">
        <v>96</v>
      </c>
      <c r="I164">
        <v>1000</v>
      </c>
      <c r="J164">
        <v>1332.07</v>
      </c>
      <c r="K164">
        <v>0</v>
      </c>
      <c r="L164">
        <v>609409</v>
      </c>
      <c r="M164" t="s">
        <v>75</v>
      </c>
      <c r="N164" t="s">
        <v>47</v>
      </c>
      <c r="O164" t="s">
        <v>130</v>
      </c>
      <c r="P164" t="s">
        <v>178</v>
      </c>
      <c r="Q164" t="s">
        <v>90</v>
      </c>
      <c r="R164">
        <v>49700</v>
      </c>
      <c r="S164">
        <v>-59100</v>
      </c>
      <c r="T164" s="1">
        <v>42032</v>
      </c>
      <c r="U164" t="s">
        <v>80</v>
      </c>
      <c r="V164" t="s">
        <v>52</v>
      </c>
      <c r="W164" t="s">
        <v>112</v>
      </c>
      <c r="X164" t="s">
        <v>141</v>
      </c>
      <c r="Y164" t="s">
        <v>82</v>
      </c>
      <c r="Z164" t="s">
        <v>127</v>
      </c>
      <c r="AA164" t="s">
        <v>345</v>
      </c>
      <c r="AB164">
        <v>20</v>
      </c>
      <c r="AC164" t="str">
        <f t="shared" si="7"/>
        <v>Evening</v>
      </c>
      <c r="AD164">
        <v>2</v>
      </c>
      <c r="AE164" t="s">
        <v>84</v>
      </c>
      <c r="AF164">
        <v>2</v>
      </c>
      <c r="AG164">
        <v>1</v>
      </c>
      <c r="AH164" t="s">
        <v>58</v>
      </c>
      <c r="AI164">
        <v>86060</v>
      </c>
      <c r="AJ164">
        <v>13240</v>
      </c>
      <c r="AK164">
        <v>13240</v>
      </c>
      <c r="AL164">
        <v>59580</v>
      </c>
      <c r="AM164" t="s">
        <v>219</v>
      </c>
      <c r="AN164" t="s">
        <v>220</v>
      </c>
      <c r="AO164">
        <v>2015</v>
      </c>
      <c r="AP164">
        <v>2002</v>
      </c>
      <c r="AQ164">
        <f t="shared" si="8"/>
        <v>13</v>
      </c>
      <c r="AR164" t="s">
        <v>87</v>
      </c>
    </row>
    <row r="165" spans="1:44" x14ac:dyDescent="0.25">
      <c r="A165">
        <v>112</v>
      </c>
      <c r="B165" t="str">
        <f t="shared" si="6"/>
        <v>5-10 years</v>
      </c>
      <c r="C165">
        <v>30</v>
      </c>
      <c r="D165" t="str" cm="1">
        <f t="array" ref="D165">_xlfn.IFS(C165&lt;26, "19-25", C165&lt;33, "26-32", C165&lt;40, "33-39", C165&lt;47, "40-46",C165&lt;54, "47-53", TRUE, "54+")</f>
        <v>26-32</v>
      </c>
      <c r="E165">
        <v>346940</v>
      </c>
      <c r="F165" s="1">
        <v>37512</v>
      </c>
      <c r="G165" t="s">
        <v>44</v>
      </c>
      <c r="H165" t="s">
        <v>96</v>
      </c>
      <c r="I165">
        <v>1000</v>
      </c>
      <c r="J165">
        <v>1166.54</v>
      </c>
      <c r="K165">
        <v>0</v>
      </c>
      <c r="L165">
        <v>479852</v>
      </c>
      <c r="M165" t="s">
        <v>75</v>
      </c>
      <c r="N165" t="s">
        <v>129</v>
      </c>
      <c r="O165" t="s">
        <v>106</v>
      </c>
      <c r="P165" t="s">
        <v>49</v>
      </c>
      <c r="Q165" t="s">
        <v>147</v>
      </c>
      <c r="R165">
        <v>47700</v>
      </c>
      <c r="S165">
        <v>-59300</v>
      </c>
      <c r="T165" s="1">
        <v>42025</v>
      </c>
      <c r="U165" t="s">
        <v>51</v>
      </c>
      <c r="V165" t="s">
        <v>91</v>
      </c>
      <c r="W165" t="s">
        <v>53</v>
      </c>
      <c r="X165" t="s">
        <v>104</v>
      </c>
      <c r="Y165" t="s">
        <v>55</v>
      </c>
      <c r="Z165" t="s">
        <v>92</v>
      </c>
      <c r="AA165" t="s">
        <v>346</v>
      </c>
      <c r="AB165">
        <v>3</v>
      </c>
      <c r="AC165" t="str">
        <f t="shared" si="7"/>
        <v>Night</v>
      </c>
      <c r="AD165">
        <v>1</v>
      </c>
      <c r="AE165" t="s">
        <v>58</v>
      </c>
      <c r="AF165">
        <v>2</v>
      </c>
      <c r="AG165">
        <v>0</v>
      </c>
      <c r="AH165" t="s">
        <v>84</v>
      </c>
      <c r="AI165">
        <v>107900</v>
      </c>
      <c r="AJ165">
        <v>10790</v>
      </c>
      <c r="AK165">
        <v>21580</v>
      </c>
      <c r="AL165">
        <v>75530</v>
      </c>
      <c r="AM165" t="s">
        <v>85</v>
      </c>
      <c r="AN165" t="s">
        <v>149</v>
      </c>
      <c r="AO165">
        <v>2015</v>
      </c>
      <c r="AP165">
        <v>1997</v>
      </c>
      <c r="AQ165">
        <f t="shared" si="8"/>
        <v>18</v>
      </c>
      <c r="AR165" t="s">
        <v>61</v>
      </c>
    </row>
    <row r="166" spans="1:44" x14ac:dyDescent="0.25">
      <c r="A166">
        <v>122</v>
      </c>
      <c r="B166" t="str">
        <f t="shared" si="6"/>
        <v>10+ years</v>
      </c>
      <c r="C166">
        <v>34</v>
      </c>
      <c r="D166" t="str" cm="1">
        <f t="array" ref="D166">_xlfn.IFS(C166&lt;26, "19-25", C166&lt;33, "26-32", C166&lt;40, "33-39", C166&lt;47, "40-46",C166&lt;54, "47-53", TRUE, "54+")</f>
        <v>33-39</v>
      </c>
      <c r="E166">
        <v>985436</v>
      </c>
      <c r="F166" s="1">
        <v>37842</v>
      </c>
      <c r="G166" t="s">
        <v>88</v>
      </c>
      <c r="H166" t="s">
        <v>45</v>
      </c>
      <c r="I166">
        <v>500</v>
      </c>
      <c r="J166">
        <v>1495.06</v>
      </c>
      <c r="K166">
        <v>0</v>
      </c>
      <c r="L166">
        <v>452249</v>
      </c>
      <c r="M166" t="s">
        <v>75</v>
      </c>
      <c r="N166" t="s">
        <v>129</v>
      </c>
      <c r="O166" t="s">
        <v>106</v>
      </c>
      <c r="P166" t="s">
        <v>178</v>
      </c>
      <c r="Q166" t="s">
        <v>90</v>
      </c>
      <c r="R166">
        <v>38100</v>
      </c>
      <c r="S166">
        <v>-31400</v>
      </c>
      <c r="T166" s="1">
        <v>42011</v>
      </c>
      <c r="U166" t="s">
        <v>80</v>
      </c>
      <c r="V166" t="s">
        <v>81</v>
      </c>
      <c r="W166" t="s">
        <v>112</v>
      </c>
      <c r="X166" t="s">
        <v>104</v>
      </c>
      <c r="Y166" t="s">
        <v>180</v>
      </c>
      <c r="Z166" t="s">
        <v>56</v>
      </c>
      <c r="AA166" t="s">
        <v>347</v>
      </c>
      <c r="AB166">
        <v>18</v>
      </c>
      <c r="AC166" t="str">
        <f t="shared" si="7"/>
        <v>Evening</v>
      </c>
      <c r="AD166">
        <v>3</v>
      </c>
      <c r="AE166" t="s">
        <v>84</v>
      </c>
      <c r="AF166">
        <v>2</v>
      </c>
      <c r="AG166">
        <v>0</v>
      </c>
      <c r="AH166" t="s">
        <v>58</v>
      </c>
      <c r="AI166">
        <v>99990</v>
      </c>
      <c r="AJ166">
        <v>18180</v>
      </c>
      <c r="AK166">
        <v>18180</v>
      </c>
      <c r="AL166">
        <v>63630</v>
      </c>
      <c r="AM166" t="s">
        <v>72</v>
      </c>
      <c r="AN166" t="s">
        <v>73</v>
      </c>
      <c r="AO166">
        <v>2015</v>
      </c>
      <c r="AP166">
        <v>2011</v>
      </c>
      <c r="AQ166">
        <f t="shared" si="8"/>
        <v>4</v>
      </c>
      <c r="AR166" t="s">
        <v>87</v>
      </c>
    </row>
    <row r="167" spans="1:44" x14ac:dyDescent="0.25">
      <c r="A167">
        <v>108</v>
      </c>
      <c r="B167" t="str">
        <f t="shared" si="6"/>
        <v>5-10 years</v>
      </c>
      <c r="C167">
        <v>29</v>
      </c>
      <c r="D167" t="str" cm="1">
        <f t="array" ref="D167">_xlfn.IFS(C167&lt;26, "19-25", C167&lt;33, "26-32", C167&lt;40, "33-39", C167&lt;47, "40-46",C167&lt;54, "47-53", TRUE, "54+")</f>
        <v>26-32</v>
      </c>
      <c r="E167">
        <v>237418</v>
      </c>
      <c r="F167" s="1">
        <v>39420</v>
      </c>
      <c r="G167" t="s">
        <v>62</v>
      </c>
      <c r="H167" t="s">
        <v>96</v>
      </c>
      <c r="I167">
        <v>1000</v>
      </c>
      <c r="J167">
        <v>1337.92</v>
      </c>
      <c r="K167">
        <v>0</v>
      </c>
      <c r="L167">
        <v>441536</v>
      </c>
      <c r="M167" t="s">
        <v>75</v>
      </c>
      <c r="N167" t="s">
        <v>76</v>
      </c>
      <c r="O167" t="s">
        <v>89</v>
      </c>
      <c r="P167" t="s">
        <v>103</v>
      </c>
      <c r="Q167" t="s">
        <v>147</v>
      </c>
      <c r="R167">
        <v>71400</v>
      </c>
      <c r="S167">
        <v>0</v>
      </c>
      <c r="T167" s="1">
        <v>42058</v>
      </c>
      <c r="U167" t="s">
        <v>80</v>
      </c>
      <c r="V167" t="s">
        <v>52</v>
      </c>
      <c r="W167" t="s">
        <v>68</v>
      </c>
      <c r="X167" t="s">
        <v>141</v>
      </c>
      <c r="Y167" t="s">
        <v>118</v>
      </c>
      <c r="Z167" t="s">
        <v>56</v>
      </c>
      <c r="AA167" t="s">
        <v>348</v>
      </c>
      <c r="AB167">
        <v>4</v>
      </c>
      <c r="AC167" t="str">
        <f t="shared" si="7"/>
        <v>Night</v>
      </c>
      <c r="AD167">
        <v>3</v>
      </c>
      <c r="AE167" t="s">
        <v>84</v>
      </c>
      <c r="AF167">
        <v>2</v>
      </c>
      <c r="AG167">
        <v>2</v>
      </c>
      <c r="AH167" t="s">
        <v>58</v>
      </c>
      <c r="AI167">
        <v>61380</v>
      </c>
      <c r="AJ167">
        <v>11160</v>
      </c>
      <c r="AK167">
        <v>5580</v>
      </c>
      <c r="AL167">
        <v>44640</v>
      </c>
      <c r="AM167" t="s">
        <v>158</v>
      </c>
      <c r="AN167" t="s">
        <v>159</v>
      </c>
      <c r="AO167">
        <v>2015</v>
      </c>
      <c r="AP167">
        <v>2012</v>
      </c>
      <c r="AQ167">
        <f t="shared" si="8"/>
        <v>3</v>
      </c>
      <c r="AR167" t="s">
        <v>87</v>
      </c>
    </row>
    <row r="168" spans="1:44" x14ac:dyDescent="0.25">
      <c r="A168">
        <v>14</v>
      </c>
      <c r="B168" t="str">
        <f t="shared" si="6"/>
        <v>0-2 years</v>
      </c>
      <c r="C168">
        <v>28</v>
      </c>
      <c r="D168" t="str" cm="1">
        <f t="array" ref="D168">_xlfn.IFS(C168&lt;26, "19-25", C168&lt;33, "26-32", C168&lt;40, "33-39", C168&lt;47, "40-46",C168&lt;54, "47-53", TRUE, "54+")</f>
        <v>26-32</v>
      </c>
      <c r="E168">
        <v>335780</v>
      </c>
      <c r="F168" s="1">
        <v>37459</v>
      </c>
      <c r="G168" t="s">
        <v>44</v>
      </c>
      <c r="H168" t="s">
        <v>45</v>
      </c>
      <c r="I168">
        <v>2000</v>
      </c>
      <c r="J168">
        <v>1587.96</v>
      </c>
      <c r="K168">
        <v>0</v>
      </c>
      <c r="L168">
        <v>601617</v>
      </c>
      <c r="M168" t="s">
        <v>75</v>
      </c>
      <c r="N168" t="s">
        <v>97</v>
      </c>
      <c r="O168" t="s">
        <v>48</v>
      </c>
      <c r="P168" t="s">
        <v>78</v>
      </c>
      <c r="Q168" t="s">
        <v>90</v>
      </c>
      <c r="R168">
        <v>0</v>
      </c>
      <c r="S168">
        <v>-26900</v>
      </c>
      <c r="T168" s="1">
        <v>42049</v>
      </c>
      <c r="U168" t="s">
        <v>51</v>
      </c>
      <c r="V168" t="s">
        <v>81</v>
      </c>
      <c r="W168" t="s">
        <v>53</v>
      </c>
      <c r="X168" t="s">
        <v>104</v>
      </c>
      <c r="Y168" t="s">
        <v>118</v>
      </c>
      <c r="Z168" t="s">
        <v>70</v>
      </c>
      <c r="AA168" t="s">
        <v>349</v>
      </c>
      <c r="AB168">
        <v>18</v>
      </c>
      <c r="AC168" t="str">
        <f t="shared" si="7"/>
        <v>Evening</v>
      </c>
      <c r="AD168">
        <v>1</v>
      </c>
      <c r="AE168" t="s">
        <v>67</v>
      </c>
      <c r="AF168">
        <v>2</v>
      </c>
      <c r="AG168">
        <v>1</v>
      </c>
      <c r="AH168" t="s">
        <v>58</v>
      </c>
      <c r="AI168">
        <v>71280</v>
      </c>
      <c r="AJ168">
        <v>12960</v>
      </c>
      <c r="AK168">
        <v>12960</v>
      </c>
      <c r="AL168">
        <v>45360</v>
      </c>
      <c r="AM168" t="s">
        <v>114</v>
      </c>
      <c r="AN168" t="s">
        <v>115</v>
      </c>
      <c r="AO168">
        <v>2015</v>
      </c>
      <c r="AP168">
        <v>2012</v>
      </c>
      <c r="AQ168">
        <f t="shared" si="8"/>
        <v>3</v>
      </c>
      <c r="AR168" t="s">
        <v>61</v>
      </c>
    </row>
    <row r="169" spans="1:44" x14ac:dyDescent="0.25">
      <c r="A169">
        <v>298</v>
      </c>
      <c r="B169" t="str">
        <f t="shared" si="6"/>
        <v>10+ years</v>
      </c>
      <c r="C169">
        <v>45</v>
      </c>
      <c r="D169" t="str" cm="1">
        <f t="array" ref="D169">_xlfn.IFS(C169&lt;26, "19-25", C169&lt;33, "26-32", C169&lt;40, "33-39", C169&lt;47, "40-46",C169&lt;54, "47-53", TRUE, "54+")</f>
        <v>40-46</v>
      </c>
      <c r="E169">
        <v>491392</v>
      </c>
      <c r="F169" s="1">
        <v>33788</v>
      </c>
      <c r="G169" t="s">
        <v>88</v>
      </c>
      <c r="H169" t="s">
        <v>96</v>
      </c>
      <c r="I169">
        <v>1000</v>
      </c>
      <c r="J169">
        <v>1362.29</v>
      </c>
      <c r="K169">
        <v>0</v>
      </c>
      <c r="L169">
        <v>442598</v>
      </c>
      <c r="M169" t="s">
        <v>46</v>
      </c>
      <c r="N169" t="s">
        <v>136</v>
      </c>
      <c r="O169" t="s">
        <v>194</v>
      </c>
      <c r="P169" t="s">
        <v>160</v>
      </c>
      <c r="Q169" t="s">
        <v>90</v>
      </c>
      <c r="R169">
        <v>0</v>
      </c>
      <c r="S169">
        <v>-51100</v>
      </c>
      <c r="T169" s="1">
        <v>42062</v>
      </c>
      <c r="U169" t="s">
        <v>80</v>
      </c>
      <c r="V169" t="s">
        <v>91</v>
      </c>
      <c r="W169" t="s">
        <v>68</v>
      </c>
      <c r="X169" t="s">
        <v>141</v>
      </c>
      <c r="Y169" t="s">
        <v>82</v>
      </c>
      <c r="Z169" t="s">
        <v>132</v>
      </c>
      <c r="AA169" t="s">
        <v>350</v>
      </c>
      <c r="AB169">
        <v>18</v>
      </c>
      <c r="AC169" t="str">
        <f t="shared" si="7"/>
        <v>Evening</v>
      </c>
      <c r="AD169">
        <v>3</v>
      </c>
      <c r="AE169" t="s">
        <v>84</v>
      </c>
      <c r="AF169">
        <v>0</v>
      </c>
      <c r="AG169">
        <v>0</v>
      </c>
      <c r="AH169" t="s">
        <v>84</v>
      </c>
      <c r="AI169">
        <v>64000</v>
      </c>
      <c r="AJ169">
        <v>12800</v>
      </c>
      <c r="AK169">
        <v>6400</v>
      </c>
      <c r="AL169">
        <v>44800</v>
      </c>
      <c r="AM169" t="s">
        <v>59</v>
      </c>
      <c r="AN169">
        <v>95</v>
      </c>
      <c r="AO169">
        <v>2015</v>
      </c>
      <c r="AP169">
        <v>1999</v>
      </c>
      <c r="AQ169">
        <f t="shared" si="8"/>
        <v>16</v>
      </c>
      <c r="AR169" t="s">
        <v>87</v>
      </c>
    </row>
    <row r="170" spans="1:44" x14ac:dyDescent="0.25">
      <c r="A170">
        <v>276</v>
      </c>
      <c r="B170" t="str">
        <f t="shared" si="6"/>
        <v>10+ years</v>
      </c>
      <c r="C170">
        <v>46</v>
      </c>
      <c r="D170" t="str" cm="1">
        <f t="array" ref="D170">_xlfn.IFS(C170&lt;26, "19-25", C170&lt;33, "26-32", C170&lt;40, "33-39", C170&lt;47, "40-46",C170&lt;54, "47-53", TRUE, "54+")</f>
        <v>40-46</v>
      </c>
      <c r="E170">
        <v>140880</v>
      </c>
      <c r="F170" s="1">
        <v>38440</v>
      </c>
      <c r="G170" t="s">
        <v>88</v>
      </c>
      <c r="H170" t="s">
        <v>45</v>
      </c>
      <c r="I170">
        <v>500</v>
      </c>
      <c r="J170">
        <v>1448.84</v>
      </c>
      <c r="K170">
        <v>0</v>
      </c>
      <c r="L170">
        <v>430987</v>
      </c>
      <c r="M170" t="s">
        <v>75</v>
      </c>
      <c r="N170" t="s">
        <v>129</v>
      </c>
      <c r="O170" t="s">
        <v>63</v>
      </c>
      <c r="P170" t="s">
        <v>103</v>
      </c>
      <c r="Q170" t="s">
        <v>50</v>
      </c>
      <c r="R170">
        <v>0</v>
      </c>
      <c r="S170">
        <v>-50000</v>
      </c>
      <c r="T170" s="1">
        <v>42056</v>
      </c>
      <c r="U170" t="s">
        <v>143</v>
      </c>
      <c r="V170" t="s">
        <v>67</v>
      </c>
      <c r="W170" t="s">
        <v>217</v>
      </c>
      <c r="X170" t="s">
        <v>54</v>
      </c>
      <c r="Y170" t="s">
        <v>55</v>
      </c>
      <c r="Z170" t="s">
        <v>127</v>
      </c>
      <c r="AA170" t="s">
        <v>351</v>
      </c>
      <c r="AB170">
        <v>7</v>
      </c>
      <c r="AC170" t="str">
        <f t="shared" si="7"/>
        <v>Morning</v>
      </c>
      <c r="AD170">
        <v>1</v>
      </c>
      <c r="AE170" t="s">
        <v>67</v>
      </c>
      <c r="AF170">
        <v>0</v>
      </c>
      <c r="AG170">
        <v>1</v>
      </c>
      <c r="AH170" t="s">
        <v>84</v>
      </c>
      <c r="AI170">
        <v>5940</v>
      </c>
      <c r="AJ170">
        <v>660</v>
      </c>
      <c r="AK170">
        <v>660</v>
      </c>
      <c r="AL170">
        <v>4620</v>
      </c>
      <c r="AM170" t="s">
        <v>120</v>
      </c>
      <c r="AN170" t="s">
        <v>145</v>
      </c>
      <c r="AO170">
        <v>2015</v>
      </c>
      <c r="AP170">
        <v>2015</v>
      </c>
      <c r="AQ170">
        <f t="shared" si="8"/>
        <v>0</v>
      </c>
      <c r="AR170" t="s">
        <v>87</v>
      </c>
    </row>
    <row r="171" spans="1:44" x14ac:dyDescent="0.25">
      <c r="A171">
        <v>47</v>
      </c>
      <c r="B171" t="str">
        <f t="shared" si="6"/>
        <v>2-5 years</v>
      </c>
      <c r="C171">
        <v>37</v>
      </c>
      <c r="D171" t="str" cm="1">
        <f t="array" ref="D171">_xlfn.IFS(C171&lt;26, "19-25", C171&lt;33, "26-32", C171&lt;40, "33-39", C171&lt;47, "40-46",C171&lt;54, "47-53", TRUE, "54+")</f>
        <v>33-39</v>
      </c>
      <c r="E171">
        <v>962591</v>
      </c>
      <c r="F171" s="1">
        <v>39523</v>
      </c>
      <c r="G171" t="s">
        <v>62</v>
      </c>
      <c r="H171" t="s">
        <v>45</v>
      </c>
      <c r="I171">
        <v>2000</v>
      </c>
      <c r="J171">
        <v>1241.97</v>
      </c>
      <c r="K171">
        <v>0</v>
      </c>
      <c r="L171">
        <v>430104</v>
      </c>
      <c r="M171" t="s">
        <v>46</v>
      </c>
      <c r="N171" t="s">
        <v>136</v>
      </c>
      <c r="O171" t="s">
        <v>116</v>
      </c>
      <c r="P171" t="s">
        <v>151</v>
      </c>
      <c r="Q171" t="s">
        <v>147</v>
      </c>
      <c r="R171">
        <v>75400</v>
      </c>
      <c r="S171">
        <v>0</v>
      </c>
      <c r="T171" s="1">
        <v>42009</v>
      </c>
      <c r="U171" t="s">
        <v>143</v>
      </c>
      <c r="V171" t="s">
        <v>67</v>
      </c>
      <c r="W171" t="s">
        <v>68</v>
      </c>
      <c r="X171" t="s">
        <v>98</v>
      </c>
      <c r="Y171" t="s">
        <v>82</v>
      </c>
      <c r="Z171" t="s">
        <v>127</v>
      </c>
      <c r="AA171" t="s">
        <v>352</v>
      </c>
      <c r="AB171">
        <v>18</v>
      </c>
      <c r="AC171" t="str">
        <f t="shared" si="7"/>
        <v>Evening</v>
      </c>
      <c r="AD171">
        <v>1</v>
      </c>
      <c r="AE171" t="s">
        <v>84</v>
      </c>
      <c r="AF171">
        <v>1</v>
      </c>
      <c r="AG171">
        <v>0</v>
      </c>
      <c r="AH171" t="s">
        <v>84</v>
      </c>
      <c r="AI171">
        <v>6700</v>
      </c>
      <c r="AJ171">
        <v>670</v>
      </c>
      <c r="AK171">
        <v>670</v>
      </c>
      <c r="AL171">
        <v>5360</v>
      </c>
      <c r="AM171" t="s">
        <v>202</v>
      </c>
      <c r="AN171" t="s">
        <v>203</v>
      </c>
      <c r="AO171">
        <v>2015</v>
      </c>
      <c r="AP171">
        <v>2011</v>
      </c>
      <c r="AQ171">
        <f t="shared" si="8"/>
        <v>4</v>
      </c>
      <c r="AR171" t="s">
        <v>87</v>
      </c>
    </row>
    <row r="172" spans="1:44" x14ac:dyDescent="0.25">
      <c r="A172">
        <v>222</v>
      </c>
      <c r="B172" t="str">
        <f t="shared" si="6"/>
        <v>10+ years</v>
      </c>
      <c r="C172">
        <v>42</v>
      </c>
      <c r="D172" t="str" cm="1">
        <f t="array" ref="D172">_xlfn.IFS(C172&lt;26, "19-25", C172&lt;33, "26-32", C172&lt;40, "33-39", C172&lt;47, "40-46",C172&lt;54, "47-53", TRUE, "54+")</f>
        <v>40-46</v>
      </c>
      <c r="E172">
        <v>922565</v>
      </c>
      <c r="F172" s="1">
        <v>36303</v>
      </c>
      <c r="G172" t="s">
        <v>88</v>
      </c>
      <c r="H172" t="s">
        <v>45</v>
      </c>
      <c r="I172">
        <v>500</v>
      </c>
      <c r="J172">
        <v>1124.5999999999999</v>
      </c>
      <c r="K172">
        <v>0</v>
      </c>
      <c r="L172">
        <v>612904</v>
      </c>
      <c r="M172" t="s">
        <v>46</v>
      </c>
      <c r="N172" t="s">
        <v>97</v>
      </c>
      <c r="O172" t="s">
        <v>89</v>
      </c>
      <c r="P172" t="s">
        <v>154</v>
      </c>
      <c r="Q172" t="s">
        <v>147</v>
      </c>
      <c r="R172">
        <v>0</v>
      </c>
      <c r="S172">
        <v>0</v>
      </c>
      <c r="T172" s="1">
        <v>42034</v>
      </c>
      <c r="U172" t="s">
        <v>80</v>
      </c>
      <c r="V172" t="s">
        <v>81</v>
      </c>
      <c r="W172" t="s">
        <v>68</v>
      </c>
      <c r="X172" t="s">
        <v>54</v>
      </c>
      <c r="Y172" t="s">
        <v>82</v>
      </c>
      <c r="Z172" t="s">
        <v>92</v>
      </c>
      <c r="AA172" t="s">
        <v>353</v>
      </c>
      <c r="AB172">
        <v>23</v>
      </c>
      <c r="AC172" t="str">
        <f t="shared" si="7"/>
        <v>Evening</v>
      </c>
      <c r="AD172">
        <v>3</v>
      </c>
      <c r="AE172" t="s">
        <v>58</v>
      </c>
      <c r="AF172">
        <v>0</v>
      </c>
      <c r="AG172">
        <v>0</v>
      </c>
      <c r="AH172" t="s">
        <v>67</v>
      </c>
      <c r="AI172">
        <v>51740</v>
      </c>
      <c r="AJ172">
        <v>11940</v>
      </c>
      <c r="AK172">
        <v>7960</v>
      </c>
      <c r="AL172">
        <v>31840</v>
      </c>
      <c r="AM172" t="s">
        <v>202</v>
      </c>
      <c r="AN172" t="s">
        <v>203</v>
      </c>
      <c r="AO172">
        <v>2015</v>
      </c>
      <c r="AP172">
        <v>2006</v>
      </c>
      <c r="AQ172">
        <f t="shared" si="8"/>
        <v>9</v>
      </c>
      <c r="AR172" t="s">
        <v>87</v>
      </c>
    </row>
    <row r="173" spans="1:44" x14ac:dyDescent="0.25">
      <c r="A173">
        <v>119</v>
      </c>
      <c r="B173" t="str">
        <f t="shared" si="6"/>
        <v>5-10 years</v>
      </c>
      <c r="C173">
        <v>28</v>
      </c>
      <c r="D173" t="str" cm="1">
        <f t="array" ref="D173">_xlfn.IFS(C173&lt;26, "19-25", C173&lt;33, "26-32", C173&lt;40, "33-39", C173&lt;47, "40-46",C173&lt;54, "47-53", TRUE, "54+")</f>
        <v>26-32</v>
      </c>
      <c r="E173">
        <v>288580</v>
      </c>
      <c r="F173" s="1">
        <v>41235</v>
      </c>
      <c r="G173" t="s">
        <v>44</v>
      </c>
      <c r="H173" t="s">
        <v>45</v>
      </c>
      <c r="I173">
        <v>2000</v>
      </c>
      <c r="J173">
        <v>1079.92</v>
      </c>
      <c r="K173">
        <v>0</v>
      </c>
      <c r="L173">
        <v>430886</v>
      </c>
      <c r="M173" t="s">
        <v>46</v>
      </c>
      <c r="N173" t="s">
        <v>136</v>
      </c>
      <c r="O173" t="s">
        <v>63</v>
      </c>
      <c r="P173" t="s">
        <v>154</v>
      </c>
      <c r="Q173" t="s">
        <v>50</v>
      </c>
      <c r="R173">
        <v>88800</v>
      </c>
      <c r="S173">
        <v>0</v>
      </c>
      <c r="T173" s="1">
        <v>42061</v>
      </c>
      <c r="U173" t="s">
        <v>51</v>
      </c>
      <c r="V173" t="s">
        <v>81</v>
      </c>
      <c r="W173" t="s">
        <v>112</v>
      </c>
      <c r="X173" t="s">
        <v>141</v>
      </c>
      <c r="Y173" t="s">
        <v>180</v>
      </c>
      <c r="Z173" t="s">
        <v>70</v>
      </c>
      <c r="AA173" t="s">
        <v>354</v>
      </c>
      <c r="AB173">
        <v>1</v>
      </c>
      <c r="AC173" t="str">
        <f t="shared" si="7"/>
        <v>Night</v>
      </c>
      <c r="AD173">
        <v>1</v>
      </c>
      <c r="AE173" t="s">
        <v>67</v>
      </c>
      <c r="AF173">
        <v>0</v>
      </c>
      <c r="AG173">
        <v>1</v>
      </c>
      <c r="AH173" t="s">
        <v>58</v>
      </c>
      <c r="AI173">
        <v>53600</v>
      </c>
      <c r="AJ173">
        <v>6700</v>
      </c>
      <c r="AK173">
        <v>6700</v>
      </c>
      <c r="AL173">
        <v>40200</v>
      </c>
      <c r="AM173" t="s">
        <v>219</v>
      </c>
      <c r="AN173" t="s">
        <v>263</v>
      </c>
      <c r="AO173">
        <v>2015</v>
      </c>
      <c r="AP173">
        <v>2007</v>
      </c>
      <c r="AQ173">
        <f t="shared" si="8"/>
        <v>8</v>
      </c>
      <c r="AR173" t="s">
        <v>61</v>
      </c>
    </row>
    <row r="174" spans="1:44" x14ac:dyDescent="0.25">
      <c r="A174">
        <v>73</v>
      </c>
      <c r="B174" t="str">
        <f t="shared" si="6"/>
        <v>5-10 years</v>
      </c>
      <c r="C174">
        <v>29</v>
      </c>
      <c r="D174" t="str" cm="1">
        <f t="array" ref="D174">_xlfn.IFS(C174&lt;26, "19-25", C174&lt;33, "26-32", C174&lt;40, "33-39", C174&lt;47, "40-46",C174&lt;54, "47-53", TRUE, "54+")</f>
        <v>26-32</v>
      </c>
      <c r="E174">
        <v>154280</v>
      </c>
      <c r="F174" s="1">
        <v>33998</v>
      </c>
      <c r="G174" t="s">
        <v>88</v>
      </c>
      <c r="H174" t="s">
        <v>45</v>
      </c>
      <c r="I174">
        <v>1000</v>
      </c>
      <c r="J174">
        <v>1447.78</v>
      </c>
      <c r="K174">
        <v>0</v>
      </c>
      <c r="L174">
        <v>467947</v>
      </c>
      <c r="M174" t="s">
        <v>46</v>
      </c>
      <c r="N174" t="s">
        <v>146</v>
      </c>
      <c r="O174" t="s">
        <v>140</v>
      </c>
      <c r="P174" t="s">
        <v>78</v>
      </c>
      <c r="Q174" t="s">
        <v>124</v>
      </c>
      <c r="R174">
        <v>35100</v>
      </c>
      <c r="S174">
        <v>-59900</v>
      </c>
      <c r="T174" s="1">
        <v>42014</v>
      </c>
      <c r="U174" t="s">
        <v>80</v>
      </c>
      <c r="V174" t="s">
        <v>81</v>
      </c>
      <c r="W174" t="s">
        <v>112</v>
      </c>
      <c r="X174" t="s">
        <v>125</v>
      </c>
      <c r="Y174" t="s">
        <v>55</v>
      </c>
      <c r="Z174" t="s">
        <v>92</v>
      </c>
      <c r="AA174" t="s">
        <v>355</v>
      </c>
      <c r="AB174">
        <v>15</v>
      </c>
      <c r="AC174" t="str">
        <f t="shared" si="7"/>
        <v>Afternoon</v>
      </c>
      <c r="AD174">
        <v>3</v>
      </c>
      <c r="AE174" t="s">
        <v>58</v>
      </c>
      <c r="AF174">
        <v>1</v>
      </c>
      <c r="AG174">
        <v>0</v>
      </c>
      <c r="AH174" t="s">
        <v>67</v>
      </c>
      <c r="AI174">
        <v>44910</v>
      </c>
      <c r="AJ174">
        <v>4990</v>
      </c>
      <c r="AK174">
        <v>4990</v>
      </c>
      <c r="AL174">
        <v>34930</v>
      </c>
      <c r="AM174" t="s">
        <v>85</v>
      </c>
      <c r="AN174" t="s">
        <v>149</v>
      </c>
      <c r="AO174">
        <v>2015</v>
      </c>
      <c r="AP174">
        <v>2001</v>
      </c>
      <c r="AQ174">
        <f t="shared" si="8"/>
        <v>14</v>
      </c>
      <c r="AR174" t="s">
        <v>87</v>
      </c>
    </row>
    <row r="175" spans="1:44" x14ac:dyDescent="0.25">
      <c r="A175">
        <v>8</v>
      </c>
      <c r="B175" t="str">
        <f t="shared" si="6"/>
        <v>0-2 years</v>
      </c>
      <c r="C175">
        <v>31</v>
      </c>
      <c r="D175" t="str" cm="1">
        <f t="array" ref="D175">_xlfn.IFS(C175&lt;26, "19-25", C175&lt;33, "26-32", C175&lt;40, "33-39", C175&lt;47, "40-46",C175&lt;54, "47-53", TRUE, "54+")</f>
        <v>26-32</v>
      </c>
      <c r="E175">
        <v>425973</v>
      </c>
      <c r="F175" s="1">
        <v>37663</v>
      </c>
      <c r="G175" t="s">
        <v>62</v>
      </c>
      <c r="H175" t="s">
        <v>45</v>
      </c>
      <c r="I175">
        <v>500</v>
      </c>
      <c r="J175">
        <v>1229.1600000000001</v>
      </c>
      <c r="K175">
        <v>4000000</v>
      </c>
      <c r="L175">
        <v>604804</v>
      </c>
      <c r="M175" t="s">
        <v>75</v>
      </c>
      <c r="N175" t="s">
        <v>47</v>
      </c>
      <c r="O175" t="s">
        <v>150</v>
      </c>
      <c r="P175" t="s">
        <v>175</v>
      </c>
      <c r="Q175" t="s">
        <v>124</v>
      </c>
      <c r="R175">
        <v>0</v>
      </c>
      <c r="S175">
        <v>-88300</v>
      </c>
      <c r="T175" s="1">
        <v>42058</v>
      </c>
      <c r="U175" t="s">
        <v>80</v>
      </c>
      <c r="V175" t="s">
        <v>91</v>
      </c>
      <c r="W175" t="s">
        <v>53</v>
      </c>
      <c r="X175" t="s">
        <v>104</v>
      </c>
      <c r="Y175" t="s">
        <v>180</v>
      </c>
      <c r="Z175" t="s">
        <v>127</v>
      </c>
      <c r="AA175" t="s">
        <v>356</v>
      </c>
      <c r="AB175">
        <v>2</v>
      </c>
      <c r="AC175" t="str">
        <f t="shared" si="7"/>
        <v>Night</v>
      </c>
      <c r="AD175">
        <v>3</v>
      </c>
      <c r="AE175" t="s">
        <v>67</v>
      </c>
      <c r="AF175">
        <v>0</v>
      </c>
      <c r="AG175">
        <v>2</v>
      </c>
      <c r="AH175" t="s">
        <v>58</v>
      </c>
      <c r="AI175">
        <v>48100</v>
      </c>
      <c r="AJ175">
        <v>11100</v>
      </c>
      <c r="AK175">
        <v>7400</v>
      </c>
      <c r="AL175">
        <v>29600</v>
      </c>
      <c r="AM175" t="s">
        <v>219</v>
      </c>
      <c r="AN175" t="s">
        <v>263</v>
      </c>
      <c r="AO175">
        <v>2015</v>
      </c>
      <c r="AP175">
        <v>2014</v>
      </c>
      <c r="AQ175">
        <f t="shared" si="8"/>
        <v>1</v>
      </c>
      <c r="AR175" t="s">
        <v>87</v>
      </c>
    </row>
    <row r="176" spans="1:44" x14ac:dyDescent="0.25">
      <c r="A176">
        <v>294</v>
      </c>
      <c r="B176" t="str">
        <f t="shared" si="6"/>
        <v>10+ years</v>
      </c>
      <c r="C176">
        <v>44</v>
      </c>
      <c r="D176" t="str" cm="1">
        <f t="array" ref="D176">_xlfn.IFS(C176&lt;26, "19-25", C176&lt;33, "26-32", C176&lt;40, "33-39", C176&lt;47, "40-46",C176&lt;54, "47-53", TRUE, "54+")</f>
        <v>40-46</v>
      </c>
      <c r="E176">
        <v>477177</v>
      </c>
      <c r="F176" s="1">
        <v>33100</v>
      </c>
      <c r="G176" t="s">
        <v>88</v>
      </c>
      <c r="H176" t="s">
        <v>74</v>
      </c>
      <c r="I176">
        <v>1000</v>
      </c>
      <c r="J176">
        <v>1226.49</v>
      </c>
      <c r="K176">
        <v>0</v>
      </c>
      <c r="L176">
        <v>460308</v>
      </c>
      <c r="M176" t="s">
        <v>75</v>
      </c>
      <c r="N176" t="s">
        <v>76</v>
      </c>
      <c r="O176" t="s">
        <v>194</v>
      </c>
      <c r="P176" t="s">
        <v>175</v>
      </c>
      <c r="Q176" t="s">
        <v>90</v>
      </c>
      <c r="R176">
        <v>53900</v>
      </c>
      <c r="S176">
        <v>0</v>
      </c>
      <c r="T176" s="1">
        <v>42040</v>
      </c>
      <c r="U176" t="s">
        <v>66</v>
      </c>
      <c r="V176" t="s">
        <v>67</v>
      </c>
      <c r="W176" t="s">
        <v>217</v>
      </c>
      <c r="X176" t="s">
        <v>98</v>
      </c>
      <c r="Y176" t="s">
        <v>118</v>
      </c>
      <c r="Z176" t="s">
        <v>70</v>
      </c>
      <c r="AA176" t="s">
        <v>357</v>
      </c>
      <c r="AB176">
        <v>3</v>
      </c>
      <c r="AC176" t="str">
        <f t="shared" si="7"/>
        <v>Night</v>
      </c>
      <c r="AD176">
        <v>1</v>
      </c>
      <c r="AE176" t="s">
        <v>84</v>
      </c>
      <c r="AF176">
        <v>0</v>
      </c>
      <c r="AG176">
        <v>1</v>
      </c>
      <c r="AH176" t="s">
        <v>84</v>
      </c>
      <c r="AI176">
        <v>6100</v>
      </c>
      <c r="AJ176">
        <v>610</v>
      </c>
      <c r="AK176">
        <v>1220</v>
      </c>
      <c r="AL176">
        <v>4270</v>
      </c>
      <c r="AM176" t="s">
        <v>134</v>
      </c>
      <c r="AN176" t="s">
        <v>254</v>
      </c>
      <c r="AO176">
        <v>2015</v>
      </c>
      <c r="AP176">
        <v>2002</v>
      </c>
      <c r="AQ176">
        <f t="shared" si="8"/>
        <v>13</v>
      </c>
      <c r="AR176" t="s">
        <v>87</v>
      </c>
    </row>
    <row r="177" spans="1:44" x14ac:dyDescent="0.25">
      <c r="A177">
        <v>324</v>
      </c>
      <c r="B177" t="str">
        <f t="shared" si="6"/>
        <v>10+ years</v>
      </c>
      <c r="C177">
        <v>46</v>
      </c>
      <c r="D177" t="str" cm="1">
        <f t="array" ref="D177">_xlfn.IFS(C177&lt;26, "19-25", C177&lt;33, "26-32", C177&lt;40, "33-39", C177&lt;47, "40-46",C177&lt;54, "47-53", TRUE, "54+")</f>
        <v>40-46</v>
      </c>
      <c r="E177">
        <v>648509</v>
      </c>
      <c r="F177" s="1">
        <v>40243</v>
      </c>
      <c r="G177" t="s">
        <v>62</v>
      </c>
      <c r="H177" t="s">
        <v>74</v>
      </c>
      <c r="I177">
        <v>2000</v>
      </c>
      <c r="J177">
        <v>897.89</v>
      </c>
      <c r="K177">
        <v>6000000</v>
      </c>
      <c r="L177">
        <v>618862</v>
      </c>
      <c r="M177" t="s">
        <v>46</v>
      </c>
      <c r="N177" t="s">
        <v>47</v>
      </c>
      <c r="O177" t="s">
        <v>102</v>
      </c>
      <c r="P177" t="s">
        <v>78</v>
      </c>
      <c r="Q177" t="s">
        <v>124</v>
      </c>
      <c r="R177">
        <v>0</v>
      </c>
      <c r="S177">
        <v>-41300</v>
      </c>
      <c r="T177" s="1">
        <v>42025</v>
      </c>
      <c r="U177" t="s">
        <v>51</v>
      </c>
      <c r="V177" t="s">
        <v>81</v>
      </c>
      <c r="W177" t="s">
        <v>68</v>
      </c>
      <c r="X177" t="s">
        <v>125</v>
      </c>
      <c r="Y177" t="s">
        <v>180</v>
      </c>
      <c r="Z177" t="s">
        <v>127</v>
      </c>
      <c r="AA177" t="s">
        <v>358</v>
      </c>
      <c r="AB177">
        <v>13</v>
      </c>
      <c r="AC177" t="str">
        <f t="shared" si="7"/>
        <v>Afternoon</v>
      </c>
      <c r="AD177">
        <v>1</v>
      </c>
      <c r="AE177" t="s">
        <v>67</v>
      </c>
      <c r="AF177">
        <v>1</v>
      </c>
      <c r="AG177">
        <v>0</v>
      </c>
      <c r="AH177" t="s">
        <v>58</v>
      </c>
      <c r="AI177">
        <v>79600</v>
      </c>
      <c r="AJ177">
        <v>15920</v>
      </c>
      <c r="AK177">
        <v>15920</v>
      </c>
      <c r="AL177">
        <v>47760</v>
      </c>
      <c r="AM177" t="s">
        <v>202</v>
      </c>
      <c r="AN177" t="s">
        <v>203</v>
      </c>
      <c r="AO177">
        <v>2015</v>
      </c>
      <c r="AP177">
        <v>2011</v>
      </c>
      <c r="AQ177">
        <f t="shared" si="8"/>
        <v>4</v>
      </c>
      <c r="AR177" t="s">
        <v>87</v>
      </c>
    </row>
    <row r="178" spans="1:44" x14ac:dyDescent="0.25">
      <c r="A178">
        <v>155</v>
      </c>
      <c r="B178" t="str">
        <f t="shared" si="6"/>
        <v>10+ years</v>
      </c>
      <c r="C178">
        <v>34</v>
      </c>
      <c r="D178" t="str" cm="1">
        <f t="array" ref="D178">_xlfn.IFS(C178&lt;26, "19-25", C178&lt;33, "26-32", C178&lt;40, "33-39", C178&lt;47, "40-46",C178&lt;54, "47-53", TRUE, "54+")</f>
        <v>33-39</v>
      </c>
      <c r="E178">
        <v>914815</v>
      </c>
      <c r="F178" s="1">
        <v>33143</v>
      </c>
      <c r="G178" t="s">
        <v>62</v>
      </c>
      <c r="H178" t="s">
        <v>74</v>
      </c>
      <c r="I178">
        <v>500</v>
      </c>
      <c r="J178">
        <v>1706.79</v>
      </c>
      <c r="K178">
        <v>0</v>
      </c>
      <c r="L178">
        <v>462479</v>
      </c>
      <c r="M178" t="s">
        <v>46</v>
      </c>
      <c r="N178" t="s">
        <v>129</v>
      </c>
      <c r="O178" t="s">
        <v>140</v>
      </c>
      <c r="P178" t="s">
        <v>131</v>
      </c>
      <c r="Q178" t="s">
        <v>65</v>
      </c>
      <c r="R178">
        <v>0</v>
      </c>
      <c r="S178">
        <v>0</v>
      </c>
      <c r="T178" s="1">
        <v>42011</v>
      </c>
      <c r="U178" t="s">
        <v>51</v>
      </c>
      <c r="V178" t="s">
        <v>91</v>
      </c>
      <c r="W178" t="s">
        <v>68</v>
      </c>
      <c r="X178" t="s">
        <v>141</v>
      </c>
      <c r="Y178" t="s">
        <v>44</v>
      </c>
      <c r="Z178" t="s">
        <v>127</v>
      </c>
      <c r="AA178" t="s">
        <v>359</v>
      </c>
      <c r="AB178">
        <v>1</v>
      </c>
      <c r="AC178" t="str">
        <f t="shared" si="7"/>
        <v>Night</v>
      </c>
      <c r="AD178">
        <v>1</v>
      </c>
      <c r="AE178" t="s">
        <v>84</v>
      </c>
      <c r="AF178">
        <v>1</v>
      </c>
      <c r="AG178">
        <v>1</v>
      </c>
      <c r="AH178" t="s">
        <v>58</v>
      </c>
      <c r="AI178">
        <v>77040</v>
      </c>
      <c r="AJ178">
        <v>8560</v>
      </c>
      <c r="AK178">
        <v>8560</v>
      </c>
      <c r="AL178">
        <v>59920</v>
      </c>
      <c r="AM178" t="s">
        <v>214</v>
      </c>
      <c r="AN178" t="s">
        <v>215</v>
      </c>
      <c r="AO178">
        <v>2015</v>
      </c>
      <c r="AP178">
        <v>1998</v>
      </c>
      <c r="AQ178">
        <f t="shared" si="8"/>
        <v>17</v>
      </c>
      <c r="AR178" t="s">
        <v>87</v>
      </c>
    </row>
    <row r="179" spans="1:44" x14ac:dyDescent="0.25">
      <c r="A179">
        <v>261</v>
      </c>
      <c r="B179" t="str">
        <f t="shared" si="6"/>
        <v>10+ years</v>
      </c>
      <c r="C179">
        <v>45</v>
      </c>
      <c r="D179" t="str" cm="1">
        <f t="array" ref="D179">_xlfn.IFS(C179&lt;26, "19-25", C179&lt;33, "26-32", C179&lt;40, "33-39", C179&lt;47, "40-46",C179&lt;54, "47-53", TRUE, "54+")</f>
        <v>40-46</v>
      </c>
      <c r="E179">
        <v>249048</v>
      </c>
      <c r="F179" s="1">
        <v>38520</v>
      </c>
      <c r="G179" t="s">
        <v>88</v>
      </c>
      <c r="H179" t="s">
        <v>45</v>
      </c>
      <c r="I179">
        <v>1000</v>
      </c>
      <c r="J179">
        <v>1254.18</v>
      </c>
      <c r="K179">
        <v>0</v>
      </c>
      <c r="L179">
        <v>457555</v>
      </c>
      <c r="M179" t="s">
        <v>75</v>
      </c>
      <c r="N179" t="s">
        <v>76</v>
      </c>
      <c r="O179" t="s">
        <v>106</v>
      </c>
      <c r="P179" t="s">
        <v>175</v>
      </c>
      <c r="Q179" t="s">
        <v>65</v>
      </c>
      <c r="R179">
        <v>0</v>
      </c>
      <c r="S179">
        <v>-45100</v>
      </c>
      <c r="T179" s="1">
        <v>42015</v>
      </c>
      <c r="U179" t="s">
        <v>51</v>
      </c>
      <c r="V179" t="s">
        <v>81</v>
      </c>
      <c r="W179" t="s">
        <v>68</v>
      </c>
      <c r="X179" t="s">
        <v>104</v>
      </c>
      <c r="Y179" t="s">
        <v>55</v>
      </c>
      <c r="Z179" t="s">
        <v>56</v>
      </c>
      <c r="AA179" t="s">
        <v>360</v>
      </c>
      <c r="AB179">
        <v>16</v>
      </c>
      <c r="AC179" t="str">
        <f t="shared" si="7"/>
        <v>Afternoon</v>
      </c>
      <c r="AD179">
        <v>1</v>
      </c>
      <c r="AE179" t="s">
        <v>58</v>
      </c>
      <c r="AF179">
        <v>0</v>
      </c>
      <c r="AG179">
        <v>1</v>
      </c>
      <c r="AH179" t="s">
        <v>67</v>
      </c>
      <c r="AI179">
        <v>62590</v>
      </c>
      <c r="AJ179">
        <v>11380</v>
      </c>
      <c r="AK179">
        <v>11380</v>
      </c>
      <c r="AL179">
        <v>39830</v>
      </c>
      <c r="AM179" t="s">
        <v>219</v>
      </c>
      <c r="AN179" t="s">
        <v>263</v>
      </c>
      <c r="AO179">
        <v>2015</v>
      </c>
      <c r="AP179">
        <v>2003</v>
      </c>
      <c r="AQ179">
        <f t="shared" si="8"/>
        <v>12</v>
      </c>
      <c r="AR179" t="s">
        <v>87</v>
      </c>
    </row>
    <row r="180" spans="1:44" x14ac:dyDescent="0.25">
      <c r="A180">
        <v>245</v>
      </c>
      <c r="B180" t="str">
        <f t="shared" si="6"/>
        <v>10+ years</v>
      </c>
      <c r="C180">
        <v>40</v>
      </c>
      <c r="D180" t="str" cm="1">
        <f t="array" ref="D180">_xlfn.IFS(C180&lt;26, "19-25", C180&lt;33, "26-32", C180&lt;40, "33-39", C180&lt;47, "40-46",C180&lt;54, "47-53", TRUE, "54+")</f>
        <v>40-46</v>
      </c>
      <c r="E180">
        <v>144323</v>
      </c>
      <c r="F180" s="1">
        <v>37148</v>
      </c>
      <c r="G180" t="s">
        <v>62</v>
      </c>
      <c r="H180" t="s">
        <v>96</v>
      </c>
      <c r="I180">
        <v>500</v>
      </c>
      <c r="J180">
        <v>885.08</v>
      </c>
      <c r="K180">
        <v>0</v>
      </c>
      <c r="L180">
        <v>459984</v>
      </c>
      <c r="M180" t="s">
        <v>75</v>
      </c>
      <c r="N180" t="s">
        <v>129</v>
      </c>
      <c r="O180" t="s">
        <v>89</v>
      </c>
      <c r="P180" t="s">
        <v>137</v>
      </c>
      <c r="Q180" t="s">
        <v>65</v>
      </c>
      <c r="R180">
        <v>27000</v>
      </c>
      <c r="S180">
        <v>-58900</v>
      </c>
      <c r="T180" s="1">
        <v>42041</v>
      </c>
      <c r="U180" t="s">
        <v>51</v>
      </c>
      <c r="V180" t="s">
        <v>91</v>
      </c>
      <c r="W180" t="s">
        <v>112</v>
      </c>
      <c r="X180" t="s">
        <v>125</v>
      </c>
      <c r="Y180" t="s">
        <v>118</v>
      </c>
      <c r="Z180" t="s">
        <v>132</v>
      </c>
      <c r="AA180" t="s">
        <v>361</v>
      </c>
      <c r="AB180">
        <v>0</v>
      </c>
      <c r="AC180" t="str">
        <f t="shared" si="7"/>
        <v>Night</v>
      </c>
      <c r="AD180">
        <v>1</v>
      </c>
      <c r="AE180" t="s">
        <v>58</v>
      </c>
      <c r="AF180">
        <v>0</v>
      </c>
      <c r="AG180">
        <v>1</v>
      </c>
      <c r="AH180" t="s">
        <v>84</v>
      </c>
      <c r="AI180">
        <v>85150</v>
      </c>
      <c r="AJ180">
        <v>13100</v>
      </c>
      <c r="AK180">
        <v>13100</v>
      </c>
      <c r="AL180">
        <v>58950</v>
      </c>
      <c r="AM180" t="s">
        <v>94</v>
      </c>
      <c r="AN180" t="s">
        <v>250</v>
      </c>
      <c r="AO180">
        <v>2015</v>
      </c>
      <c r="AP180">
        <v>1998</v>
      </c>
      <c r="AQ180">
        <f t="shared" si="8"/>
        <v>17</v>
      </c>
      <c r="AR180" t="s">
        <v>87</v>
      </c>
    </row>
    <row r="181" spans="1:44" x14ac:dyDescent="0.25">
      <c r="A181">
        <v>235</v>
      </c>
      <c r="B181" t="str">
        <f t="shared" si="6"/>
        <v>10+ years</v>
      </c>
      <c r="C181">
        <v>39</v>
      </c>
      <c r="D181" t="str" cm="1">
        <f t="array" ref="D181">_xlfn.IFS(C181&lt;26, "19-25", C181&lt;33, "26-32", C181&lt;40, "33-39", C181&lt;47, "40-46",C181&lt;54, "47-53", TRUE, "54+")</f>
        <v>33-39</v>
      </c>
      <c r="E181">
        <v>651861</v>
      </c>
      <c r="F181" s="1">
        <v>40550</v>
      </c>
      <c r="G181" t="s">
        <v>88</v>
      </c>
      <c r="H181" t="s">
        <v>74</v>
      </c>
      <c r="I181">
        <v>500</v>
      </c>
      <c r="J181">
        <v>1046.58</v>
      </c>
      <c r="K181">
        <v>4000000</v>
      </c>
      <c r="L181">
        <v>434982</v>
      </c>
      <c r="M181" t="s">
        <v>46</v>
      </c>
      <c r="N181" t="s">
        <v>47</v>
      </c>
      <c r="O181" t="s">
        <v>102</v>
      </c>
      <c r="P181" t="s">
        <v>269</v>
      </c>
      <c r="Q181" t="s">
        <v>124</v>
      </c>
      <c r="R181">
        <v>0</v>
      </c>
      <c r="S181">
        <v>-31700</v>
      </c>
      <c r="T181" s="1">
        <v>42028</v>
      </c>
      <c r="U181" t="s">
        <v>66</v>
      </c>
      <c r="V181" t="s">
        <v>67</v>
      </c>
      <c r="W181" t="s">
        <v>217</v>
      </c>
      <c r="X181" t="s">
        <v>98</v>
      </c>
      <c r="Y181" t="s">
        <v>82</v>
      </c>
      <c r="Z181" t="s">
        <v>127</v>
      </c>
      <c r="AA181" t="s">
        <v>362</v>
      </c>
      <c r="AB181">
        <v>1</v>
      </c>
      <c r="AC181" t="str">
        <f t="shared" si="7"/>
        <v>Night</v>
      </c>
      <c r="AD181">
        <v>1</v>
      </c>
      <c r="AE181" t="s">
        <v>67</v>
      </c>
      <c r="AF181">
        <v>2</v>
      </c>
      <c r="AG181">
        <v>1</v>
      </c>
      <c r="AH181" t="s">
        <v>84</v>
      </c>
      <c r="AI181">
        <v>4950</v>
      </c>
      <c r="AJ181">
        <v>450</v>
      </c>
      <c r="AK181">
        <v>900</v>
      </c>
      <c r="AL181">
        <v>3600</v>
      </c>
      <c r="AM181" t="s">
        <v>94</v>
      </c>
      <c r="AN181" t="s">
        <v>228</v>
      </c>
      <c r="AO181">
        <v>2015</v>
      </c>
      <c r="AP181">
        <v>2010</v>
      </c>
      <c r="AQ181">
        <f t="shared" si="8"/>
        <v>5</v>
      </c>
      <c r="AR181" t="s">
        <v>87</v>
      </c>
    </row>
    <row r="182" spans="1:44" x14ac:dyDescent="0.25">
      <c r="A182">
        <v>53</v>
      </c>
      <c r="B182" t="str">
        <f t="shared" si="6"/>
        <v>2-5 years</v>
      </c>
      <c r="C182">
        <v>36</v>
      </c>
      <c r="D182" t="str" cm="1">
        <f t="array" ref="D182">_xlfn.IFS(C182&lt;26, "19-25", C182&lt;33, "26-32", C182&lt;40, "33-39", C182&lt;47, "40-46",C182&lt;54, "47-53", TRUE, "54+")</f>
        <v>33-39</v>
      </c>
      <c r="E182">
        <v>125324</v>
      </c>
      <c r="F182" s="1">
        <v>37877</v>
      </c>
      <c r="G182" t="s">
        <v>44</v>
      </c>
      <c r="H182" t="s">
        <v>96</v>
      </c>
      <c r="I182">
        <v>2000</v>
      </c>
      <c r="J182">
        <v>1712.68</v>
      </c>
      <c r="K182">
        <v>0</v>
      </c>
      <c r="L182">
        <v>614233</v>
      </c>
      <c r="M182" t="s">
        <v>46</v>
      </c>
      <c r="N182" t="s">
        <v>97</v>
      </c>
      <c r="O182" t="s">
        <v>164</v>
      </c>
      <c r="P182" t="s">
        <v>184</v>
      </c>
      <c r="Q182" t="s">
        <v>147</v>
      </c>
      <c r="R182">
        <v>72200</v>
      </c>
      <c r="S182">
        <v>0</v>
      </c>
      <c r="T182" s="1">
        <v>42053</v>
      </c>
      <c r="U182" t="s">
        <v>80</v>
      </c>
      <c r="V182" t="s">
        <v>52</v>
      </c>
      <c r="W182" t="s">
        <v>53</v>
      </c>
      <c r="X182" t="s">
        <v>104</v>
      </c>
      <c r="Y182" t="s">
        <v>69</v>
      </c>
      <c r="Z182" t="s">
        <v>70</v>
      </c>
      <c r="AA182" t="s">
        <v>363</v>
      </c>
      <c r="AB182">
        <v>17</v>
      </c>
      <c r="AC182" t="str">
        <f t="shared" si="7"/>
        <v>Afternoon</v>
      </c>
      <c r="AD182">
        <v>3</v>
      </c>
      <c r="AE182" t="s">
        <v>67</v>
      </c>
      <c r="AF182">
        <v>2</v>
      </c>
      <c r="AG182">
        <v>0</v>
      </c>
      <c r="AH182" t="s">
        <v>58</v>
      </c>
      <c r="AI182">
        <v>51100</v>
      </c>
      <c r="AJ182">
        <v>10220</v>
      </c>
      <c r="AK182">
        <v>5110</v>
      </c>
      <c r="AL182">
        <v>35770</v>
      </c>
      <c r="AM182" t="s">
        <v>114</v>
      </c>
      <c r="AN182" t="s">
        <v>139</v>
      </c>
      <c r="AO182">
        <v>2015</v>
      </c>
      <c r="AP182">
        <v>2006</v>
      </c>
      <c r="AQ182">
        <f t="shared" si="8"/>
        <v>9</v>
      </c>
      <c r="AR182" t="s">
        <v>87</v>
      </c>
    </row>
    <row r="183" spans="1:44" x14ac:dyDescent="0.25">
      <c r="A183">
        <v>426</v>
      </c>
      <c r="B183" t="str">
        <f t="shared" si="6"/>
        <v>10+ years</v>
      </c>
      <c r="C183">
        <v>54</v>
      </c>
      <c r="D183" t="str" cm="1">
        <f t="array" ref="D183">_xlfn.IFS(C183&lt;26, "19-25", C183&lt;33, "26-32", C183&lt;40, "33-39", C183&lt;47, "40-46",C183&lt;54, "47-53", TRUE, "54+")</f>
        <v>54+</v>
      </c>
      <c r="E183">
        <v>398102</v>
      </c>
      <c r="F183" s="1">
        <v>35727</v>
      </c>
      <c r="G183" t="s">
        <v>88</v>
      </c>
      <c r="H183" t="s">
        <v>96</v>
      </c>
      <c r="I183">
        <v>2000</v>
      </c>
      <c r="J183">
        <v>1097.71</v>
      </c>
      <c r="K183">
        <v>0</v>
      </c>
      <c r="L183">
        <v>605258</v>
      </c>
      <c r="M183" t="s">
        <v>75</v>
      </c>
      <c r="N183" t="s">
        <v>129</v>
      </c>
      <c r="O183" t="s">
        <v>190</v>
      </c>
      <c r="P183" t="s">
        <v>64</v>
      </c>
      <c r="Q183" t="s">
        <v>147</v>
      </c>
      <c r="R183">
        <v>29600</v>
      </c>
      <c r="S183">
        <v>-22300</v>
      </c>
      <c r="T183" s="1">
        <v>42016</v>
      </c>
      <c r="U183" t="s">
        <v>51</v>
      </c>
      <c r="V183" t="s">
        <v>52</v>
      </c>
      <c r="W183" t="s">
        <v>68</v>
      </c>
      <c r="X183" t="s">
        <v>54</v>
      </c>
      <c r="Y183" t="s">
        <v>55</v>
      </c>
      <c r="Z183" t="s">
        <v>107</v>
      </c>
      <c r="AA183" t="s">
        <v>364</v>
      </c>
      <c r="AB183">
        <v>13</v>
      </c>
      <c r="AC183" t="str">
        <f t="shared" si="7"/>
        <v>Afternoon</v>
      </c>
      <c r="AD183">
        <v>1</v>
      </c>
      <c r="AE183" t="s">
        <v>58</v>
      </c>
      <c r="AF183">
        <v>2</v>
      </c>
      <c r="AG183">
        <v>3</v>
      </c>
      <c r="AH183" t="s">
        <v>67</v>
      </c>
      <c r="AI183">
        <v>100800</v>
      </c>
      <c r="AJ183">
        <v>16800</v>
      </c>
      <c r="AK183">
        <v>16800</v>
      </c>
      <c r="AL183">
        <v>67200</v>
      </c>
      <c r="AM183" t="s">
        <v>85</v>
      </c>
      <c r="AN183" t="s">
        <v>149</v>
      </c>
      <c r="AO183">
        <v>2015</v>
      </c>
      <c r="AP183">
        <v>1997</v>
      </c>
      <c r="AQ183">
        <f t="shared" si="8"/>
        <v>18</v>
      </c>
      <c r="AR183" t="s">
        <v>87</v>
      </c>
    </row>
    <row r="184" spans="1:44" x14ac:dyDescent="0.25">
      <c r="A184">
        <v>111</v>
      </c>
      <c r="B184" t="str">
        <f t="shared" si="6"/>
        <v>5-10 years</v>
      </c>
      <c r="C184">
        <v>27</v>
      </c>
      <c r="D184" t="str" cm="1">
        <f t="array" ref="D184">_xlfn.IFS(C184&lt;26, "19-25", C184&lt;33, "26-32", C184&lt;40, "33-39", C184&lt;47, "40-46",C184&lt;54, "47-53", TRUE, "54+")</f>
        <v>26-32</v>
      </c>
      <c r="E184">
        <v>514065</v>
      </c>
      <c r="F184" s="1">
        <v>39817</v>
      </c>
      <c r="G184" t="s">
        <v>62</v>
      </c>
      <c r="H184" t="s">
        <v>45</v>
      </c>
      <c r="I184">
        <v>500</v>
      </c>
      <c r="J184">
        <v>1363.77</v>
      </c>
      <c r="K184">
        <v>4000000</v>
      </c>
      <c r="L184">
        <v>604377</v>
      </c>
      <c r="M184" t="s">
        <v>75</v>
      </c>
      <c r="N184" t="s">
        <v>129</v>
      </c>
      <c r="O184" t="s">
        <v>102</v>
      </c>
      <c r="P184" t="s">
        <v>269</v>
      </c>
      <c r="Q184" t="s">
        <v>50</v>
      </c>
      <c r="R184">
        <v>51100</v>
      </c>
      <c r="S184">
        <v>0</v>
      </c>
      <c r="T184" s="1">
        <v>42021</v>
      </c>
      <c r="U184" t="s">
        <v>51</v>
      </c>
      <c r="V184" t="s">
        <v>52</v>
      </c>
      <c r="W184" t="s">
        <v>112</v>
      </c>
      <c r="X184" t="s">
        <v>54</v>
      </c>
      <c r="Y184" t="s">
        <v>69</v>
      </c>
      <c r="Z184" t="s">
        <v>107</v>
      </c>
      <c r="AA184" t="s">
        <v>365</v>
      </c>
      <c r="AB184">
        <v>12</v>
      </c>
      <c r="AC184" t="str">
        <f t="shared" si="7"/>
        <v>Afternoon</v>
      </c>
      <c r="AD184">
        <v>1</v>
      </c>
      <c r="AE184" t="s">
        <v>58</v>
      </c>
      <c r="AF184">
        <v>2</v>
      </c>
      <c r="AG184">
        <v>3</v>
      </c>
      <c r="AH184" t="s">
        <v>84</v>
      </c>
      <c r="AI184">
        <v>90970</v>
      </c>
      <c r="AJ184">
        <v>16540</v>
      </c>
      <c r="AK184">
        <v>16540</v>
      </c>
      <c r="AL184">
        <v>57890</v>
      </c>
      <c r="AM184" t="s">
        <v>100</v>
      </c>
      <c r="AN184" t="s">
        <v>101</v>
      </c>
      <c r="AO184">
        <v>2015</v>
      </c>
      <c r="AP184">
        <v>2009</v>
      </c>
      <c r="AQ184">
        <f t="shared" si="8"/>
        <v>6</v>
      </c>
      <c r="AR184" t="s">
        <v>87</v>
      </c>
    </row>
    <row r="185" spans="1:44" x14ac:dyDescent="0.25">
      <c r="A185">
        <v>86</v>
      </c>
      <c r="B185" t="str">
        <f t="shared" si="6"/>
        <v>5-10 years</v>
      </c>
      <c r="C185">
        <v>26</v>
      </c>
      <c r="D185" t="str" cm="1">
        <f t="array" ref="D185">_xlfn.IFS(C185&lt;26, "19-25", C185&lt;33, "26-32", C185&lt;40, "33-39", C185&lt;47, "40-46",C185&lt;54, "47-53", TRUE, "54+")</f>
        <v>26-32</v>
      </c>
      <c r="E185">
        <v>391652</v>
      </c>
      <c r="F185" s="1">
        <v>36080</v>
      </c>
      <c r="G185" t="s">
        <v>44</v>
      </c>
      <c r="H185" t="s">
        <v>74</v>
      </c>
      <c r="I185">
        <v>500</v>
      </c>
      <c r="J185">
        <v>1382.88</v>
      </c>
      <c r="K185">
        <v>7000000</v>
      </c>
      <c r="L185">
        <v>434923</v>
      </c>
      <c r="M185" t="s">
        <v>46</v>
      </c>
      <c r="N185" t="s">
        <v>166</v>
      </c>
      <c r="O185" t="s">
        <v>102</v>
      </c>
      <c r="P185" t="s">
        <v>247</v>
      </c>
      <c r="Q185" t="s">
        <v>65</v>
      </c>
      <c r="R185">
        <v>0</v>
      </c>
      <c r="S185">
        <v>-30300</v>
      </c>
      <c r="T185" s="1">
        <v>42016</v>
      </c>
      <c r="U185" t="s">
        <v>51</v>
      </c>
      <c r="V185" t="s">
        <v>81</v>
      </c>
      <c r="W185" t="s">
        <v>68</v>
      </c>
      <c r="X185" t="s">
        <v>54</v>
      </c>
      <c r="Y185" t="s">
        <v>55</v>
      </c>
      <c r="Z185" t="s">
        <v>132</v>
      </c>
      <c r="AA185" t="s">
        <v>366</v>
      </c>
      <c r="AB185">
        <v>11</v>
      </c>
      <c r="AC185" t="str">
        <f t="shared" si="7"/>
        <v>Morning</v>
      </c>
      <c r="AD185">
        <v>1</v>
      </c>
      <c r="AE185" t="s">
        <v>67</v>
      </c>
      <c r="AF185">
        <v>1</v>
      </c>
      <c r="AG185">
        <v>1</v>
      </c>
      <c r="AH185" t="s">
        <v>58</v>
      </c>
      <c r="AI185">
        <v>81840</v>
      </c>
      <c r="AJ185">
        <v>14880</v>
      </c>
      <c r="AK185">
        <v>7440</v>
      </c>
      <c r="AL185">
        <v>59520</v>
      </c>
      <c r="AM185" t="s">
        <v>94</v>
      </c>
      <c r="AN185" t="s">
        <v>250</v>
      </c>
      <c r="AO185">
        <v>2015</v>
      </c>
      <c r="AP185">
        <v>2011</v>
      </c>
      <c r="AQ185">
        <f t="shared" si="8"/>
        <v>4</v>
      </c>
      <c r="AR185" t="s">
        <v>61</v>
      </c>
    </row>
    <row r="186" spans="1:44" x14ac:dyDescent="0.25">
      <c r="A186">
        <v>296</v>
      </c>
      <c r="B186" t="str">
        <f t="shared" si="6"/>
        <v>10+ years</v>
      </c>
      <c r="C186">
        <v>46</v>
      </c>
      <c r="D186" t="str" cm="1">
        <f t="array" ref="D186">_xlfn.IFS(C186&lt;26, "19-25", C186&lt;33, "26-32", C186&lt;40, "33-39", C186&lt;47, "40-46",C186&lt;54, "47-53", TRUE, "54+")</f>
        <v>40-46</v>
      </c>
      <c r="E186">
        <v>922167</v>
      </c>
      <c r="F186" s="1">
        <v>34023</v>
      </c>
      <c r="G186" t="s">
        <v>44</v>
      </c>
      <c r="H186" t="s">
        <v>74</v>
      </c>
      <c r="I186">
        <v>1000</v>
      </c>
      <c r="J186">
        <v>1141.3499999999999</v>
      </c>
      <c r="K186">
        <v>7000000</v>
      </c>
      <c r="L186">
        <v>476456</v>
      </c>
      <c r="M186" t="s">
        <v>46</v>
      </c>
      <c r="N186" t="s">
        <v>129</v>
      </c>
      <c r="O186" t="s">
        <v>48</v>
      </c>
      <c r="P186" t="s">
        <v>49</v>
      </c>
      <c r="Q186" t="s">
        <v>147</v>
      </c>
      <c r="R186">
        <v>0</v>
      </c>
      <c r="S186">
        <v>0</v>
      </c>
      <c r="T186" s="1">
        <v>42010</v>
      </c>
      <c r="U186" t="s">
        <v>51</v>
      </c>
      <c r="V186" t="s">
        <v>91</v>
      </c>
      <c r="W186" t="s">
        <v>53</v>
      </c>
      <c r="X186" t="s">
        <v>141</v>
      </c>
      <c r="Y186" t="s">
        <v>82</v>
      </c>
      <c r="Z186" t="s">
        <v>132</v>
      </c>
      <c r="AA186" t="s">
        <v>367</v>
      </c>
      <c r="AB186">
        <v>18</v>
      </c>
      <c r="AC186" t="str">
        <f t="shared" si="7"/>
        <v>Evening</v>
      </c>
      <c r="AD186">
        <v>1</v>
      </c>
      <c r="AE186" t="s">
        <v>67</v>
      </c>
      <c r="AF186">
        <v>0</v>
      </c>
      <c r="AG186">
        <v>2</v>
      </c>
      <c r="AH186" t="s">
        <v>84</v>
      </c>
      <c r="AI186">
        <v>54900</v>
      </c>
      <c r="AJ186">
        <v>5490</v>
      </c>
      <c r="AK186">
        <v>5490</v>
      </c>
      <c r="AL186">
        <v>43920</v>
      </c>
      <c r="AM186" t="s">
        <v>72</v>
      </c>
      <c r="AN186" t="s">
        <v>198</v>
      </c>
      <c r="AO186">
        <v>2015</v>
      </c>
      <c r="AP186">
        <v>2013</v>
      </c>
      <c r="AQ186">
        <f t="shared" si="8"/>
        <v>2</v>
      </c>
      <c r="AR186" t="s">
        <v>87</v>
      </c>
    </row>
    <row r="187" spans="1:44" x14ac:dyDescent="0.25">
      <c r="A187">
        <v>125</v>
      </c>
      <c r="B187" t="str">
        <f t="shared" si="6"/>
        <v>10+ years</v>
      </c>
      <c r="C187">
        <v>35</v>
      </c>
      <c r="D187" t="str" cm="1">
        <f t="array" ref="D187">_xlfn.IFS(C187&lt;26, "19-25", C187&lt;33, "26-32", C187&lt;40, "33-39", C187&lt;47, "40-46",C187&lt;54, "47-53", TRUE, "54+")</f>
        <v>33-39</v>
      </c>
      <c r="E187">
        <v>442795</v>
      </c>
      <c r="F187" s="1">
        <v>35253</v>
      </c>
      <c r="G187" t="s">
        <v>44</v>
      </c>
      <c r="H187" t="s">
        <v>96</v>
      </c>
      <c r="I187">
        <v>500</v>
      </c>
      <c r="J187">
        <v>1054.83</v>
      </c>
      <c r="K187">
        <v>7000000</v>
      </c>
      <c r="L187">
        <v>446788</v>
      </c>
      <c r="M187" t="s">
        <v>46</v>
      </c>
      <c r="N187" t="s">
        <v>166</v>
      </c>
      <c r="O187" t="s">
        <v>102</v>
      </c>
      <c r="P187" t="s">
        <v>247</v>
      </c>
      <c r="Q187" t="s">
        <v>50</v>
      </c>
      <c r="R187">
        <v>0</v>
      </c>
      <c r="S187">
        <v>-51300</v>
      </c>
      <c r="T187" s="1">
        <v>42060</v>
      </c>
      <c r="U187" t="s">
        <v>51</v>
      </c>
      <c r="V187" t="s">
        <v>91</v>
      </c>
      <c r="W187" t="s">
        <v>112</v>
      </c>
      <c r="X187" t="s">
        <v>104</v>
      </c>
      <c r="Y187" t="s">
        <v>82</v>
      </c>
      <c r="Z187" t="s">
        <v>132</v>
      </c>
      <c r="AA187" t="s">
        <v>368</v>
      </c>
      <c r="AB187">
        <v>17</v>
      </c>
      <c r="AC187" t="str">
        <f t="shared" si="7"/>
        <v>Afternoon</v>
      </c>
      <c r="AD187">
        <v>1</v>
      </c>
      <c r="AE187" t="s">
        <v>58</v>
      </c>
      <c r="AF187">
        <v>2</v>
      </c>
      <c r="AG187">
        <v>3</v>
      </c>
      <c r="AH187" t="s">
        <v>84</v>
      </c>
      <c r="AI187">
        <v>88660</v>
      </c>
      <c r="AJ187">
        <v>8060</v>
      </c>
      <c r="AK187">
        <v>16120</v>
      </c>
      <c r="AL187">
        <v>64480</v>
      </c>
      <c r="AM187" t="s">
        <v>72</v>
      </c>
      <c r="AN187" t="s">
        <v>198</v>
      </c>
      <c r="AO187">
        <v>2015</v>
      </c>
      <c r="AP187">
        <v>2007</v>
      </c>
      <c r="AQ187">
        <f t="shared" si="8"/>
        <v>8</v>
      </c>
      <c r="AR187" t="s">
        <v>61</v>
      </c>
    </row>
    <row r="188" spans="1:44" x14ac:dyDescent="0.25">
      <c r="A188">
        <v>177</v>
      </c>
      <c r="B188" t="str">
        <f t="shared" si="6"/>
        <v>10+ years</v>
      </c>
      <c r="C188">
        <v>34</v>
      </c>
      <c r="D188" t="str" cm="1">
        <f t="array" ref="D188">_xlfn.IFS(C188&lt;26, "19-25", C188&lt;33, "26-32", C188&lt;40, "33-39", C188&lt;47, "40-46",C188&lt;54, "47-53", TRUE, "54+")</f>
        <v>33-39</v>
      </c>
      <c r="E188">
        <v>226330</v>
      </c>
      <c r="F188" s="1">
        <v>41297</v>
      </c>
      <c r="G188" t="s">
        <v>88</v>
      </c>
      <c r="H188" t="s">
        <v>74</v>
      </c>
      <c r="I188">
        <v>2000</v>
      </c>
      <c r="J188">
        <v>1057.77</v>
      </c>
      <c r="K188">
        <v>0</v>
      </c>
      <c r="L188">
        <v>477382</v>
      </c>
      <c r="M188" t="s">
        <v>75</v>
      </c>
      <c r="N188" t="s">
        <v>166</v>
      </c>
      <c r="O188" t="s">
        <v>102</v>
      </c>
      <c r="P188" t="s">
        <v>103</v>
      </c>
      <c r="Q188" t="s">
        <v>90</v>
      </c>
      <c r="R188">
        <v>0</v>
      </c>
      <c r="S188">
        <v>-57700</v>
      </c>
      <c r="T188" s="1">
        <v>42051</v>
      </c>
      <c r="U188" t="s">
        <v>80</v>
      </c>
      <c r="V188" t="s">
        <v>91</v>
      </c>
      <c r="W188" t="s">
        <v>112</v>
      </c>
      <c r="X188" t="s">
        <v>141</v>
      </c>
      <c r="Y188" t="s">
        <v>126</v>
      </c>
      <c r="Z188" t="s">
        <v>70</v>
      </c>
      <c r="AA188" t="s">
        <v>369</v>
      </c>
      <c r="AB188">
        <v>22</v>
      </c>
      <c r="AC188" t="str">
        <f t="shared" si="7"/>
        <v>Evening</v>
      </c>
      <c r="AD188">
        <v>3</v>
      </c>
      <c r="AE188" t="s">
        <v>67</v>
      </c>
      <c r="AF188">
        <v>1</v>
      </c>
      <c r="AG188">
        <v>1</v>
      </c>
      <c r="AH188" t="s">
        <v>84</v>
      </c>
      <c r="AI188">
        <v>18000</v>
      </c>
      <c r="AJ188">
        <v>2250</v>
      </c>
      <c r="AK188">
        <v>2250</v>
      </c>
      <c r="AL188">
        <v>13500</v>
      </c>
      <c r="AM188" t="s">
        <v>114</v>
      </c>
      <c r="AN188" t="s">
        <v>139</v>
      </c>
      <c r="AO188">
        <v>2015</v>
      </c>
      <c r="AP188">
        <v>2009</v>
      </c>
      <c r="AQ188">
        <f t="shared" si="8"/>
        <v>6</v>
      </c>
      <c r="AR188" t="s">
        <v>87</v>
      </c>
    </row>
    <row r="189" spans="1:44" x14ac:dyDescent="0.25">
      <c r="A189">
        <v>238</v>
      </c>
      <c r="B189" t="str">
        <f t="shared" si="6"/>
        <v>10+ years</v>
      </c>
      <c r="C189">
        <v>39</v>
      </c>
      <c r="D189" t="str" cm="1">
        <f t="array" ref="D189">_xlfn.IFS(C189&lt;26, "19-25", C189&lt;33, "26-32", C189&lt;40, "33-39", C189&lt;47, "40-46",C189&lt;54, "47-53", TRUE, "54+")</f>
        <v>33-39</v>
      </c>
      <c r="E189">
        <v>134430</v>
      </c>
      <c r="F189" s="1">
        <v>39057</v>
      </c>
      <c r="G189" t="s">
        <v>62</v>
      </c>
      <c r="H189" t="s">
        <v>45</v>
      </c>
      <c r="I189">
        <v>2000</v>
      </c>
      <c r="J189">
        <v>1488.02</v>
      </c>
      <c r="K189">
        <v>0</v>
      </c>
      <c r="L189">
        <v>600275</v>
      </c>
      <c r="M189" t="s">
        <v>75</v>
      </c>
      <c r="N189" t="s">
        <v>166</v>
      </c>
      <c r="O189" t="s">
        <v>140</v>
      </c>
      <c r="P189" t="s">
        <v>269</v>
      </c>
      <c r="Q189" t="s">
        <v>65</v>
      </c>
      <c r="R189">
        <v>0</v>
      </c>
      <c r="S189">
        <v>-39200</v>
      </c>
      <c r="T189" s="1">
        <v>42060</v>
      </c>
      <c r="U189" t="s">
        <v>66</v>
      </c>
      <c r="V189" t="s">
        <v>67</v>
      </c>
      <c r="W189" t="s">
        <v>68</v>
      </c>
      <c r="X189" t="s">
        <v>54</v>
      </c>
      <c r="Y189" t="s">
        <v>82</v>
      </c>
      <c r="Z189" t="s">
        <v>161</v>
      </c>
      <c r="AA189" t="s">
        <v>370</v>
      </c>
      <c r="AB189">
        <v>9</v>
      </c>
      <c r="AC189" t="str">
        <f t="shared" si="7"/>
        <v>Morning</v>
      </c>
      <c r="AD189">
        <v>1</v>
      </c>
      <c r="AE189" t="s">
        <v>58</v>
      </c>
      <c r="AF189">
        <v>1</v>
      </c>
      <c r="AG189">
        <v>3</v>
      </c>
      <c r="AH189" t="s">
        <v>58</v>
      </c>
      <c r="AI189">
        <v>5500</v>
      </c>
      <c r="AJ189">
        <v>1100</v>
      </c>
      <c r="AK189">
        <v>550</v>
      </c>
      <c r="AL189">
        <v>3850</v>
      </c>
      <c r="AM189" t="s">
        <v>94</v>
      </c>
      <c r="AN189" t="s">
        <v>95</v>
      </c>
      <c r="AO189">
        <v>2015</v>
      </c>
      <c r="AP189">
        <v>2010</v>
      </c>
      <c r="AQ189">
        <f t="shared" si="8"/>
        <v>5</v>
      </c>
      <c r="AR189" t="s">
        <v>87</v>
      </c>
    </row>
    <row r="190" spans="1:44" x14ac:dyDescent="0.25">
      <c r="A190">
        <v>81</v>
      </c>
      <c r="B190" t="str">
        <f t="shared" si="6"/>
        <v>5-10 years</v>
      </c>
      <c r="C190">
        <v>25</v>
      </c>
      <c r="D190" t="str" cm="1">
        <f t="array" ref="D190">_xlfn.IFS(C190&lt;26, "19-25", C190&lt;33, "26-32", C190&lt;40, "33-39", C190&lt;47, "40-46",C190&lt;54, "47-53", TRUE, "54+")</f>
        <v>19-25</v>
      </c>
      <c r="E190">
        <v>524230</v>
      </c>
      <c r="F190" s="1">
        <v>41693</v>
      </c>
      <c r="G190" t="s">
        <v>62</v>
      </c>
      <c r="H190" t="s">
        <v>74</v>
      </c>
      <c r="I190">
        <v>500</v>
      </c>
      <c r="J190">
        <v>920.3</v>
      </c>
      <c r="K190">
        <v>5000000</v>
      </c>
      <c r="L190">
        <v>461958</v>
      </c>
      <c r="M190" t="s">
        <v>75</v>
      </c>
      <c r="N190" t="s">
        <v>136</v>
      </c>
      <c r="O190" t="s">
        <v>102</v>
      </c>
      <c r="P190" t="s">
        <v>154</v>
      </c>
      <c r="Q190" t="s">
        <v>79</v>
      </c>
      <c r="R190">
        <v>51000</v>
      </c>
      <c r="S190">
        <v>-67900</v>
      </c>
      <c r="T190" s="1">
        <v>42056</v>
      </c>
      <c r="U190" t="s">
        <v>80</v>
      </c>
      <c r="V190" t="s">
        <v>81</v>
      </c>
      <c r="W190" t="s">
        <v>53</v>
      </c>
      <c r="X190" t="s">
        <v>125</v>
      </c>
      <c r="Y190" t="s">
        <v>118</v>
      </c>
      <c r="Z190" t="s">
        <v>127</v>
      </c>
      <c r="AA190" t="s">
        <v>371</v>
      </c>
      <c r="AB190">
        <v>11</v>
      </c>
      <c r="AC190" t="str">
        <f t="shared" si="7"/>
        <v>Morning</v>
      </c>
      <c r="AD190">
        <v>3</v>
      </c>
      <c r="AE190" t="s">
        <v>67</v>
      </c>
      <c r="AF190">
        <v>1</v>
      </c>
      <c r="AG190">
        <v>0</v>
      </c>
      <c r="AH190" t="s">
        <v>67</v>
      </c>
      <c r="AI190">
        <v>73920</v>
      </c>
      <c r="AJ190">
        <v>13440</v>
      </c>
      <c r="AK190">
        <v>6720</v>
      </c>
      <c r="AL190">
        <v>53760</v>
      </c>
      <c r="AM190" t="s">
        <v>214</v>
      </c>
      <c r="AN190" t="s">
        <v>215</v>
      </c>
      <c r="AO190">
        <v>2015</v>
      </c>
      <c r="AP190">
        <v>2003</v>
      </c>
      <c r="AQ190">
        <f t="shared" si="8"/>
        <v>12</v>
      </c>
      <c r="AR190" t="s">
        <v>61</v>
      </c>
    </row>
    <row r="191" spans="1:44" x14ac:dyDescent="0.25">
      <c r="A191">
        <v>128</v>
      </c>
      <c r="B191" t="str">
        <f t="shared" si="6"/>
        <v>10+ years</v>
      </c>
      <c r="C191">
        <v>28</v>
      </c>
      <c r="D191" t="str" cm="1">
        <f t="array" ref="D191">_xlfn.IFS(C191&lt;26, "19-25", C191&lt;33, "26-32", C191&lt;40, "33-39", C191&lt;47, "40-46",C191&lt;54, "47-53", TRUE, "54+")</f>
        <v>26-32</v>
      </c>
      <c r="E191">
        <v>438817</v>
      </c>
      <c r="F191" s="1">
        <v>39402</v>
      </c>
      <c r="G191" t="s">
        <v>44</v>
      </c>
      <c r="H191" t="s">
        <v>96</v>
      </c>
      <c r="I191">
        <v>1000</v>
      </c>
      <c r="J191">
        <v>986.53</v>
      </c>
      <c r="K191">
        <v>0</v>
      </c>
      <c r="L191">
        <v>472720</v>
      </c>
      <c r="M191" t="s">
        <v>75</v>
      </c>
      <c r="N191" t="s">
        <v>136</v>
      </c>
      <c r="O191" t="s">
        <v>190</v>
      </c>
      <c r="P191" t="s">
        <v>178</v>
      </c>
      <c r="Q191" t="s">
        <v>65</v>
      </c>
      <c r="R191">
        <v>62700</v>
      </c>
      <c r="S191">
        <v>0</v>
      </c>
      <c r="T191" s="1">
        <v>42051</v>
      </c>
      <c r="U191" t="s">
        <v>51</v>
      </c>
      <c r="V191" t="s">
        <v>81</v>
      </c>
      <c r="W191" t="s">
        <v>112</v>
      </c>
      <c r="X191" t="s">
        <v>141</v>
      </c>
      <c r="Y191" t="s">
        <v>69</v>
      </c>
      <c r="Z191" t="s">
        <v>56</v>
      </c>
      <c r="AA191" t="s">
        <v>372</v>
      </c>
      <c r="AB191">
        <v>11</v>
      </c>
      <c r="AC191" t="str">
        <f t="shared" si="7"/>
        <v>Morning</v>
      </c>
      <c r="AD191">
        <v>1</v>
      </c>
      <c r="AE191" t="s">
        <v>84</v>
      </c>
      <c r="AF191">
        <v>0</v>
      </c>
      <c r="AG191">
        <v>2</v>
      </c>
      <c r="AH191" t="s">
        <v>58</v>
      </c>
      <c r="AI191">
        <v>101860</v>
      </c>
      <c r="AJ191">
        <v>18520</v>
      </c>
      <c r="AK191">
        <v>18520</v>
      </c>
      <c r="AL191">
        <v>64820</v>
      </c>
      <c r="AM191" t="s">
        <v>214</v>
      </c>
      <c r="AN191" t="s">
        <v>230</v>
      </c>
      <c r="AO191">
        <v>2015</v>
      </c>
      <c r="AP191">
        <v>2007</v>
      </c>
      <c r="AQ191">
        <f t="shared" si="8"/>
        <v>8</v>
      </c>
      <c r="AR191" t="s">
        <v>87</v>
      </c>
    </row>
    <row r="192" spans="1:44" x14ac:dyDescent="0.25">
      <c r="A192">
        <v>449</v>
      </c>
      <c r="B192" t="str">
        <f t="shared" si="6"/>
        <v>10+ years</v>
      </c>
      <c r="C192">
        <v>57</v>
      </c>
      <c r="D192" t="str" cm="1">
        <f t="array" ref="D192">_xlfn.IFS(C192&lt;26, "19-25", C192&lt;33, "26-32", C192&lt;40, "33-39", C192&lt;47, "40-46",C192&lt;54, "47-53", TRUE, "54+")</f>
        <v>54+</v>
      </c>
      <c r="E192">
        <v>293794</v>
      </c>
      <c r="F192" s="1">
        <v>36267</v>
      </c>
      <c r="G192" t="s">
        <v>44</v>
      </c>
      <c r="H192" t="s">
        <v>45</v>
      </c>
      <c r="I192">
        <v>2000</v>
      </c>
      <c r="J192">
        <v>1440.68</v>
      </c>
      <c r="K192">
        <v>0</v>
      </c>
      <c r="L192">
        <v>442395</v>
      </c>
      <c r="M192" t="s">
        <v>46</v>
      </c>
      <c r="N192" t="s">
        <v>97</v>
      </c>
      <c r="O192" t="s">
        <v>102</v>
      </c>
      <c r="P192" t="s">
        <v>151</v>
      </c>
      <c r="Q192" t="s">
        <v>79</v>
      </c>
      <c r="R192">
        <v>25000</v>
      </c>
      <c r="S192">
        <v>0</v>
      </c>
      <c r="T192" s="1">
        <v>42044</v>
      </c>
      <c r="U192" t="s">
        <v>143</v>
      </c>
      <c r="V192" t="s">
        <v>67</v>
      </c>
      <c r="W192" t="s">
        <v>68</v>
      </c>
      <c r="X192" t="s">
        <v>98</v>
      </c>
      <c r="Y192" t="s">
        <v>55</v>
      </c>
      <c r="Z192" t="s">
        <v>70</v>
      </c>
      <c r="AA192" t="s">
        <v>373</v>
      </c>
      <c r="AB192">
        <v>8</v>
      </c>
      <c r="AC192" t="str">
        <f t="shared" si="7"/>
        <v>Morning</v>
      </c>
      <c r="AD192">
        <v>1</v>
      </c>
      <c r="AE192" t="s">
        <v>58</v>
      </c>
      <c r="AF192">
        <v>0</v>
      </c>
      <c r="AG192">
        <v>1</v>
      </c>
      <c r="AH192" t="s">
        <v>58</v>
      </c>
      <c r="AI192">
        <v>5390</v>
      </c>
      <c r="AJ192">
        <v>980</v>
      </c>
      <c r="AK192">
        <v>980</v>
      </c>
      <c r="AL192">
        <v>3430</v>
      </c>
      <c r="AM192" t="s">
        <v>219</v>
      </c>
      <c r="AN192" t="s">
        <v>220</v>
      </c>
      <c r="AO192">
        <v>2015</v>
      </c>
      <c r="AP192">
        <v>2008</v>
      </c>
      <c r="AQ192">
        <f t="shared" si="8"/>
        <v>7</v>
      </c>
      <c r="AR192" t="s">
        <v>87</v>
      </c>
    </row>
    <row r="193" spans="1:44" x14ac:dyDescent="0.25">
      <c r="A193">
        <v>252</v>
      </c>
      <c r="B193" t="str">
        <f t="shared" si="6"/>
        <v>10+ years</v>
      </c>
      <c r="C193">
        <v>39</v>
      </c>
      <c r="D193" t="str" cm="1">
        <f t="array" ref="D193">_xlfn.IFS(C193&lt;26, "19-25", C193&lt;33, "26-32", C193&lt;40, "33-39", C193&lt;47, "40-46",C193&lt;54, "47-53", TRUE, "54+")</f>
        <v>33-39</v>
      </c>
      <c r="E193">
        <v>868283</v>
      </c>
      <c r="F193" s="1">
        <v>38754</v>
      </c>
      <c r="G193" t="s">
        <v>62</v>
      </c>
      <c r="H193" t="s">
        <v>45</v>
      </c>
      <c r="I193">
        <v>1000</v>
      </c>
      <c r="J193">
        <v>1086.21</v>
      </c>
      <c r="K193">
        <v>0</v>
      </c>
      <c r="L193">
        <v>455340</v>
      </c>
      <c r="M193" t="s">
        <v>46</v>
      </c>
      <c r="N193" t="s">
        <v>166</v>
      </c>
      <c r="O193" t="s">
        <v>194</v>
      </c>
      <c r="P193" t="s">
        <v>154</v>
      </c>
      <c r="Q193" t="s">
        <v>90</v>
      </c>
      <c r="R193">
        <v>68500</v>
      </c>
      <c r="S193">
        <v>-57500</v>
      </c>
      <c r="T193" s="1">
        <v>42048</v>
      </c>
      <c r="U193" t="s">
        <v>51</v>
      </c>
      <c r="V193" t="s">
        <v>52</v>
      </c>
      <c r="W193" t="s">
        <v>68</v>
      </c>
      <c r="X193" t="s">
        <v>54</v>
      </c>
      <c r="Y193" t="s">
        <v>55</v>
      </c>
      <c r="Z193" t="s">
        <v>107</v>
      </c>
      <c r="AA193" t="s">
        <v>374</v>
      </c>
      <c r="AB193">
        <v>18</v>
      </c>
      <c r="AC193" t="str">
        <f t="shared" si="7"/>
        <v>Evening</v>
      </c>
      <c r="AD193">
        <v>1</v>
      </c>
      <c r="AE193" t="s">
        <v>67</v>
      </c>
      <c r="AF193">
        <v>1</v>
      </c>
      <c r="AG193">
        <v>2</v>
      </c>
      <c r="AH193" t="s">
        <v>67</v>
      </c>
      <c r="AI193">
        <v>50490</v>
      </c>
      <c r="AJ193">
        <v>5610</v>
      </c>
      <c r="AK193">
        <v>5610</v>
      </c>
      <c r="AL193">
        <v>39270</v>
      </c>
      <c r="AM193" t="s">
        <v>109</v>
      </c>
      <c r="AN193" t="s">
        <v>156</v>
      </c>
      <c r="AO193">
        <v>2015</v>
      </c>
      <c r="AP193">
        <v>2001</v>
      </c>
      <c r="AQ193">
        <f t="shared" si="8"/>
        <v>14</v>
      </c>
      <c r="AR193" t="s">
        <v>87</v>
      </c>
    </row>
    <row r="194" spans="1:44" x14ac:dyDescent="0.25">
      <c r="A194">
        <v>359</v>
      </c>
      <c r="B194" t="str">
        <f t="shared" si="6"/>
        <v>10+ years</v>
      </c>
      <c r="C194">
        <v>47</v>
      </c>
      <c r="D194" t="str" cm="1">
        <f t="array" ref="D194">_xlfn.IFS(C194&lt;26, "19-25", C194&lt;33, "26-32", C194&lt;40, "33-39", C194&lt;47, "40-46",C194&lt;54, "47-53", TRUE, "54+")</f>
        <v>47-53</v>
      </c>
      <c r="E194">
        <v>828890</v>
      </c>
      <c r="F194" s="1">
        <v>34262</v>
      </c>
      <c r="G194" t="s">
        <v>44</v>
      </c>
      <c r="H194" t="s">
        <v>74</v>
      </c>
      <c r="I194">
        <v>2000</v>
      </c>
      <c r="J194">
        <v>1367.68</v>
      </c>
      <c r="K194">
        <v>0</v>
      </c>
      <c r="L194">
        <v>613247</v>
      </c>
      <c r="M194" t="s">
        <v>75</v>
      </c>
      <c r="N194" t="s">
        <v>47</v>
      </c>
      <c r="O194" t="s">
        <v>164</v>
      </c>
      <c r="P194" t="s">
        <v>184</v>
      </c>
      <c r="Q194" t="s">
        <v>90</v>
      </c>
      <c r="R194">
        <v>0</v>
      </c>
      <c r="S194">
        <v>0</v>
      </c>
      <c r="T194" s="1">
        <v>42015</v>
      </c>
      <c r="U194" t="s">
        <v>51</v>
      </c>
      <c r="V194" t="s">
        <v>91</v>
      </c>
      <c r="W194" t="s">
        <v>112</v>
      </c>
      <c r="X194" t="s">
        <v>54</v>
      </c>
      <c r="Y194" t="s">
        <v>55</v>
      </c>
      <c r="Z194" t="s">
        <v>92</v>
      </c>
      <c r="AA194" t="s">
        <v>375</v>
      </c>
      <c r="AB194">
        <v>13</v>
      </c>
      <c r="AC194" t="str">
        <f t="shared" si="7"/>
        <v>Afternoon</v>
      </c>
      <c r="AD194">
        <v>1</v>
      </c>
      <c r="AE194" t="s">
        <v>84</v>
      </c>
      <c r="AF194">
        <v>0</v>
      </c>
      <c r="AG194">
        <v>3</v>
      </c>
      <c r="AH194" t="s">
        <v>84</v>
      </c>
      <c r="AI194">
        <v>55500</v>
      </c>
      <c r="AJ194">
        <v>5550</v>
      </c>
      <c r="AK194">
        <v>11100</v>
      </c>
      <c r="AL194">
        <v>38850</v>
      </c>
      <c r="AM194" t="s">
        <v>72</v>
      </c>
      <c r="AN194" t="s">
        <v>198</v>
      </c>
      <c r="AO194">
        <v>2015</v>
      </c>
      <c r="AP194">
        <v>2012</v>
      </c>
      <c r="AQ194">
        <f t="shared" si="8"/>
        <v>3</v>
      </c>
      <c r="AR194" t="s">
        <v>87</v>
      </c>
    </row>
    <row r="195" spans="1:44" x14ac:dyDescent="0.25">
      <c r="A195">
        <v>19</v>
      </c>
      <c r="B195" t="str">
        <f t="shared" ref="B195:B258" si="9">IF(A195&lt;=24, "0-2 years", IF(A195&lt;=60, "2-5 years", IF(A195&lt;=120, "5-10 years", "10+ years")))</f>
        <v>0-2 years</v>
      </c>
      <c r="C195">
        <v>32</v>
      </c>
      <c r="D195" t="str" cm="1">
        <f t="array" ref="D195">_xlfn.IFS(C195&lt;26, "19-25", C195&lt;33, "26-32", C195&lt;40, "33-39", C195&lt;47, "40-46",C195&lt;54, "47-53", TRUE, "54+")</f>
        <v>26-32</v>
      </c>
      <c r="E195">
        <v>882920</v>
      </c>
      <c r="F195" s="1">
        <v>38718</v>
      </c>
      <c r="G195" t="s">
        <v>44</v>
      </c>
      <c r="H195" t="s">
        <v>96</v>
      </c>
      <c r="I195">
        <v>1000</v>
      </c>
      <c r="J195">
        <v>1215.8499999999999</v>
      </c>
      <c r="K195">
        <v>0</v>
      </c>
      <c r="L195">
        <v>454985</v>
      </c>
      <c r="M195" t="s">
        <v>46</v>
      </c>
      <c r="N195" t="s">
        <v>136</v>
      </c>
      <c r="O195" t="s">
        <v>116</v>
      </c>
      <c r="P195" t="s">
        <v>154</v>
      </c>
      <c r="Q195" t="s">
        <v>50</v>
      </c>
      <c r="R195">
        <v>42900</v>
      </c>
      <c r="S195">
        <v>-90200</v>
      </c>
      <c r="T195" s="1">
        <v>42006</v>
      </c>
      <c r="U195" t="s">
        <v>66</v>
      </c>
      <c r="V195" t="s">
        <v>67</v>
      </c>
      <c r="W195" t="s">
        <v>68</v>
      </c>
      <c r="X195" t="s">
        <v>54</v>
      </c>
      <c r="Y195" t="s">
        <v>69</v>
      </c>
      <c r="Z195" t="s">
        <v>127</v>
      </c>
      <c r="AA195" t="s">
        <v>376</v>
      </c>
      <c r="AB195">
        <v>8</v>
      </c>
      <c r="AC195" t="str">
        <f t="shared" ref="AC195:AC258" si="10">IF(AB195&lt;6, "Night", IF(AB195&lt;12, "Morning", IF(AB195&lt;18, "Afternoon", "Evening")))</f>
        <v>Morning</v>
      </c>
      <c r="AD195">
        <v>1</v>
      </c>
      <c r="AE195" t="s">
        <v>58</v>
      </c>
      <c r="AF195">
        <v>1</v>
      </c>
      <c r="AG195">
        <v>1</v>
      </c>
      <c r="AH195" t="s">
        <v>58</v>
      </c>
      <c r="AI195">
        <v>7040</v>
      </c>
      <c r="AJ195">
        <v>1280</v>
      </c>
      <c r="AK195">
        <v>640</v>
      </c>
      <c r="AL195">
        <v>5120</v>
      </c>
      <c r="AM195" t="s">
        <v>109</v>
      </c>
      <c r="AN195" t="s">
        <v>156</v>
      </c>
      <c r="AO195">
        <v>2015</v>
      </c>
      <c r="AP195">
        <v>2015</v>
      </c>
      <c r="AQ195">
        <f t="shared" ref="AQ195:AQ258" si="11">AO195-AP195</f>
        <v>0</v>
      </c>
      <c r="AR195" t="s">
        <v>87</v>
      </c>
    </row>
    <row r="196" spans="1:44" x14ac:dyDescent="0.25">
      <c r="A196">
        <v>73</v>
      </c>
      <c r="B196" t="str">
        <f t="shared" si="9"/>
        <v>5-10 years</v>
      </c>
      <c r="C196">
        <v>26</v>
      </c>
      <c r="D196" t="str" cm="1">
        <f t="array" ref="D196">_xlfn.IFS(C196&lt;26, "19-25", C196&lt;33, "26-32", C196&lt;40, "33-39", C196&lt;47, "40-46",C196&lt;54, "47-53", TRUE, "54+")</f>
        <v>26-32</v>
      </c>
      <c r="E196">
        <v>918777</v>
      </c>
      <c r="F196" s="1">
        <v>37715</v>
      </c>
      <c r="G196" t="s">
        <v>88</v>
      </c>
      <c r="H196" t="s">
        <v>45</v>
      </c>
      <c r="I196">
        <v>2000</v>
      </c>
      <c r="J196">
        <v>1191.19</v>
      </c>
      <c r="K196">
        <v>4000000</v>
      </c>
      <c r="L196">
        <v>468813</v>
      </c>
      <c r="M196" t="s">
        <v>46</v>
      </c>
      <c r="N196" t="s">
        <v>47</v>
      </c>
      <c r="O196" t="s">
        <v>194</v>
      </c>
      <c r="P196" t="s">
        <v>184</v>
      </c>
      <c r="Q196" t="s">
        <v>147</v>
      </c>
      <c r="R196">
        <v>29300</v>
      </c>
      <c r="S196">
        <v>0</v>
      </c>
      <c r="T196" s="1">
        <v>42047</v>
      </c>
      <c r="U196" t="s">
        <v>80</v>
      </c>
      <c r="V196" t="s">
        <v>81</v>
      </c>
      <c r="W196" t="s">
        <v>112</v>
      </c>
      <c r="X196" t="s">
        <v>125</v>
      </c>
      <c r="Y196" t="s">
        <v>69</v>
      </c>
      <c r="Z196" t="s">
        <v>161</v>
      </c>
      <c r="AA196" t="s">
        <v>377</v>
      </c>
      <c r="AB196">
        <v>9</v>
      </c>
      <c r="AC196" t="str">
        <f t="shared" si="10"/>
        <v>Morning</v>
      </c>
      <c r="AD196">
        <v>3</v>
      </c>
      <c r="AE196" t="s">
        <v>67</v>
      </c>
      <c r="AF196">
        <v>0</v>
      </c>
      <c r="AG196">
        <v>1</v>
      </c>
      <c r="AH196" t="s">
        <v>58</v>
      </c>
      <c r="AI196">
        <v>40160</v>
      </c>
      <c r="AJ196">
        <v>5020</v>
      </c>
      <c r="AK196">
        <v>0</v>
      </c>
      <c r="AL196">
        <v>35140</v>
      </c>
      <c r="AM196" t="s">
        <v>94</v>
      </c>
      <c r="AN196" t="s">
        <v>95</v>
      </c>
      <c r="AO196">
        <v>2015</v>
      </c>
      <c r="AP196">
        <v>2003</v>
      </c>
      <c r="AQ196">
        <f t="shared" si="11"/>
        <v>12</v>
      </c>
      <c r="AR196" t="s">
        <v>87</v>
      </c>
    </row>
    <row r="197" spans="1:44" x14ac:dyDescent="0.25">
      <c r="A197">
        <v>285</v>
      </c>
      <c r="B197" t="str">
        <f t="shared" si="9"/>
        <v>10+ years</v>
      </c>
      <c r="C197">
        <v>44</v>
      </c>
      <c r="D197" t="str" cm="1">
        <f t="array" ref="D197">_xlfn.IFS(C197&lt;26, "19-25", C197&lt;33, "26-32", C197&lt;40, "33-39", C197&lt;47, "40-46",C197&lt;54, "47-53", TRUE, "54+")</f>
        <v>40-46</v>
      </c>
      <c r="E197">
        <v>212580</v>
      </c>
      <c r="F197" s="1">
        <v>41825</v>
      </c>
      <c r="G197" t="s">
        <v>88</v>
      </c>
      <c r="H197" t="s">
        <v>96</v>
      </c>
      <c r="I197">
        <v>1000</v>
      </c>
      <c r="J197">
        <v>1594.45</v>
      </c>
      <c r="K197">
        <v>0</v>
      </c>
      <c r="L197">
        <v>452747</v>
      </c>
      <c r="M197" t="s">
        <v>46</v>
      </c>
      <c r="N197" t="s">
        <v>136</v>
      </c>
      <c r="O197" t="s">
        <v>164</v>
      </c>
      <c r="P197" t="s">
        <v>103</v>
      </c>
      <c r="Q197" t="s">
        <v>50</v>
      </c>
      <c r="R197">
        <v>0</v>
      </c>
      <c r="S197">
        <v>0</v>
      </c>
      <c r="T197" s="1">
        <v>42040</v>
      </c>
      <c r="U197" t="s">
        <v>80</v>
      </c>
      <c r="V197" t="s">
        <v>52</v>
      </c>
      <c r="W197" t="s">
        <v>112</v>
      </c>
      <c r="X197" t="s">
        <v>104</v>
      </c>
      <c r="Y197" t="s">
        <v>126</v>
      </c>
      <c r="Z197" t="s">
        <v>56</v>
      </c>
      <c r="AA197" t="s">
        <v>378</v>
      </c>
      <c r="AB197">
        <v>17</v>
      </c>
      <c r="AC197" t="str">
        <f t="shared" si="10"/>
        <v>Afternoon</v>
      </c>
      <c r="AD197">
        <v>2</v>
      </c>
      <c r="AE197" t="s">
        <v>58</v>
      </c>
      <c r="AF197">
        <v>2</v>
      </c>
      <c r="AG197">
        <v>3</v>
      </c>
      <c r="AH197" t="s">
        <v>84</v>
      </c>
      <c r="AI197">
        <v>55680</v>
      </c>
      <c r="AJ197">
        <v>6960</v>
      </c>
      <c r="AK197">
        <v>6960</v>
      </c>
      <c r="AL197">
        <v>41760</v>
      </c>
      <c r="AM197" t="s">
        <v>59</v>
      </c>
      <c r="AN197">
        <v>95</v>
      </c>
      <c r="AO197">
        <v>2015</v>
      </c>
      <c r="AP197">
        <v>2006</v>
      </c>
      <c r="AQ197">
        <f t="shared" si="11"/>
        <v>9</v>
      </c>
      <c r="AR197" t="s">
        <v>87</v>
      </c>
    </row>
    <row r="198" spans="1:44" x14ac:dyDescent="0.25">
      <c r="A198">
        <v>196</v>
      </c>
      <c r="B198" t="str">
        <f t="shared" si="9"/>
        <v>10+ years</v>
      </c>
      <c r="C198">
        <v>36</v>
      </c>
      <c r="D198" t="str" cm="1">
        <f t="array" ref="D198">_xlfn.IFS(C198&lt;26, "19-25", C198&lt;33, "26-32", C198&lt;40, "33-39", C198&lt;47, "40-46",C198&lt;54, "47-53", TRUE, "54+")</f>
        <v>33-39</v>
      </c>
      <c r="E198">
        <v>602410</v>
      </c>
      <c r="F198" s="1">
        <v>35080</v>
      </c>
      <c r="G198" t="s">
        <v>62</v>
      </c>
      <c r="H198" t="s">
        <v>45</v>
      </c>
      <c r="I198">
        <v>2000</v>
      </c>
      <c r="J198">
        <v>1463.07</v>
      </c>
      <c r="K198">
        <v>0</v>
      </c>
      <c r="L198">
        <v>615611</v>
      </c>
      <c r="M198" t="s">
        <v>46</v>
      </c>
      <c r="N198" t="s">
        <v>47</v>
      </c>
      <c r="O198" t="s">
        <v>89</v>
      </c>
      <c r="P198" t="s">
        <v>137</v>
      </c>
      <c r="Q198" t="s">
        <v>79</v>
      </c>
      <c r="R198">
        <v>0</v>
      </c>
      <c r="S198">
        <v>0</v>
      </c>
      <c r="T198" s="1">
        <v>42028</v>
      </c>
      <c r="U198" t="s">
        <v>66</v>
      </c>
      <c r="V198" t="s">
        <v>67</v>
      </c>
      <c r="W198" t="s">
        <v>217</v>
      </c>
      <c r="X198" t="s">
        <v>54</v>
      </c>
      <c r="Y198" t="s">
        <v>118</v>
      </c>
      <c r="Z198" t="s">
        <v>107</v>
      </c>
      <c r="AA198" t="s">
        <v>379</v>
      </c>
      <c r="AB198">
        <v>3</v>
      </c>
      <c r="AC198" t="str">
        <f t="shared" si="10"/>
        <v>Night</v>
      </c>
      <c r="AD198">
        <v>1</v>
      </c>
      <c r="AE198" t="s">
        <v>67</v>
      </c>
      <c r="AF198">
        <v>1</v>
      </c>
      <c r="AG198">
        <v>1</v>
      </c>
      <c r="AH198" t="s">
        <v>84</v>
      </c>
      <c r="AI198">
        <v>5300</v>
      </c>
      <c r="AJ198">
        <v>530</v>
      </c>
      <c r="AK198">
        <v>530</v>
      </c>
      <c r="AL198">
        <v>4240</v>
      </c>
      <c r="AM198" t="s">
        <v>202</v>
      </c>
      <c r="AN198" t="s">
        <v>380</v>
      </c>
      <c r="AO198">
        <v>2015</v>
      </c>
      <c r="AP198">
        <v>2001</v>
      </c>
      <c r="AQ198">
        <f t="shared" si="11"/>
        <v>14</v>
      </c>
      <c r="AR198" t="s">
        <v>61</v>
      </c>
    </row>
    <row r="199" spans="1:44" x14ac:dyDescent="0.25">
      <c r="A199">
        <v>223</v>
      </c>
      <c r="B199" t="str">
        <f t="shared" si="9"/>
        <v>10+ years</v>
      </c>
      <c r="C199">
        <v>43</v>
      </c>
      <c r="D199" t="str" cm="1">
        <f t="array" ref="D199">_xlfn.IFS(C199&lt;26, "19-25", C199&lt;33, "26-32", C199&lt;40, "33-39", C199&lt;47, "40-46",C199&lt;54, "47-53", TRUE, "54+")</f>
        <v>40-46</v>
      </c>
      <c r="E199">
        <v>976971</v>
      </c>
      <c r="F199" s="1">
        <v>37365</v>
      </c>
      <c r="G199" t="s">
        <v>44</v>
      </c>
      <c r="H199" t="s">
        <v>45</v>
      </c>
      <c r="I199">
        <v>500</v>
      </c>
      <c r="J199">
        <v>1734.09</v>
      </c>
      <c r="K199">
        <v>0</v>
      </c>
      <c r="L199">
        <v>451400</v>
      </c>
      <c r="M199" t="s">
        <v>75</v>
      </c>
      <c r="N199" t="s">
        <v>47</v>
      </c>
      <c r="O199" t="s">
        <v>190</v>
      </c>
      <c r="P199" t="s">
        <v>123</v>
      </c>
      <c r="Q199" t="s">
        <v>147</v>
      </c>
      <c r="R199">
        <v>0</v>
      </c>
      <c r="S199">
        <v>0</v>
      </c>
      <c r="T199" s="1">
        <v>42016</v>
      </c>
      <c r="U199" t="s">
        <v>143</v>
      </c>
      <c r="V199" t="s">
        <v>67</v>
      </c>
      <c r="W199" t="s">
        <v>217</v>
      </c>
      <c r="X199" t="s">
        <v>98</v>
      </c>
      <c r="Y199" t="s">
        <v>118</v>
      </c>
      <c r="Z199" t="s">
        <v>92</v>
      </c>
      <c r="AA199" t="s">
        <v>381</v>
      </c>
      <c r="AB199">
        <v>6</v>
      </c>
      <c r="AC199" t="str">
        <f t="shared" si="10"/>
        <v>Morning</v>
      </c>
      <c r="AD199">
        <v>1</v>
      </c>
      <c r="AE199" t="s">
        <v>58</v>
      </c>
      <c r="AF199">
        <v>0</v>
      </c>
      <c r="AG199">
        <v>3</v>
      </c>
      <c r="AH199" t="s">
        <v>67</v>
      </c>
      <c r="AI199">
        <v>5200</v>
      </c>
      <c r="AJ199">
        <v>650</v>
      </c>
      <c r="AK199">
        <v>650</v>
      </c>
      <c r="AL199">
        <v>3900</v>
      </c>
      <c r="AM199" t="s">
        <v>100</v>
      </c>
      <c r="AN199" t="s">
        <v>153</v>
      </c>
      <c r="AO199">
        <v>2015</v>
      </c>
      <c r="AP199">
        <v>2006</v>
      </c>
      <c r="AQ199">
        <f t="shared" si="11"/>
        <v>9</v>
      </c>
      <c r="AR199" t="s">
        <v>87</v>
      </c>
    </row>
    <row r="200" spans="1:44" x14ac:dyDescent="0.25">
      <c r="A200">
        <v>328</v>
      </c>
      <c r="B200" t="str">
        <f t="shared" si="9"/>
        <v>10+ years</v>
      </c>
      <c r="C200">
        <v>48</v>
      </c>
      <c r="D200" t="str" cm="1">
        <f t="array" ref="D200">_xlfn.IFS(C200&lt;26, "19-25", C200&lt;33, "26-32", C200&lt;40, "33-39", C200&lt;47, "40-46",C200&lt;54, "47-53", TRUE, "54+")</f>
        <v>47-53</v>
      </c>
      <c r="E200">
        <v>630226</v>
      </c>
      <c r="F200" s="1">
        <v>38696</v>
      </c>
      <c r="G200" t="s">
        <v>88</v>
      </c>
      <c r="H200" t="s">
        <v>45</v>
      </c>
      <c r="I200">
        <v>500</v>
      </c>
      <c r="J200">
        <v>1411.43</v>
      </c>
      <c r="K200">
        <v>0</v>
      </c>
      <c r="L200">
        <v>464874</v>
      </c>
      <c r="M200" t="s">
        <v>46</v>
      </c>
      <c r="N200" t="s">
        <v>129</v>
      </c>
      <c r="O200" t="s">
        <v>89</v>
      </c>
      <c r="P200" t="s">
        <v>103</v>
      </c>
      <c r="Q200" t="s">
        <v>79</v>
      </c>
      <c r="R200">
        <v>45100</v>
      </c>
      <c r="S200">
        <v>-32800</v>
      </c>
      <c r="T200" s="1">
        <v>42020</v>
      </c>
      <c r="U200" t="s">
        <v>51</v>
      </c>
      <c r="V200" t="s">
        <v>91</v>
      </c>
      <c r="W200" t="s">
        <v>53</v>
      </c>
      <c r="X200" t="s">
        <v>141</v>
      </c>
      <c r="Y200" t="s">
        <v>82</v>
      </c>
      <c r="Z200" t="s">
        <v>70</v>
      </c>
      <c r="AA200" t="s">
        <v>382</v>
      </c>
      <c r="AB200">
        <v>17</v>
      </c>
      <c r="AC200" t="str">
        <f t="shared" si="10"/>
        <v>Afternoon</v>
      </c>
      <c r="AD200">
        <v>1</v>
      </c>
      <c r="AE200" t="s">
        <v>58</v>
      </c>
      <c r="AF200">
        <v>2</v>
      </c>
      <c r="AG200">
        <v>1</v>
      </c>
      <c r="AH200" t="s">
        <v>84</v>
      </c>
      <c r="AI200">
        <v>59400</v>
      </c>
      <c r="AJ200">
        <v>5940</v>
      </c>
      <c r="AK200">
        <v>11880</v>
      </c>
      <c r="AL200">
        <v>41580</v>
      </c>
      <c r="AM200" t="s">
        <v>214</v>
      </c>
      <c r="AN200" t="s">
        <v>215</v>
      </c>
      <c r="AO200">
        <v>2015</v>
      </c>
      <c r="AP200">
        <v>2014</v>
      </c>
      <c r="AQ200">
        <f t="shared" si="11"/>
        <v>1</v>
      </c>
      <c r="AR200" t="s">
        <v>87</v>
      </c>
    </row>
    <row r="201" spans="1:44" x14ac:dyDescent="0.25">
      <c r="A201">
        <v>285</v>
      </c>
      <c r="B201" t="str">
        <f t="shared" si="9"/>
        <v>10+ years</v>
      </c>
      <c r="C201">
        <v>43</v>
      </c>
      <c r="D201" t="str" cm="1">
        <f t="array" ref="D201">_xlfn.IFS(C201&lt;26, "19-25", C201&lt;33, "26-32", C201&lt;40, "33-39", C201&lt;47, "40-46",C201&lt;54, "47-53", TRUE, "54+")</f>
        <v>40-46</v>
      </c>
      <c r="E201">
        <v>171254</v>
      </c>
      <c r="F201" s="1">
        <v>34645</v>
      </c>
      <c r="G201" t="s">
        <v>44</v>
      </c>
      <c r="H201" t="s">
        <v>74</v>
      </c>
      <c r="I201">
        <v>2000</v>
      </c>
      <c r="J201">
        <v>1512.58</v>
      </c>
      <c r="K201">
        <v>0</v>
      </c>
      <c r="L201">
        <v>452496</v>
      </c>
      <c r="M201" t="s">
        <v>75</v>
      </c>
      <c r="N201" t="s">
        <v>146</v>
      </c>
      <c r="O201" t="s">
        <v>77</v>
      </c>
      <c r="P201" t="s">
        <v>170</v>
      </c>
      <c r="Q201" t="s">
        <v>65</v>
      </c>
      <c r="R201">
        <v>47600</v>
      </c>
      <c r="S201">
        <v>0</v>
      </c>
      <c r="T201" s="1">
        <v>42017</v>
      </c>
      <c r="U201" t="s">
        <v>66</v>
      </c>
      <c r="V201" t="s">
        <v>67</v>
      </c>
      <c r="W201" t="s">
        <v>68</v>
      </c>
      <c r="X201" t="s">
        <v>54</v>
      </c>
      <c r="Y201" t="s">
        <v>55</v>
      </c>
      <c r="Z201" t="s">
        <v>92</v>
      </c>
      <c r="AA201" t="s">
        <v>383</v>
      </c>
      <c r="AB201">
        <v>7</v>
      </c>
      <c r="AC201" t="str">
        <f t="shared" si="10"/>
        <v>Morning</v>
      </c>
      <c r="AD201">
        <v>1</v>
      </c>
      <c r="AE201" t="s">
        <v>67</v>
      </c>
      <c r="AF201">
        <v>1</v>
      </c>
      <c r="AG201">
        <v>1</v>
      </c>
      <c r="AH201" t="s">
        <v>67</v>
      </c>
      <c r="AI201">
        <v>2520</v>
      </c>
      <c r="AJ201">
        <v>280</v>
      </c>
      <c r="AK201">
        <v>280</v>
      </c>
      <c r="AL201">
        <v>1960</v>
      </c>
      <c r="AM201" t="s">
        <v>192</v>
      </c>
      <c r="AN201" t="s">
        <v>193</v>
      </c>
      <c r="AO201">
        <v>2015</v>
      </c>
      <c r="AP201">
        <v>1997</v>
      </c>
      <c r="AQ201">
        <f t="shared" si="11"/>
        <v>18</v>
      </c>
      <c r="AR201" t="s">
        <v>87</v>
      </c>
    </row>
    <row r="202" spans="1:44" x14ac:dyDescent="0.25">
      <c r="A202">
        <v>30</v>
      </c>
      <c r="B202" t="str">
        <f t="shared" si="9"/>
        <v>2-5 years</v>
      </c>
      <c r="C202">
        <v>31</v>
      </c>
      <c r="D202" t="str" cm="1">
        <f t="array" ref="D202">_xlfn.IFS(C202&lt;26, "19-25", C202&lt;33, "26-32", C202&lt;40, "33-39", C202&lt;47, "40-46",C202&lt;54, "47-53", TRUE, "54+")</f>
        <v>26-32</v>
      </c>
      <c r="E202">
        <v>247116</v>
      </c>
      <c r="F202" s="1">
        <v>41062</v>
      </c>
      <c r="G202" t="s">
        <v>88</v>
      </c>
      <c r="H202" t="s">
        <v>45</v>
      </c>
      <c r="I202">
        <v>2000</v>
      </c>
      <c r="J202">
        <v>1153.3499999999999</v>
      </c>
      <c r="K202">
        <v>0</v>
      </c>
      <c r="L202">
        <v>430714</v>
      </c>
      <c r="M202" t="s">
        <v>46</v>
      </c>
      <c r="N202" t="s">
        <v>76</v>
      </c>
      <c r="O202" t="s">
        <v>48</v>
      </c>
      <c r="P202" t="s">
        <v>117</v>
      </c>
      <c r="Q202" t="s">
        <v>147</v>
      </c>
      <c r="R202">
        <v>0</v>
      </c>
      <c r="S202">
        <v>0</v>
      </c>
      <c r="T202" s="1">
        <v>42037</v>
      </c>
      <c r="U202" t="s">
        <v>66</v>
      </c>
      <c r="V202" t="s">
        <v>67</v>
      </c>
      <c r="W202" t="s">
        <v>217</v>
      </c>
      <c r="X202" t="s">
        <v>54</v>
      </c>
      <c r="Y202" t="s">
        <v>82</v>
      </c>
      <c r="Z202" t="s">
        <v>127</v>
      </c>
      <c r="AA202" t="s">
        <v>384</v>
      </c>
      <c r="AB202">
        <v>9</v>
      </c>
      <c r="AC202" t="str">
        <f t="shared" si="10"/>
        <v>Morning</v>
      </c>
      <c r="AD202">
        <v>1</v>
      </c>
      <c r="AE202" t="s">
        <v>84</v>
      </c>
      <c r="AF202">
        <v>2</v>
      </c>
      <c r="AG202">
        <v>1</v>
      </c>
      <c r="AH202" t="s">
        <v>58</v>
      </c>
      <c r="AI202">
        <v>5760</v>
      </c>
      <c r="AJ202">
        <v>960</v>
      </c>
      <c r="AK202">
        <v>960</v>
      </c>
      <c r="AL202">
        <v>3840</v>
      </c>
      <c r="AM202" t="s">
        <v>158</v>
      </c>
      <c r="AN202" t="s">
        <v>168</v>
      </c>
      <c r="AO202">
        <v>2015</v>
      </c>
      <c r="AP202">
        <v>2011</v>
      </c>
      <c r="AQ202">
        <f t="shared" si="11"/>
        <v>4</v>
      </c>
      <c r="AR202" t="s">
        <v>87</v>
      </c>
    </row>
    <row r="203" spans="1:44" x14ac:dyDescent="0.25">
      <c r="A203">
        <v>342</v>
      </c>
      <c r="B203" t="str">
        <f t="shared" si="9"/>
        <v>10+ years</v>
      </c>
      <c r="C203">
        <v>49</v>
      </c>
      <c r="D203" t="str" cm="1">
        <f t="array" ref="D203">_xlfn.IFS(C203&lt;26, "19-25", C203&lt;33, "26-32", C203&lt;40, "33-39", C203&lt;47, "40-46",C203&lt;54, "47-53", TRUE, "54+")</f>
        <v>47-53</v>
      </c>
      <c r="E203">
        <v>505969</v>
      </c>
      <c r="F203" s="1">
        <v>35892</v>
      </c>
      <c r="G203" t="s">
        <v>44</v>
      </c>
      <c r="H203" t="s">
        <v>45</v>
      </c>
      <c r="I203">
        <v>500</v>
      </c>
      <c r="J203">
        <v>1722.95</v>
      </c>
      <c r="K203">
        <v>0</v>
      </c>
      <c r="L203">
        <v>472634</v>
      </c>
      <c r="M203" t="s">
        <v>46</v>
      </c>
      <c r="N203" t="s">
        <v>76</v>
      </c>
      <c r="O203" t="s">
        <v>150</v>
      </c>
      <c r="P203" t="s">
        <v>111</v>
      </c>
      <c r="Q203" t="s">
        <v>147</v>
      </c>
      <c r="R203">
        <v>63100</v>
      </c>
      <c r="S203">
        <v>-13800</v>
      </c>
      <c r="T203" s="1">
        <v>42063</v>
      </c>
      <c r="U203" t="s">
        <v>51</v>
      </c>
      <c r="V203" t="s">
        <v>81</v>
      </c>
      <c r="W203" t="s">
        <v>68</v>
      </c>
      <c r="X203" t="s">
        <v>104</v>
      </c>
      <c r="Y203" t="s">
        <v>118</v>
      </c>
      <c r="Z203" t="s">
        <v>127</v>
      </c>
      <c r="AA203" t="s">
        <v>385</v>
      </c>
      <c r="AB203">
        <v>3</v>
      </c>
      <c r="AC203" t="str">
        <f t="shared" si="10"/>
        <v>Night</v>
      </c>
      <c r="AD203">
        <v>1</v>
      </c>
      <c r="AE203" t="s">
        <v>67</v>
      </c>
      <c r="AF203">
        <v>2</v>
      </c>
      <c r="AG203">
        <v>0</v>
      </c>
      <c r="AH203" t="s">
        <v>58</v>
      </c>
      <c r="AI203">
        <v>76700</v>
      </c>
      <c r="AJ203">
        <v>7670</v>
      </c>
      <c r="AK203">
        <v>7670</v>
      </c>
      <c r="AL203">
        <v>61360</v>
      </c>
      <c r="AM203" t="s">
        <v>158</v>
      </c>
      <c r="AN203" t="s">
        <v>159</v>
      </c>
      <c r="AO203">
        <v>2015</v>
      </c>
      <c r="AP203">
        <v>2006</v>
      </c>
      <c r="AQ203">
        <f t="shared" si="11"/>
        <v>9</v>
      </c>
      <c r="AR203" t="s">
        <v>87</v>
      </c>
    </row>
    <row r="204" spans="1:44" x14ac:dyDescent="0.25">
      <c r="A204">
        <v>219</v>
      </c>
      <c r="B204" t="str">
        <f t="shared" si="9"/>
        <v>10+ years</v>
      </c>
      <c r="C204">
        <v>39</v>
      </c>
      <c r="D204" t="str" cm="1">
        <f t="array" ref="D204">_xlfn.IFS(C204&lt;26, "19-25", C204&lt;33, "26-32", C204&lt;40, "33-39", C204&lt;47, "40-46",C204&lt;54, "47-53", TRUE, "54+")</f>
        <v>33-39</v>
      </c>
      <c r="E204">
        <v>653864</v>
      </c>
      <c r="F204" s="1">
        <v>39197</v>
      </c>
      <c r="G204" t="s">
        <v>62</v>
      </c>
      <c r="H204" t="s">
        <v>45</v>
      </c>
      <c r="I204">
        <v>2000</v>
      </c>
      <c r="J204">
        <v>1281.07</v>
      </c>
      <c r="K204">
        <v>7000000</v>
      </c>
      <c r="L204">
        <v>608371</v>
      </c>
      <c r="M204" t="s">
        <v>75</v>
      </c>
      <c r="N204" t="s">
        <v>136</v>
      </c>
      <c r="O204" t="s">
        <v>140</v>
      </c>
      <c r="P204" t="s">
        <v>78</v>
      </c>
      <c r="Q204" t="s">
        <v>90</v>
      </c>
      <c r="R204">
        <v>0</v>
      </c>
      <c r="S204">
        <v>0</v>
      </c>
      <c r="T204" s="1">
        <v>42022</v>
      </c>
      <c r="U204" t="s">
        <v>143</v>
      </c>
      <c r="V204" t="s">
        <v>67</v>
      </c>
      <c r="W204" t="s">
        <v>217</v>
      </c>
      <c r="X204" t="s">
        <v>54</v>
      </c>
      <c r="Y204" t="s">
        <v>82</v>
      </c>
      <c r="Z204" t="s">
        <v>107</v>
      </c>
      <c r="AA204" t="s">
        <v>386</v>
      </c>
      <c r="AB204">
        <v>6</v>
      </c>
      <c r="AC204" t="str">
        <f t="shared" si="10"/>
        <v>Morning</v>
      </c>
      <c r="AD204">
        <v>1</v>
      </c>
      <c r="AE204" t="s">
        <v>84</v>
      </c>
      <c r="AF204">
        <v>0</v>
      </c>
      <c r="AG204">
        <v>2</v>
      </c>
      <c r="AH204" t="s">
        <v>84</v>
      </c>
      <c r="AI204">
        <v>5920</v>
      </c>
      <c r="AJ204">
        <v>740</v>
      </c>
      <c r="AK204">
        <v>740</v>
      </c>
      <c r="AL204">
        <v>4440</v>
      </c>
      <c r="AM204" t="s">
        <v>94</v>
      </c>
      <c r="AN204" t="s">
        <v>250</v>
      </c>
      <c r="AO204">
        <v>2015</v>
      </c>
      <c r="AP204">
        <v>2015</v>
      </c>
      <c r="AQ204">
        <f t="shared" si="11"/>
        <v>0</v>
      </c>
      <c r="AR204" t="s">
        <v>87</v>
      </c>
    </row>
    <row r="205" spans="1:44" x14ac:dyDescent="0.25">
      <c r="A205">
        <v>468</v>
      </c>
      <c r="B205" t="str">
        <f t="shared" si="9"/>
        <v>10+ years</v>
      </c>
      <c r="C205">
        <v>62</v>
      </c>
      <c r="D205" t="str" cm="1">
        <f t="array" ref="D205">_xlfn.IFS(C205&lt;26, "19-25", C205&lt;33, "26-32", C205&lt;40, "33-39", C205&lt;47, "40-46",C205&lt;54, "47-53", TRUE, "54+")</f>
        <v>54+</v>
      </c>
      <c r="E205">
        <v>586367</v>
      </c>
      <c r="F205" s="1">
        <v>36707</v>
      </c>
      <c r="G205" t="s">
        <v>88</v>
      </c>
      <c r="H205" t="s">
        <v>74</v>
      </c>
      <c r="I205">
        <v>500</v>
      </c>
      <c r="J205">
        <v>1011.92</v>
      </c>
      <c r="K205">
        <v>0</v>
      </c>
      <c r="L205">
        <v>468168</v>
      </c>
      <c r="M205" t="s">
        <v>46</v>
      </c>
      <c r="N205" t="s">
        <v>76</v>
      </c>
      <c r="O205" t="s">
        <v>63</v>
      </c>
      <c r="P205" t="s">
        <v>170</v>
      </c>
      <c r="Q205" t="s">
        <v>124</v>
      </c>
      <c r="R205">
        <v>0</v>
      </c>
      <c r="S205">
        <v>0</v>
      </c>
      <c r="T205" s="1">
        <v>42050</v>
      </c>
      <c r="U205" t="s">
        <v>80</v>
      </c>
      <c r="V205" t="s">
        <v>81</v>
      </c>
      <c r="W205" t="s">
        <v>53</v>
      </c>
      <c r="X205" t="s">
        <v>104</v>
      </c>
      <c r="Y205" t="s">
        <v>55</v>
      </c>
      <c r="Z205" t="s">
        <v>70</v>
      </c>
      <c r="AA205" t="s">
        <v>387</v>
      </c>
      <c r="AB205">
        <v>7</v>
      </c>
      <c r="AC205" t="str">
        <f t="shared" si="10"/>
        <v>Morning</v>
      </c>
      <c r="AD205">
        <v>3</v>
      </c>
      <c r="AE205" t="s">
        <v>58</v>
      </c>
      <c r="AF205">
        <v>0</v>
      </c>
      <c r="AG205">
        <v>3</v>
      </c>
      <c r="AH205" t="s">
        <v>67</v>
      </c>
      <c r="AI205">
        <v>64350</v>
      </c>
      <c r="AJ205">
        <v>7150</v>
      </c>
      <c r="AK205">
        <v>7150</v>
      </c>
      <c r="AL205">
        <v>50050</v>
      </c>
      <c r="AM205" t="s">
        <v>94</v>
      </c>
      <c r="AN205" t="s">
        <v>95</v>
      </c>
      <c r="AO205">
        <v>2015</v>
      </c>
      <c r="AP205">
        <v>2009</v>
      </c>
      <c r="AQ205">
        <f t="shared" si="11"/>
        <v>6</v>
      </c>
      <c r="AR205" t="s">
        <v>87</v>
      </c>
    </row>
    <row r="206" spans="1:44" x14ac:dyDescent="0.25">
      <c r="A206">
        <v>241</v>
      </c>
      <c r="B206" t="str">
        <f t="shared" si="9"/>
        <v>10+ years</v>
      </c>
      <c r="C206">
        <v>39</v>
      </c>
      <c r="D206" t="str" cm="1">
        <f t="array" ref="D206">_xlfn.IFS(C206&lt;26, "19-25", C206&lt;33, "26-32", C206&lt;40, "33-39", C206&lt;47, "40-46",C206&lt;54, "47-53", TRUE, "54+")</f>
        <v>33-39</v>
      </c>
      <c r="E206">
        <v>896890</v>
      </c>
      <c r="F206" s="1">
        <v>35220</v>
      </c>
      <c r="G206" t="s">
        <v>88</v>
      </c>
      <c r="H206" t="s">
        <v>45</v>
      </c>
      <c r="I206">
        <v>2000</v>
      </c>
      <c r="J206">
        <v>1042.26</v>
      </c>
      <c r="K206">
        <v>0</v>
      </c>
      <c r="L206">
        <v>464107</v>
      </c>
      <c r="M206" t="s">
        <v>46</v>
      </c>
      <c r="N206" t="s">
        <v>166</v>
      </c>
      <c r="O206" t="s">
        <v>77</v>
      </c>
      <c r="P206" t="s">
        <v>175</v>
      </c>
      <c r="Q206" t="s">
        <v>50</v>
      </c>
      <c r="R206">
        <v>0</v>
      </c>
      <c r="S206">
        <v>0</v>
      </c>
      <c r="T206" s="1">
        <v>42035</v>
      </c>
      <c r="U206" t="s">
        <v>80</v>
      </c>
      <c r="V206" t="s">
        <v>81</v>
      </c>
      <c r="W206" t="s">
        <v>112</v>
      </c>
      <c r="X206" t="s">
        <v>141</v>
      </c>
      <c r="Y206" t="s">
        <v>118</v>
      </c>
      <c r="Z206" t="s">
        <v>132</v>
      </c>
      <c r="AA206" t="s">
        <v>388</v>
      </c>
      <c r="AB206">
        <v>21</v>
      </c>
      <c r="AC206" t="str">
        <f t="shared" si="10"/>
        <v>Evening</v>
      </c>
      <c r="AD206">
        <v>3</v>
      </c>
      <c r="AE206" t="s">
        <v>84</v>
      </c>
      <c r="AF206">
        <v>1</v>
      </c>
      <c r="AG206">
        <v>2</v>
      </c>
      <c r="AH206" t="s">
        <v>67</v>
      </c>
      <c r="AI206">
        <v>19080</v>
      </c>
      <c r="AJ206">
        <v>4240</v>
      </c>
      <c r="AK206">
        <v>2120</v>
      </c>
      <c r="AL206">
        <v>12720</v>
      </c>
      <c r="AM206" t="s">
        <v>59</v>
      </c>
      <c r="AN206">
        <v>93</v>
      </c>
      <c r="AO206">
        <v>2015</v>
      </c>
      <c r="AP206">
        <v>1995</v>
      </c>
      <c r="AQ206">
        <f t="shared" si="11"/>
        <v>20</v>
      </c>
      <c r="AR206" t="s">
        <v>87</v>
      </c>
    </row>
    <row r="207" spans="1:44" x14ac:dyDescent="0.25">
      <c r="A207">
        <v>223</v>
      </c>
      <c r="B207" t="str">
        <f t="shared" si="9"/>
        <v>10+ years</v>
      </c>
      <c r="C207">
        <v>43</v>
      </c>
      <c r="D207" t="str" cm="1">
        <f t="array" ref="D207">_xlfn.IFS(C207&lt;26, "19-25", C207&lt;33, "26-32", C207&lt;40, "33-39", C207&lt;47, "40-46",C207&lt;54, "47-53", TRUE, "54+")</f>
        <v>40-46</v>
      </c>
      <c r="E207">
        <v>650026</v>
      </c>
      <c r="F207" s="1">
        <v>39942</v>
      </c>
      <c r="G207" t="s">
        <v>44</v>
      </c>
      <c r="H207" t="s">
        <v>96</v>
      </c>
      <c r="I207">
        <v>500</v>
      </c>
      <c r="J207">
        <v>1235.0999999999999</v>
      </c>
      <c r="K207">
        <v>0</v>
      </c>
      <c r="L207">
        <v>466959</v>
      </c>
      <c r="M207" t="s">
        <v>75</v>
      </c>
      <c r="N207" t="s">
        <v>129</v>
      </c>
      <c r="O207" t="s">
        <v>102</v>
      </c>
      <c r="P207" t="s">
        <v>269</v>
      </c>
      <c r="Q207" t="s">
        <v>147</v>
      </c>
      <c r="R207">
        <v>66400</v>
      </c>
      <c r="S207">
        <v>-34400</v>
      </c>
      <c r="T207" s="1">
        <v>42045</v>
      </c>
      <c r="U207" t="s">
        <v>51</v>
      </c>
      <c r="V207" t="s">
        <v>81</v>
      </c>
      <c r="W207" t="s">
        <v>68</v>
      </c>
      <c r="X207" t="s">
        <v>54</v>
      </c>
      <c r="Y207" t="s">
        <v>55</v>
      </c>
      <c r="Z207" t="s">
        <v>107</v>
      </c>
      <c r="AA207" t="s">
        <v>389</v>
      </c>
      <c r="AB207">
        <v>14</v>
      </c>
      <c r="AC207" t="str">
        <f t="shared" si="10"/>
        <v>Afternoon</v>
      </c>
      <c r="AD207">
        <v>1</v>
      </c>
      <c r="AE207" t="s">
        <v>84</v>
      </c>
      <c r="AF207">
        <v>2</v>
      </c>
      <c r="AG207">
        <v>1</v>
      </c>
      <c r="AH207" t="s">
        <v>84</v>
      </c>
      <c r="AI207">
        <v>54400</v>
      </c>
      <c r="AJ207">
        <v>5440</v>
      </c>
      <c r="AK207">
        <v>5440</v>
      </c>
      <c r="AL207">
        <v>43520</v>
      </c>
      <c r="AM207" t="s">
        <v>192</v>
      </c>
      <c r="AN207" t="s">
        <v>206</v>
      </c>
      <c r="AO207">
        <v>2015</v>
      </c>
      <c r="AP207">
        <v>2011</v>
      </c>
      <c r="AQ207">
        <f t="shared" si="11"/>
        <v>4</v>
      </c>
      <c r="AR207" t="s">
        <v>87</v>
      </c>
    </row>
    <row r="208" spans="1:44" x14ac:dyDescent="0.25">
      <c r="A208">
        <v>128</v>
      </c>
      <c r="B208" t="str">
        <f t="shared" si="9"/>
        <v>10+ years</v>
      </c>
      <c r="C208">
        <v>32</v>
      </c>
      <c r="D208" t="str" cm="1">
        <f t="array" ref="D208">_xlfn.IFS(C208&lt;26, "19-25", C208&lt;33, "26-32", C208&lt;40, "33-39", C208&lt;47, "40-46",C208&lt;54, "47-53", TRUE, "54+")</f>
        <v>26-32</v>
      </c>
      <c r="E208">
        <v>547744</v>
      </c>
      <c r="F208" s="1">
        <v>37080</v>
      </c>
      <c r="G208" t="s">
        <v>44</v>
      </c>
      <c r="H208" t="s">
        <v>74</v>
      </c>
      <c r="I208">
        <v>2000</v>
      </c>
      <c r="J208">
        <v>768.91</v>
      </c>
      <c r="K208">
        <v>0</v>
      </c>
      <c r="L208">
        <v>443522</v>
      </c>
      <c r="M208" t="s">
        <v>75</v>
      </c>
      <c r="N208" t="s">
        <v>146</v>
      </c>
      <c r="O208" t="s">
        <v>77</v>
      </c>
      <c r="P208" t="s">
        <v>173</v>
      </c>
      <c r="Q208" t="s">
        <v>65</v>
      </c>
      <c r="R208">
        <v>0</v>
      </c>
      <c r="S208">
        <v>-39300</v>
      </c>
      <c r="T208" s="1">
        <v>42061</v>
      </c>
      <c r="U208" t="s">
        <v>51</v>
      </c>
      <c r="V208" t="s">
        <v>81</v>
      </c>
      <c r="W208" t="s">
        <v>112</v>
      </c>
      <c r="X208" t="s">
        <v>104</v>
      </c>
      <c r="Y208" t="s">
        <v>55</v>
      </c>
      <c r="Z208" t="s">
        <v>56</v>
      </c>
      <c r="AA208" t="s">
        <v>390</v>
      </c>
      <c r="AB208">
        <v>0</v>
      </c>
      <c r="AC208" t="str">
        <f t="shared" si="10"/>
        <v>Night</v>
      </c>
      <c r="AD208">
        <v>1</v>
      </c>
      <c r="AE208" t="s">
        <v>67</v>
      </c>
      <c r="AF208">
        <v>1</v>
      </c>
      <c r="AG208">
        <v>0</v>
      </c>
      <c r="AH208" t="s">
        <v>84</v>
      </c>
      <c r="AI208">
        <v>59800</v>
      </c>
      <c r="AJ208">
        <v>5980</v>
      </c>
      <c r="AK208">
        <v>5980</v>
      </c>
      <c r="AL208">
        <v>47840</v>
      </c>
      <c r="AM208" t="s">
        <v>134</v>
      </c>
      <c r="AN208" t="s">
        <v>135</v>
      </c>
      <c r="AO208">
        <v>2015</v>
      </c>
      <c r="AP208">
        <v>1999</v>
      </c>
      <c r="AQ208">
        <f t="shared" si="11"/>
        <v>16</v>
      </c>
      <c r="AR208" t="s">
        <v>61</v>
      </c>
    </row>
    <row r="209" spans="1:44" x14ac:dyDescent="0.25">
      <c r="A209">
        <v>124</v>
      </c>
      <c r="B209" t="str">
        <f t="shared" si="9"/>
        <v>10+ years</v>
      </c>
      <c r="C209">
        <v>29</v>
      </c>
      <c r="D209" t="str" cm="1">
        <f t="array" ref="D209">_xlfn.IFS(C209&lt;26, "19-25", C209&lt;33, "26-32", C209&lt;40, "33-39", C209&lt;47, "40-46",C209&lt;54, "47-53", TRUE, "54+")</f>
        <v>26-32</v>
      </c>
      <c r="E209">
        <v>598124</v>
      </c>
      <c r="F209" s="1">
        <v>34232</v>
      </c>
      <c r="G209" t="s">
        <v>44</v>
      </c>
      <c r="H209" t="s">
        <v>96</v>
      </c>
      <c r="I209">
        <v>500</v>
      </c>
      <c r="J209">
        <v>1301.72</v>
      </c>
      <c r="K209">
        <v>0</v>
      </c>
      <c r="L209">
        <v>441726</v>
      </c>
      <c r="M209" t="s">
        <v>46</v>
      </c>
      <c r="N209" t="s">
        <v>129</v>
      </c>
      <c r="O209" t="s">
        <v>164</v>
      </c>
      <c r="P209" t="s">
        <v>117</v>
      </c>
      <c r="Q209" t="s">
        <v>50</v>
      </c>
      <c r="R209">
        <v>0</v>
      </c>
      <c r="S209">
        <v>0</v>
      </c>
      <c r="T209" s="1">
        <v>42060</v>
      </c>
      <c r="U209" t="s">
        <v>80</v>
      </c>
      <c r="V209" t="s">
        <v>52</v>
      </c>
      <c r="W209" t="s">
        <v>53</v>
      </c>
      <c r="X209" t="s">
        <v>54</v>
      </c>
      <c r="Y209" t="s">
        <v>69</v>
      </c>
      <c r="Z209" t="s">
        <v>107</v>
      </c>
      <c r="AA209" t="s">
        <v>391</v>
      </c>
      <c r="AB209">
        <v>14</v>
      </c>
      <c r="AC209" t="str">
        <f t="shared" si="10"/>
        <v>Afternoon</v>
      </c>
      <c r="AD209">
        <v>3</v>
      </c>
      <c r="AE209" t="s">
        <v>67</v>
      </c>
      <c r="AF209">
        <v>0</v>
      </c>
      <c r="AG209">
        <v>3</v>
      </c>
      <c r="AH209" t="s">
        <v>58</v>
      </c>
      <c r="AI209">
        <v>72000</v>
      </c>
      <c r="AJ209">
        <v>7200</v>
      </c>
      <c r="AK209">
        <v>7200</v>
      </c>
      <c r="AL209">
        <v>57600</v>
      </c>
      <c r="AM209" t="s">
        <v>114</v>
      </c>
      <c r="AN209" t="s">
        <v>139</v>
      </c>
      <c r="AO209">
        <v>2015</v>
      </c>
      <c r="AP209">
        <v>2005</v>
      </c>
      <c r="AQ209">
        <f t="shared" si="11"/>
        <v>10</v>
      </c>
      <c r="AR209" t="s">
        <v>87</v>
      </c>
    </row>
    <row r="210" spans="1:44" x14ac:dyDescent="0.25">
      <c r="A210">
        <v>343</v>
      </c>
      <c r="B210" t="str">
        <f t="shared" si="9"/>
        <v>10+ years</v>
      </c>
      <c r="C210">
        <v>48</v>
      </c>
      <c r="D210" t="str" cm="1">
        <f t="array" ref="D210">_xlfn.IFS(C210&lt;26, "19-25", C210&lt;33, "26-32", C210&lt;40, "33-39", C210&lt;47, "40-46",C210&lt;54, "47-53", TRUE, "54+")</f>
        <v>47-53</v>
      </c>
      <c r="E210">
        <v>436126</v>
      </c>
      <c r="F210" s="1">
        <v>40120</v>
      </c>
      <c r="G210" t="s">
        <v>62</v>
      </c>
      <c r="H210" t="s">
        <v>45</v>
      </c>
      <c r="I210">
        <v>500</v>
      </c>
      <c r="J210">
        <v>1451.54</v>
      </c>
      <c r="K210">
        <v>3000000</v>
      </c>
      <c r="L210">
        <v>473412</v>
      </c>
      <c r="M210" t="s">
        <v>46</v>
      </c>
      <c r="N210" t="s">
        <v>166</v>
      </c>
      <c r="O210" t="s">
        <v>190</v>
      </c>
      <c r="P210" t="s">
        <v>154</v>
      </c>
      <c r="Q210" t="s">
        <v>50</v>
      </c>
      <c r="R210">
        <v>0</v>
      </c>
      <c r="S210">
        <v>0</v>
      </c>
      <c r="T210" s="1">
        <v>42012</v>
      </c>
      <c r="U210" t="s">
        <v>80</v>
      </c>
      <c r="V210" t="s">
        <v>52</v>
      </c>
      <c r="W210" t="s">
        <v>112</v>
      </c>
      <c r="X210" t="s">
        <v>54</v>
      </c>
      <c r="Y210" t="s">
        <v>55</v>
      </c>
      <c r="Z210" t="s">
        <v>70</v>
      </c>
      <c r="AA210" t="s">
        <v>392</v>
      </c>
      <c r="AB210">
        <v>13</v>
      </c>
      <c r="AC210" t="str">
        <f t="shared" si="10"/>
        <v>Afternoon</v>
      </c>
      <c r="AD210">
        <v>4</v>
      </c>
      <c r="AE210" t="s">
        <v>84</v>
      </c>
      <c r="AF210">
        <v>2</v>
      </c>
      <c r="AG210">
        <v>3</v>
      </c>
      <c r="AH210" t="s">
        <v>84</v>
      </c>
      <c r="AI210">
        <v>65070</v>
      </c>
      <c r="AJ210">
        <v>7230</v>
      </c>
      <c r="AK210">
        <v>14460</v>
      </c>
      <c r="AL210">
        <v>43380</v>
      </c>
      <c r="AM210" t="s">
        <v>72</v>
      </c>
      <c r="AN210" t="s">
        <v>198</v>
      </c>
      <c r="AO210">
        <v>2015</v>
      </c>
      <c r="AP210">
        <v>2003</v>
      </c>
      <c r="AQ210">
        <f t="shared" si="11"/>
        <v>12</v>
      </c>
      <c r="AR210" t="s">
        <v>87</v>
      </c>
    </row>
    <row r="211" spans="1:44" x14ac:dyDescent="0.25">
      <c r="A211">
        <v>404</v>
      </c>
      <c r="B211" t="str">
        <f t="shared" si="9"/>
        <v>10+ years</v>
      </c>
      <c r="C211">
        <v>53</v>
      </c>
      <c r="D211" t="str" cm="1">
        <f t="array" ref="D211">_xlfn.IFS(C211&lt;26, "19-25", C211&lt;33, "26-32", C211&lt;40, "33-39", C211&lt;47, "40-46",C211&lt;54, "47-53", TRUE, "54+")</f>
        <v>47-53</v>
      </c>
      <c r="E211">
        <v>739447</v>
      </c>
      <c r="F211" s="1">
        <v>41983</v>
      </c>
      <c r="G211" t="s">
        <v>62</v>
      </c>
      <c r="H211" t="s">
        <v>45</v>
      </c>
      <c r="I211">
        <v>500</v>
      </c>
      <c r="J211">
        <v>767.14</v>
      </c>
      <c r="K211">
        <v>0</v>
      </c>
      <c r="L211">
        <v>466201</v>
      </c>
      <c r="M211" t="s">
        <v>46</v>
      </c>
      <c r="N211" t="s">
        <v>97</v>
      </c>
      <c r="O211" t="s">
        <v>77</v>
      </c>
      <c r="P211" t="s">
        <v>64</v>
      </c>
      <c r="Q211" t="s">
        <v>147</v>
      </c>
      <c r="R211">
        <v>25500</v>
      </c>
      <c r="S211">
        <v>-36700</v>
      </c>
      <c r="T211" s="1">
        <v>42018</v>
      </c>
      <c r="U211" t="s">
        <v>143</v>
      </c>
      <c r="V211" t="s">
        <v>67</v>
      </c>
      <c r="W211" t="s">
        <v>217</v>
      </c>
      <c r="X211" t="s">
        <v>54</v>
      </c>
      <c r="Y211" t="s">
        <v>118</v>
      </c>
      <c r="Z211" t="s">
        <v>56</v>
      </c>
      <c r="AA211" t="s">
        <v>393</v>
      </c>
      <c r="AB211">
        <v>8</v>
      </c>
      <c r="AC211" t="str">
        <f t="shared" si="10"/>
        <v>Morning</v>
      </c>
      <c r="AD211">
        <v>1</v>
      </c>
      <c r="AE211" t="s">
        <v>84</v>
      </c>
      <c r="AF211">
        <v>0</v>
      </c>
      <c r="AG211">
        <v>1</v>
      </c>
      <c r="AH211" t="s">
        <v>84</v>
      </c>
      <c r="AI211">
        <v>8800</v>
      </c>
      <c r="AJ211">
        <v>1760</v>
      </c>
      <c r="AK211">
        <v>880</v>
      </c>
      <c r="AL211">
        <v>6160</v>
      </c>
      <c r="AM211" t="s">
        <v>158</v>
      </c>
      <c r="AN211" t="s">
        <v>159</v>
      </c>
      <c r="AO211">
        <v>2015</v>
      </c>
      <c r="AP211">
        <v>2002</v>
      </c>
      <c r="AQ211">
        <f t="shared" si="11"/>
        <v>13</v>
      </c>
      <c r="AR211" t="s">
        <v>87</v>
      </c>
    </row>
    <row r="212" spans="1:44" x14ac:dyDescent="0.25">
      <c r="A212">
        <v>63</v>
      </c>
      <c r="B212" t="str">
        <f t="shared" si="9"/>
        <v>5-10 years</v>
      </c>
      <c r="C212">
        <v>24</v>
      </c>
      <c r="D212" t="str" cm="1">
        <f t="array" ref="D212">_xlfn.IFS(C212&lt;26, "19-25", C212&lt;33, "26-32", C212&lt;40, "33-39", C212&lt;47, "40-46",C212&lt;54, "47-53", TRUE, "54+")</f>
        <v>19-25</v>
      </c>
      <c r="E212">
        <v>427484</v>
      </c>
      <c r="F212" s="1">
        <v>34342</v>
      </c>
      <c r="G212" t="s">
        <v>44</v>
      </c>
      <c r="H212" t="s">
        <v>45</v>
      </c>
      <c r="I212">
        <v>2000</v>
      </c>
      <c r="J212">
        <v>1620.89</v>
      </c>
      <c r="K212">
        <v>0</v>
      </c>
      <c r="L212">
        <v>469621</v>
      </c>
      <c r="M212" t="s">
        <v>75</v>
      </c>
      <c r="N212" t="s">
        <v>136</v>
      </c>
      <c r="O212" t="s">
        <v>164</v>
      </c>
      <c r="P212" t="s">
        <v>151</v>
      </c>
      <c r="Q212" t="s">
        <v>65</v>
      </c>
      <c r="R212">
        <v>0</v>
      </c>
      <c r="S212">
        <v>0</v>
      </c>
      <c r="T212" s="1">
        <v>42038</v>
      </c>
      <c r="U212" t="s">
        <v>66</v>
      </c>
      <c r="V212" t="s">
        <v>67</v>
      </c>
      <c r="W212" t="s">
        <v>68</v>
      </c>
      <c r="X212" t="s">
        <v>54</v>
      </c>
      <c r="Y212" t="s">
        <v>126</v>
      </c>
      <c r="Z212" t="s">
        <v>127</v>
      </c>
      <c r="AA212" t="s">
        <v>394</v>
      </c>
      <c r="AB212">
        <v>7</v>
      </c>
      <c r="AC212" t="str">
        <f t="shared" si="10"/>
        <v>Morning</v>
      </c>
      <c r="AD212">
        <v>1</v>
      </c>
      <c r="AE212" t="s">
        <v>84</v>
      </c>
      <c r="AF212">
        <v>2</v>
      </c>
      <c r="AG212">
        <v>0</v>
      </c>
      <c r="AH212" t="s">
        <v>84</v>
      </c>
      <c r="AI212">
        <v>6120</v>
      </c>
      <c r="AJ212">
        <v>1020</v>
      </c>
      <c r="AK212">
        <v>1020</v>
      </c>
      <c r="AL212">
        <v>4080</v>
      </c>
      <c r="AM212" t="s">
        <v>120</v>
      </c>
      <c r="AN212" t="s">
        <v>188</v>
      </c>
      <c r="AO212">
        <v>2015</v>
      </c>
      <c r="AP212">
        <v>2015</v>
      </c>
      <c r="AQ212">
        <f t="shared" si="11"/>
        <v>0</v>
      </c>
      <c r="AR212" t="s">
        <v>87</v>
      </c>
    </row>
    <row r="213" spans="1:44" x14ac:dyDescent="0.25">
      <c r="A213">
        <v>210</v>
      </c>
      <c r="B213" t="str">
        <f t="shared" si="9"/>
        <v>10+ years</v>
      </c>
      <c r="C213">
        <v>37</v>
      </c>
      <c r="D213" t="str" cm="1">
        <f t="array" ref="D213">_xlfn.IFS(C213&lt;26, "19-25", C213&lt;33, "26-32", C213&lt;40, "33-39", C213&lt;47, "40-46",C213&lt;54, "47-53", TRUE, "54+")</f>
        <v>33-39</v>
      </c>
      <c r="E213">
        <v>218684</v>
      </c>
      <c r="F213" s="1">
        <v>38934</v>
      </c>
      <c r="G213" t="s">
        <v>62</v>
      </c>
      <c r="H213" t="s">
        <v>96</v>
      </c>
      <c r="I213">
        <v>2000</v>
      </c>
      <c r="J213">
        <v>1048.46</v>
      </c>
      <c r="K213">
        <v>0</v>
      </c>
      <c r="L213">
        <v>466676</v>
      </c>
      <c r="M213" t="s">
        <v>46</v>
      </c>
      <c r="N213" t="s">
        <v>136</v>
      </c>
      <c r="O213" t="s">
        <v>122</v>
      </c>
      <c r="P213" t="s">
        <v>137</v>
      </c>
      <c r="Q213" t="s">
        <v>147</v>
      </c>
      <c r="R213">
        <v>59900</v>
      </c>
      <c r="S213">
        <v>0</v>
      </c>
      <c r="T213" s="1">
        <v>42009</v>
      </c>
      <c r="U213" t="s">
        <v>66</v>
      </c>
      <c r="V213" t="s">
        <v>67</v>
      </c>
      <c r="W213" t="s">
        <v>217</v>
      </c>
      <c r="X213" t="s">
        <v>98</v>
      </c>
      <c r="Y213" t="s">
        <v>44</v>
      </c>
      <c r="Z213" t="s">
        <v>56</v>
      </c>
      <c r="AA213" t="s">
        <v>395</v>
      </c>
      <c r="AB213">
        <v>9</v>
      </c>
      <c r="AC213" t="str">
        <f t="shared" si="10"/>
        <v>Morning</v>
      </c>
      <c r="AD213">
        <v>1</v>
      </c>
      <c r="AE213" t="s">
        <v>67</v>
      </c>
      <c r="AF213">
        <v>1</v>
      </c>
      <c r="AG213">
        <v>2</v>
      </c>
      <c r="AH213" t="s">
        <v>67</v>
      </c>
      <c r="AI213">
        <v>7080</v>
      </c>
      <c r="AJ213">
        <v>1180</v>
      </c>
      <c r="AK213">
        <v>590</v>
      </c>
      <c r="AL213">
        <v>5310</v>
      </c>
      <c r="AM213" t="s">
        <v>85</v>
      </c>
      <c r="AN213" t="s">
        <v>86</v>
      </c>
      <c r="AO213">
        <v>2015</v>
      </c>
      <c r="AP213">
        <v>1999</v>
      </c>
      <c r="AQ213">
        <f t="shared" si="11"/>
        <v>16</v>
      </c>
      <c r="AR213" t="s">
        <v>87</v>
      </c>
    </row>
    <row r="214" spans="1:44" x14ac:dyDescent="0.25">
      <c r="A214">
        <v>335</v>
      </c>
      <c r="B214" t="str">
        <f t="shared" si="9"/>
        <v>10+ years</v>
      </c>
      <c r="C214">
        <v>50</v>
      </c>
      <c r="D214" t="str" cm="1">
        <f t="array" ref="D214">_xlfn.IFS(C214&lt;26, "19-25", C214&lt;33, "26-32", C214&lt;40, "33-39", C214&lt;47, "40-46",C214&lt;54, "47-53", TRUE, "54+")</f>
        <v>47-53</v>
      </c>
      <c r="E214">
        <v>565564</v>
      </c>
      <c r="F214" s="1">
        <v>39120</v>
      </c>
      <c r="G214" t="s">
        <v>44</v>
      </c>
      <c r="H214" t="s">
        <v>74</v>
      </c>
      <c r="I214">
        <v>1000</v>
      </c>
      <c r="J214">
        <v>1538.26</v>
      </c>
      <c r="K214">
        <v>6000000</v>
      </c>
      <c r="L214">
        <v>615346</v>
      </c>
      <c r="M214" t="s">
        <v>46</v>
      </c>
      <c r="N214" t="s">
        <v>136</v>
      </c>
      <c r="O214" t="s">
        <v>77</v>
      </c>
      <c r="P214" t="s">
        <v>160</v>
      </c>
      <c r="Q214" t="s">
        <v>65</v>
      </c>
      <c r="R214">
        <v>62200</v>
      </c>
      <c r="S214">
        <v>-31400</v>
      </c>
      <c r="T214" s="1">
        <v>42028</v>
      </c>
      <c r="U214" t="s">
        <v>80</v>
      </c>
      <c r="V214" t="s">
        <v>52</v>
      </c>
      <c r="W214" t="s">
        <v>68</v>
      </c>
      <c r="X214" t="s">
        <v>141</v>
      </c>
      <c r="Y214" t="s">
        <v>82</v>
      </c>
      <c r="Z214" t="s">
        <v>70</v>
      </c>
      <c r="AA214" t="s">
        <v>396</v>
      </c>
      <c r="AB214">
        <v>12</v>
      </c>
      <c r="AC214" t="str">
        <f t="shared" si="10"/>
        <v>Afternoon</v>
      </c>
      <c r="AD214">
        <v>3</v>
      </c>
      <c r="AE214" t="s">
        <v>58</v>
      </c>
      <c r="AF214">
        <v>2</v>
      </c>
      <c r="AG214">
        <v>3</v>
      </c>
      <c r="AH214" t="s">
        <v>58</v>
      </c>
      <c r="AI214">
        <v>34320</v>
      </c>
      <c r="AJ214">
        <v>8580</v>
      </c>
      <c r="AK214">
        <v>4290</v>
      </c>
      <c r="AL214">
        <v>21450</v>
      </c>
      <c r="AM214" t="s">
        <v>219</v>
      </c>
      <c r="AN214" t="s">
        <v>220</v>
      </c>
      <c r="AO214">
        <v>2015</v>
      </c>
      <c r="AP214">
        <v>2009</v>
      </c>
      <c r="AQ214">
        <f t="shared" si="11"/>
        <v>6</v>
      </c>
      <c r="AR214" t="s">
        <v>87</v>
      </c>
    </row>
    <row r="215" spans="1:44" x14ac:dyDescent="0.25">
      <c r="A215">
        <v>11</v>
      </c>
      <c r="B215" t="str">
        <f t="shared" si="9"/>
        <v>0-2 years</v>
      </c>
      <c r="C215">
        <v>40</v>
      </c>
      <c r="D215" t="str" cm="1">
        <f t="array" ref="D215">_xlfn.IFS(C215&lt;26, "19-25", C215&lt;33, "26-32", C215&lt;40, "33-39", C215&lt;47, "40-46",C215&lt;54, "47-53", TRUE, "54+")</f>
        <v>40-46</v>
      </c>
      <c r="E215">
        <v>743163</v>
      </c>
      <c r="F215" s="1">
        <v>36990</v>
      </c>
      <c r="G215" t="s">
        <v>44</v>
      </c>
      <c r="H215" t="s">
        <v>96</v>
      </c>
      <c r="I215">
        <v>2000</v>
      </c>
      <c r="J215">
        <v>1217.69</v>
      </c>
      <c r="K215">
        <v>0</v>
      </c>
      <c r="L215">
        <v>440106</v>
      </c>
      <c r="M215" t="s">
        <v>75</v>
      </c>
      <c r="N215" t="s">
        <v>47</v>
      </c>
      <c r="O215" t="s">
        <v>106</v>
      </c>
      <c r="P215" t="s">
        <v>64</v>
      </c>
      <c r="Q215" t="s">
        <v>124</v>
      </c>
      <c r="R215">
        <v>24000</v>
      </c>
      <c r="S215">
        <v>0</v>
      </c>
      <c r="T215" s="1">
        <v>42030</v>
      </c>
      <c r="U215" t="s">
        <v>80</v>
      </c>
      <c r="V215" t="s">
        <v>52</v>
      </c>
      <c r="W215" t="s">
        <v>53</v>
      </c>
      <c r="X215" t="s">
        <v>125</v>
      </c>
      <c r="Y215" t="s">
        <v>55</v>
      </c>
      <c r="Z215" t="s">
        <v>107</v>
      </c>
      <c r="AA215" t="s">
        <v>397</v>
      </c>
      <c r="AB215">
        <v>6</v>
      </c>
      <c r="AC215" t="str">
        <f t="shared" si="10"/>
        <v>Morning</v>
      </c>
      <c r="AD215">
        <v>3</v>
      </c>
      <c r="AE215" t="s">
        <v>67</v>
      </c>
      <c r="AF215">
        <v>1</v>
      </c>
      <c r="AG215">
        <v>0</v>
      </c>
      <c r="AH215" t="s">
        <v>67</v>
      </c>
      <c r="AI215">
        <v>53460</v>
      </c>
      <c r="AJ215">
        <v>9720</v>
      </c>
      <c r="AK215">
        <v>9720</v>
      </c>
      <c r="AL215">
        <v>34020</v>
      </c>
      <c r="AM215" t="s">
        <v>85</v>
      </c>
      <c r="AN215" t="s">
        <v>149</v>
      </c>
      <c r="AO215">
        <v>2015</v>
      </c>
      <c r="AP215">
        <v>2004</v>
      </c>
      <c r="AQ215">
        <f t="shared" si="11"/>
        <v>11</v>
      </c>
      <c r="AR215" t="s">
        <v>61</v>
      </c>
    </row>
    <row r="216" spans="1:44" x14ac:dyDescent="0.25">
      <c r="A216">
        <v>142</v>
      </c>
      <c r="B216" t="str">
        <f t="shared" si="9"/>
        <v>10+ years</v>
      </c>
      <c r="C216">
        <v>33</v>
      </c>
      <c r="D216" t="str" cm="1">
        <f t="array" ref="D216">_xlfn.IFS(C216&lt;26, "19-25", C216&lt;33, "26-32", C216&lt;40, "33-39", C216&lt;47, "40-46",C216&lt;54, "47-53", TRUE, "54+")</f>
        <v>33-39</v>
      </c>
      <c r="E216">
        <v>604614</v>
      </c>
      <c r="F216" s="1">
        <v>34747</v>
      </c>
      <c r="G216" t="s">
        <v>62</v>
      </c>
      <c r="H216" t="s">
        <v>74</v>
      </c>
      <c r="I216">
        <v>2000</v>
      </c>
      <c r="J216">
        <v>1362.64</v>
      </c>
      <c r="K216">
        <v>5000000</v>
      </c>
      <c r="L216">
        <v>450332</v>
      </c>
      <c r="M216" t="s">
        <v>75</v>
      </c>
      <c r="N216" t="s">
        <v>166</v>
      </c>
      <c r="O216" t="s">
        <v>130</v>
      </c>
      <c r="P216" t="s">
        <v>247</v>
      </c>
      <c r="Q216" t="s">
        <v>124</v>
      </c>
      <c r="R216">
        <v>0</v>
      </c>
      <c r="S216">
        <v>0</v>
      </c>
      <c r="T216" s="1">
        <v>42025</v>
      </c>
      <c r="U216" t="s">
        <v>51</v>
      </c>
      <c r="V216" t="s">
        <v>52</v>
      </c>
      <c r="W216" t="s">
        <v>112</v>
      </c>
      <c r="X216" t="s">
        <v>125</v>
      </c>
      <c r="Y216" t="s">
        <v>126</v>
      </c>
      <c r="Z216" t="s">
        <v>56</v>
      </c>
      <c r="AA216" t="s">
        <v>398</v>
      </c>
      <c r="AB216">
        <v>11</v>
      </c>
      <c r="AC216" t="str">
        <f t="shared" si="10"/>
        <v>Morning</v>
      </c>
      <c r="AD216">
        <v>1</v>
      </c>
      <c r="AE216" t="s">
        <v>58</v>
      </c>
      <c r="AF216">
        <v>1</v>
      </c>
      <c r="AG216">
        <v>3</v>
      </c>
      <c r="AH216" t="s">
        <v>67</v>
      </c>
      <c r="AI216">
        <v>81360</v>
      </c>
      <c r="AJ216">
        <v>6780</v>
      </c>
      <c r="AK216">
        <v>13560</v>
      </c>
      <c r="AL216">
        <v>61020</v>
      </c>
      <c r="AM216" t="s">
        <v>158</v>
      </c>
      <c r="AN216" t="s">
        <v>159</v>
      </c>
      <c r="AO216">
        <v>2015</v>
      </c>
      <c r="AP216">
        <v>2009</v>
      </c>
      <c r="AQ216">
        <f t="shared" si="11"/>
        <v>6</v>
      </c>
      <c r="AR216" t="s">
        <v>61</v>
      </c>
    </row>
    <row r="217" spans="1:44" x14ac:dyDescent="0.25">
      <c r="A217">
        <v>272</v>
      </c>
      <c r="B217" t="str">
        <f t="shared" si="9"/>
        <v>10+ years</v>
      </c>
      <c r="C217">
        <v>43</v>
      </c>
      <c r="D217" t="str" cm="1">
        <f t="array" ref="D217">_xlfn.IFS(C217&lt;26, "19-25", C217&lt;33, "26-32", C217&lt;40, "33-39", C217&lt;47, "40-46",C217&lt;54, "47-53", TRUE, "54+")</f>
        <v>40-46</v>
      </c>
      <c r="E217">
        <v>509928</v>
      </c>
      <c r="F217" s="1">
        <v>34905</v>
      </c>
      <c r="G217" t="s">
        <v>44</v>
      </c>
      <c r="H217" t="s">
        <v>74</v>
      </c>
      <c r="I217">
        <v>1000</v>
      </c>
      <c r="J217">
        <v>1279.1300000000001</v>
      </c>
      <c r="K217">
        <v>0</v>
      </c>
      <c r="L217">
        <v>615226</v>
      </c>
      <c r="M217" t="s">
        <v>46</v>
      </c>
      <c r="N217" t="s">
        <v>76</v>
      </c>
      <c r="O217" t="s">
        <v>48</v>
      </c>
      <c r="P217" t="s">
        <v>103</v>
      </c>
      <c r="Q217" t="s">
        <v>65</v>
      </c>
      <c r="R217">
        <v>0</v>
      </c>
      <c r="S217">
        <v>0</v>
      </c>
      <c r="T217" s="1">
        <v>42041</v>
      </c>
      <c r="U217" t="s">
        <v>80</v>
      </c>
      <c r="V217" t="s">
        <v>52</v>
      </c>
      <c r="W217" t="s">
        <v>68</v>
      </c>
      <c r="X217" t="s">
        <v>141</v>
      </c>
      <c r="Y217" t="s">
        <v>126</v>
      </c>
      <c r="Z217" t="s">
        <v>107</v>
      </c>
      <c r="AA217" t="s">
        <v>399</v>
      </c>
      <c r="AB217">
        <v>5</v>
      </c>
      <c r="AC217" t="str">
        <f t="shared" si="10"/>
        <v>Night</v>
      </c>
      <c r="AD217">
        <v>3</v>
      </c>
      <c r="AE217" t="s">
        <v>67</v>
      </c>
      <c r="AF217">
        <v>1</v>
      </c>
      <c r="AG217">
        <v>2</v>
      </c>
      <c r="AH217" t="s">
        <v>58</v>
      </c>
      <c r="AI217">
        <v>81070</v>
      </c>
      <c r="AJ217">
        <v>7370</v>
      </c>
      <c r="AK217">
        <v>14740</v>
      </c>
      <c r="AL217">
        <v>58960</v>
      </c>
      <c r="AM217" t="s">
        <v>114</v>
      </c>
      <c r="AN217" t="s">
        <v>139</v>
      </c>
      <c r="AO217">
        <v>2015</v>
      </c>
      <c r="AP217">
        <v>2006</v>
      </c>
      <c r="AQ217">
        <f t="shared" si="11"/>
        <v>9</v>
      </c>
      <c r="AR217" t="s">
        <v>61</v>
      </c>
    </row>
    <row r="218" spans="1:44" x14ac:dyDescent="0.25">
      <c r="A218">
        <v>69</v>
      </c>
      <c r="B218" t="str">
        <f t="shared" si="9"/>
        <v>5-10 years</v>
      </c>
      <c r="C218">
        <v>26</v>
      </c>
      <c r="D218" t="str" cm="1">
        <f t="array" ref="D218">_xlfn.IFS(C218&lt;26, "19-25", C218&lt;33, "26-32", C218&lt;40, "33-39", C218&lt;47, "40-46",C218&lt;54, "47-53", TRUE, "54+")</f>
        <v>26-32</v>
      </c>
      <c r="E218">
        <v>593390</v>
      </c>
      <c r="F218" s="1">
        <v>38800</v>
      </c>
      <c r="G218" t="s">
        <v>88</v>
      </c>
      <c r="H218" t="s">
        <v>74</v>
      </c>
      <c r="I218">
        <v>2000</v>
      </c>
      <c r="J218">
        <v>924.72</v>
      </c>
      <c r="K218">
        <v>0</v>
      </c>
      <c r="L218">
        <v>437688</v>
      </c>
      <c r="M218" t="s">
        <v>75</v>
      </c>
      <c r="N218" t="s">
        <v>136</v>
      </c>
      <c r="O218" t="s">
        <v>63</v>
      </c>
      <c r="P218" t="s">
        <v>111</v>
      </c>
      <c r="Q218" t="s">
        <v>90</v>
      </c>
      <c r="R218">
        <v>0</v>
      </c>
      <c r="S218">
        <v>0</v>
      </c>
      <c r="T218" s="1">
        <v>42011</v>
      </c>
      <c r="U218" t="s">
        <v>51</v>
      </c>
      <c r="V218" t="s">
        <v>91</v>
      </c>
      <c r="W218" t="s">
        <v>68</v>
      </c>
      <c r="X218" t="s">
        <v>104</v>
      </c>
      <c r="Y218" t="s">
        <v>82</v>
      </c>
      <c r="Z218" t="s">
        <v>56</v>
      </c>
      <c r="AA218" t="s">
        <v>400</v>
      </c>
      <c r="AB218">
        <v>14</v>
      </c>
      <c r="AC218" t="str">
        <f t="shared" si="10"/>
        <v>Afternoon</v>
      </c>
      <c r="AD218">
        <v>1</v>
      </c>
      <c r="AE218" t="s">
        <v>84</v>
      </c>
      <c r="AF218">
        <v>2</v>
      </c>
      <c r="AG218">
        <v>2</v>
      </c>
      <c r="AH218" t="s">
        <v>84</v>
      </c>
      <c r="AI218">
        <v>63120</v>
      </c>
      <c r="AJ218">
        <v>5260</v>
      </c>
      <c r="AK218">
        <v>10520</v>
      </c>
      <c r="AL218">
        <v>47340</v>
      </c>
      <c r="AM218" t="s">
        <v>114</v>
      </c>
      <c r="AN218" t="s">
        <v>115</v>
      </c>
      <c r="AO218">
        <v>2015</v>
      </c>
      <c r="AP218">
        <v>2008</v>
      </c>
      <c r="AQ218">
        <f t="shared" si="11"/>
        <v>7</v>
      </c>
      <c r="AR218" t="s">
        <v>87</v>
      </c>
    </row>
    <row r="219" spans="1:44" x14ac:dyDescent="0.25">
      <c r="A219">
        <v>38</v>
      </c>
      <c r="B219" t="str">
        <f t="shared" si="9"/>
        <v>2-5 years</v>
      </c>
      <c r="C219">
        <v>28</v>
      </c>
      <c r="D219" t="str" cm="1">
        <f t="array" ref="D219">_xlfn.IFS(C219&lt;26, "19-25", C219&lt;33, "26-32", C219&lt;40, "33-39", C219&lt;47, "40-46",C219&lt;54, "47-53", TRUE, "54+")</f>
        <v>26-32</v>
      </c>
      <c r="E219">
        <v>970607</v>
      </c>
      <c r="F219" s="1">
        <v>34786</v>
      </c>
      <c r="G219" t="s">
        <v>44</v>
      </c>
      <c r="H219" t="s">
        <v>45</v>
      </c>
      <c r="I219">
        <v>1000</v>
      </c>
      <c r="J219">
        <v>1019.44</v>
      </c>
      <c r="K219">
        <v>0</v>
      </c>
      <c r="L219">
        <v>437387</v>
      </c>
      <c r="M219" t="s">
        <v>46</v>
      </c>
      <c r="N219" t="s">
        <v>129</v>
      </c>
      <c r="O219" t="s">
        <v>150</v>
      </c>
      <c r="P219" t="s">
        <v>160</v>
      </c>
      <c r="Q219" t="s">
        <v>147</v>
      </c>
      <c r="R219">
        <v>0</v>
      </c>
      <c r="S219">
        <v>-39700</v>
      </c>
      <c r="T219" s="1">
        <v>42045</v>
      </c>
      <c r="U219" t="s">
        <v>66</v>
      </c>
      <c r="V219" t="s">
        <v>67</v>
      </c>
      <c r="W219" t="s">
        <v>217</v>
      </c>
      <c r="X219" t="s">
        <v>98</v>
      </c>
      <c r="Y219" t="s">
        <v>126</v>
      </c>
      <c r="Z219" t="s">
        <v>107</v>
      </c>
      <c r="AA219" t="s">
        <v>401</v>
      </c>
      <c r="AB219">
        <v>17</v>
      </c>
      <c r="AC219" t="str">
        <f t="shared" si="10"/>
        <v>Afternoon</v>
      </c>
      <c r="AD219">
        <v>1</v>
      </c>
      <c r="AE219" t="s">
        <v>67</v>
      </c>
      <c r="AF219">
        <v>2</v>
      </c>
      <c r="AG219">
        <v>1</v>
      </c>
      <c r="AH219" t="s">
        <v>84</v>
      </c>
      <c r="AI219">
        <v>7200</v>
      </c>
      <c r="AJ219">
        <v>1440</v>
      </c>
      <c r="AK219">
        <v>720</v>
      </c>
      <c r="AL219">
        <v>5040</v>
      </c>
      <c r="AM219" t="s">
        <v>192</v>
      </c>
      <c r="AN219" t="s">
        <v>208</v>
      </c>
      <c r="AO219">
        <v>2015</v>
      </c>
      <c r="AP219">
        <v>2004</v>
      </c>
      <c r="AQ219">
        <f t="shared" si="11"/>
        <v>11</v>
      </c>
      <c r="AR219" t="s">
        <v>87</v>
      </c>
    </row>
    <row r="220" spans="1:44" x14ac:dyDescent="0.25">
      <c r="A220">
        <v>328</v>
      </c>
      <c r="B220" t="str">
        <f t="shared" si="9"/>
        <v>10+ years</v>
      </c>
      <c r="C220">
        <v>46</v>
      </c>
      <c r="D220" t="str" cm="1">
        <f t="array" ref="D220">_xlfn.IFS(C220&lt;26, "19-25", C220&lt;33, "26-32", C220&lt;40, "33-39", C220&lt;47, "40-46",C220&lt;54, "47-53", TRUE, "54+")</f>
        <v>40-46</v>
      </c>
      <c r="E220">
        <v>174701</v>
      </c>
      <c r="F220" s="1">
        <v>35235</v>
      </c>
      <c r="G220" t="s">
        <v>88</v>
      </c>
      <c r="H220" t="s">
        <v>96</v>
      </c>
      <c r="I220">
        <v>500</v>
      </c>
      <c r="J220">
        <v>1314.6</v>
      </c>
      <c r="K220">
        <v>0</v>
      </c>
      <c r="L220">
        <v>458139</v>
      </c>
      <c r="M220" t="s">
        <v>75</v>
      </c>
      <c r="N220" t="s">
        <v>47</v>
      </c>
      <c r="O220" t="s">
        <v>106</v>
      </c>
      <c r="P220" t="s">
        <v>269</v>
      </c>
      <c r="Q220" t="s">
        <v>147</v>
      </c>
      <c r="R220">
        <v>24800</v>
      </c>
      <c r="S220">
        <v>0</v>
      </c>
      <c r="T220" s="1">
        <v>42058</v>
      </c>
      <c r="U220" t="s">
        <v>51</v>
      </c>
      <c r="V220" t="s">
        <v>81</v>
      </c>
      <c r="W220" t="s">
        <v>112</v>
      </c>
      <c r="X220" t="s">
        <v>125</v>
      </c>
      <c r="Y220" t="s">
        <v>118</v>
      </c>
      <c r="Z220" t="s">
        <v>127</v>
      </c>
      <c r="AA220" t="s">
        <v>402</v>
      </c>
      <c r="AB220">
        <v>0</v>
      </c>
      <c r="AC220" t="str">
        <f t="shared" si="10"/>
        <v>Night</v>
      </c>
      <c r="AD220">
        <v>1</v>
      </c>
      <c r="AE220" t="s">
        <v>67</v>
      </c>
      <c r="AF220">
        <v>2</v>
      </c>
      <c r="AG220">
        <v>3</v>
      </c>
      <c r="AH220" t="s">
        <v>67</v>
      </c>
      <c r="AI220">
        <v>70290</v>
      </c>
      <c r="AJ220">
        <v>12780</v>
      </c>
      <c r="AK220">
        <v>6390</v>
      </c>
      <c r="AL220">
        <v>51120</v>
      </c>
      <c r="AM220" t="s">
        <v>59</v>
      </c>
      <c r="AN220" t="s">
        <v>60</v>
      </c>
      <c r="AO220">
        <v>2015</v>
      </c>
      <c r="AP220">
        <v>1998</v>
      </c>
      <c r="AQ220">
        <f t="shared" si="11"/>
        <v>17</v>
      </c>
      <c r="AR220" t="s">
        <v>61</v>
      </c>
    </row>
    <row r="221" spans="1:44" x14ac:dyDescent="0.25">
      <c r="A221">
        <v>281</v>
      </c>
      <c r="B221" t="str">
        <f t="shared" si="9"/>
        <v>10+ years</v>
      </c>
      <c r="C221">
        <v>43</v>
      </c>
      <c r="D221" t="str" cm="1">
        <f t="array" ref="D221">_xlfn.IFS(C221&lt;26, "19-25", C221&lt;33, "26-32", C221&lt;40, "33-39", C221&lt;47, "40-46",C221&lt;54, "47-53", TRUE, "54+")</f>
        <v>40-46</v>
      </c>
      <c r="E221">
        <v>529398</v>
      </c>
      <c r="F221" s="1">
        <v>34136</v>
      </c>
      <c r="G221" t="s">
        <v>44</v>
      </c>
      <c r="H221" t="s">
        <v>74</v>
      </c>
      <c r="I221">
        <v>1000</v>
      </c>
      <c r="J221">
        <v>1515.18</v>
      </c>
      <c r="K221">
        <v>6000000</v>
      </c>
      <c r="L221">
        <v>443191</v>
      </c>
      <c r="M221" t="s">
        <v>46</v>
      </c>
      <c r="N221" t="s">
        <v>146</v>
      </c>
      <c r="O221" t="s">
        <v>122</v>
      </c>
      <c r="P221" t="s">
        <v>123</v>
      </c>
      <c r="Q221" t="s">
        <v>65</v>
      </c>
      <c r="R221">
        <v>0</v>
      </c>
      <c r="S221">
        <v>0</v>
      </c>
      <c r="T221" s="1">
        <v>42013</v>
      </c>
      <c r="U221" t="s">
        <v>80</v>
      </c>
      <c r="V221" t="s">
        <v>52</v>
      </c>
      <c r="W221" t="s">
        <v>68</v>
      </c>
      <c r="X221" t="s">
        <v>104</v>
      </c>
      <c r="Y221" t="s">
        <v>55</v>
      </c>
      <c r="Z221" t="s">
        <v>161</v>
      </c>
      <c r="AA221" t="s">
        <v>403</v>
      </c>
      <c r="AB221">
        <v>21</v>
      </c>
      <c r="AC221" t="str">
        <f t="shared" si="10"/>
        <v>Evening</v>
      </c>
      <c r="AD221">
        <v>3</v>
      </c>
      <c r="AE221" t="s">
        <v>84</v>
      </c>
      <c r="AF221">
        <v>1</v>
      </c>
      <c r="AG221">
        <v>0</v>
      </c>
      <c r="AH221" t="s">
        <v>84</v>
      </c>
      <c r="AI221">
        <v>60190</v>
      </c>
      <c r="AJ221">
        <v>9260</v>
      </c>
      <c r="AK221">
        <v>9260</v>
      </c>
      <c r="AL221">
        <v>41670</v>
      </c>
      <c r="AM221" t="s">
        <v>192</v>
      </c>
      <c r="AN221" t="s">
        <v>243</v>
      </c>
      <c r="AO221">
        <v>2015</v>
      </c>
      <c r="AP221">
        <v>1999</v>
      </c>
      <c r="AQ221">
        <f t="shared" si="11"/>
        <v>16</v>
      </c>
      <c r="AR221" t="s">
        <v>87</v>
      </c>
    </row>
    <row r="222" spans="1:44" x14ac:dyDescent="0.25">
      <c r="A222">
        <v>246</v>
      </c>
      <c r="B222" t="str">
        <f t="shared" si="9"/>
        <v>10+ years</v>
      </c>
      <c r="C222">
        <v>44</v>
      </c>
      <c r="D222" t="str" cm="1">
        <f t="array" ref="D222">_xlfn.IFS(C222&lt;26, "19-25", C222&lt;33, "26-32", C222&lt;40, "33-39", C222&lt;47, "40-46",C222&lt;54, "47-53", TRUE, "54+")</f>
        <v>40-46</v>
      </c>
      <c r="E222">
        <v>940942</v>
      </c>
      <c r="F222" s="1">
        <v>37083</v>
      </c>
      <c r="G222" t="s">
        <v>44</v>
      </c>
      <c r="H222" t="s">
        <v>45</v>
      </c>
      <c r="I222">
        <v>2000</v>
      </c>
      <c r="J222">
        <v>1649.18</v>
      </c>
      <c r="K222">
        <v>0</v>
      </c>
      <c r="L222">
        <v>613647</v>
      </c>
      <c r="M222" t="s">
        <v>46</v>
      </c>
      <c r="N222" t="s">
        <v>146</v>
      </c>
      <c r="O222" t="s">
        <v>194</v>
      </c>
      <c r="P222" t="s">
        <v>111</v>
      </c>
      <c r="Q222" t="s">
        <v>65</v>
      </c>
      <c r="R222">
        <v>0</v>
      </c>
      <c r="S222">
        <v>-58600</v>
      </c>
      <c r="T222" s="1">
        <v>42057</v>
      </c>
      <c r="U222" t="s">
        <v>51</v>
      </c>
      <c r="V222" t="s">
        <v>91</v>
      </c>
      <c r="W222" t="s">
        <v>53</v>
      </c>
      <c r="X222" t="s">
        <v>125</v>
      </c>
      <c r="Y222" t="s">
        <v>82</v>
      </c>
      <c r="Z222" t="s">
        <v>127</v>
      </c>
      <c r="AA222" t="s">
        <v>404</v>
      </c>
      <c r="AB222">
        <v>18</v>
      </c>
      <c r="AC222" t="str">
        <f t="shared" si="10"/>
        <v>Evening</v>
      </c>
      <c r="AD222">
        <v>1</v>
      </c>
      <c r="AE222" t="s">
        <v>58</v>
      </c>
      <c r="AF222">
        <v>1</v>
      </c>
      <c r="AG222">
        <v>2</v>
      </c>
      <c r="AH222" t="s">
        <v>58</v>
      </c>
      <c r="AI222">
        <v>61380</v>
      </c>
      <c r="AJ222">
        <v>11160</v>
      </c>
      <c r="AK222">
        <v>5580</v>
      </c>
      <c r="AL222">
        <v>44640</v>
      </c>
      <c r="AM222" t="s">
        <v>214</v>
      </c>
      <c r="AN222" t="s">
        <v>215</v>
      </c>
      <c r="AO222">
        <v>2015</v>
      </c>
      <c r="AP222">
        <v>2009</v>
      </c>
      <c r="AQ222">
        <f t="shared" si="11"/>
        <v>6</v>
      </c>
      <c r="AR222" t="s">
        <v>61</v>
      </c>
    </row>
    <row r="223" spans="1:44" x14ac:dyDescent="0.25">
      <c r="A223">
        <v>298</v>
      </c>
      <c r="B223" t="str">
        <f t="shared" si="9"/>
        <v>10+ years</v>
      </c>
      <c r="C223">
        <v>49</v>
      </c>
      <c r="D223" t="str" cm="1">
        <f t="array" ref="D223">_xlfn.IFS(C223&lt;26, "19-25", C223&lt;33, "26-32", C223&lt;40, "33-39", C223&lt;47, "40-46",C223&lt;54, "47-53", TRUE, "54+")</f>
        <v>47-53</v>
      </c>
      <c r="E223">
        <v>442677</v>
      </c>
      <c r="F223" s="1">
        <v>39774</v>
      </c>
      <c r="G223" t="s">
        <v>44</v>
      </c>
      <c r="H223" t="s">
        <v>45</v>
      </c>
      <c r="I223">
        <v>500</v>
      </c>
      <c r="J223">
        <v>1451.01</v>
      </c>
      <c r="K223">
        <v>0</v>
      </c>
      <c r="L223">
        <v>460820</v>
      </c>
      <c r="M223" t="s">
        <v>75</v>
      </c>
      <c r="N223" t="s">
        <v>146</v>
      </c>
      <c r="O223" t="s">
        <v>116</v>
      </c>
      <c r="P223" t="s">
        <v>269</v>
      </c>
      <c r="Q223" t="s">
        <v>79</v>
      </c>
      <c r="R223">
        <v>47800</v>
      </c>
      <c r="S223">
        <v>0</v>
      </c>
      <c r="T223" s="1">
        <v>42056</v>
      </c>
      <c r="U223" t="s">
        <v>51</v>
      </c>
      <c r="V223" t="s">
        <v>91</v>
      </c>
      <c r="W223" t="s">
        <v>68</v>
      </c>
      <c r="X223" t="s">
        <v>141</v>
      </c>
      <c r="Y223" t="s">
        <v>82</v>
      </c>
      <c r="Z223" t="s">
        <v>107</v>
      </c>
      <c r="AA223" t="s">
        <v>405</v>
      </c>
      <c r="AB223">
        <v>17</v>
      </c>
      <c r="AC223" t="str">
        <f t="shared" si="10"/>
        <v>Afternoon</v>
      </c>
      <c r="AD223">
        <v>1</v>
      </c>
      <c r="AE223" t="s">
        <v>84</v>
      </c>
      <c r="AF223">
        <v>2</v>
      </c>
      <c r="AG223">
        <v>2</v>
      </c>
      <c r="AH223" t="s">
        <v>84</v>
      </c>
      <c r="AI223">
        <v>28100</v>
      </c>
      <c r="AJ223">
        <v>2810</v>
      </c>
      <c r="AK223">
        <v>5620</v>
      </c>
      <c r="AL223">
        <v>19670</v>
      </c>
      <c r="AM223" t="s">
        <v>202</v>
      </c>
      <c r="AN223" t="s">
        <v>380</v>
      </c>
      <c r="AO223">
        <v>2015</v>
      </c>
      <c r="AP223">
        <v>2012</v>
      </c>
      <c r="AQ223">
        <f t="shared" si="11"/>
        <v>3</v>
      </c>
      <c r="AR223" t="s">
        <v>87</v>
      </c>
    </row>
    <row r="224" spans="1:44" x14ac:dyDescent="0.25">
      <c r="A224">
        <v>330</v>
      </c>
      <c r="B224" t="str">
        <f t="shared" si="9"/>
        <v>10+ years</v>
      </c>
      <c r="C224">
        <v>50</v>
      </c>
      <c r="D224" t="str" cm="1">
        <f t="array" ref="D224">_xlfn.IFS(C224&lt;26, "19-25", C224&lt;33, "26-32", C224&lt;40, "33-39", C224&lt;47, "40-46",C224&lt;54, "47-53", TRUE, "54+")</f>
        <v>47-53</v>
      </c>
      <c r="E224">
        <v>365364</v>
      </c>
      <c r="F224" s="1">
        <v>37618</v>
      </c>
      <c r="G224" t="s">
        <v>88</v>
      </c>
      <c r="H224" t="s">
        <v>96</v>
      </c>
      <c r="I224">
        <v>1000</v>
      </c>
      <c r="J224">
        <v>978.46</v>
      </c>
      <c r="K224">
        <v>0</v>
      </c>
      <c r="L224">
        <v>431121</v>
      </c>
      <c r="M224" t="s">
        <v>75</v>
      </c>
      <c r="N224" t="s">
        <v>136</v>
      </c>
      <c r="O224" t="s">
        <v>77</v>
      </c>
      <c r="P224" t="s">
        <v>160</v>
      </c>
      <c r="Q224" t="s">
        <v>50</v>
      </c>
      <c r="R224">
        <v>0</v>
      </c>
      <c r="S224">
        <v>0</v>
      </c>
      <c r="T224" s="1">
        <v>42039</v>
      </c>
      <c r="U224" t="s">
        <v>51</v>
      </c>
      <c r="V224" t="s">
        <v>52</v>
      </c>
      <c r="W224" t="s">
        <v>112</v>
      </c>
      <c r="X224" t="s">
        <v>104</v>
      </c>
      <c r="Y224" t="s">
        <v>82</v>
      </c>
      <c r="Z224" t="s">
        <v>127</v>
      </c>
      <c r="AA224" t="s">
        <v>406</v>
      </c>
      <c r="AB224">
        <v>19</v>
      </c>
      <c r="AC224" t="str">
        <f t="shared" si="10"/>
        <v>Evening</v>
      </c>
      <c r="AD224">
        <v>1</v>
      </c>
      <c r="AE224" t="s">
        <v>58</v>
      </c>
      <c r="AF224">
        <v>0</v>
      </c>
      <c r="AG224">
        <v>0</v>
      </c>
      <c r="AH224" t="s">
        <v>84</v>
      </c>
      <c r="AI224">
        <v>49060</v>
      </c>
      <c r="AJ224">
        <v>8920</v>
      </c>
      <c r="AK224">
        <v>8920</v>
      </c>
      <c r="AL224">
        <v>31220</v>
      </c>
      <c r="AM224" t="s">
        <v>94</v>
      </c>
      <c r="AN224" t="s">
        <v>228</v>
      </c>
      <c r="AO224">
        <v>2015</v>
      </c>
      <c r="AP224">
        <v>1995</v>
      </c>
      <c r="AQ224">
        <f t="shared" si="11"/>
        <v>20</v>
      </c>
      <c r="AR224" t="s">
        <v>87</v>
      </c>
    </row>
    <row r="225" spans="1:44" x14ac:dyDescent="0.25">
      <c r="A225">
        <v>362</v>
      </c>
      <c r="B225" t="str">
        <f t="shared" si="9"/>
        <v>10+ years</v>
      </c>
      <c r="C225">
        <v>50</v>
      </c>
      <c r="D225" t="str" cm="1">
        <f t="array" ref="D225">_xlfn.IFS(C225&lt;26, "19-25", C225&lt;33, "26-32", C225&lt;40, "33-39", C225&lt;47, "40-46",C225&lt;54, "47-53", TRUE, "54+")</f>
        <v>47-53</v>
      </c>
      <c r="E225">
        <v>114839</v>
      </c>
      <c r="F225" s="1">
        <v>38718</v>
      </c>
      <c r="G225" t="s">
        <v>88</v>
      </c>
      <c r="H225" t="s">
        <v>45</v>
      </c>
      <c r="I225">
        <v>500</v>
      </c>
      <c r="J225">
        <v>1198.3399999999999</v>
      </c>
      <c r="K225">
        <v>4000000</v>
      </c>
      <c r="L225">
        <v>619735</v>
      </c>
      <c r="M225" t="s">
        <v>46</v>
      </c>
      <c r="N225" t="s">
        <v>97</v>
      </c>
      <c r="O225" t="s">
        <v>77</v>
      </c>
      <c r="P225" t="s">
        <v>78</v>
      </c>
      <c r="Q225" t="s">
        <v>124</v>
      </c>
      <c r="R225">
        <v>53000</v>
      </c>
      <c r="S225">
        <v>-72500</v>
      </c>
      <c r="T225" s="1">
        <v>42011</v>
      </c>
      <c r="U225" t="s">
        <v>80</v>
      </c>
      <c r="V225" t="s">
        <v>52</v>
      </c>
      <c r="W225" t="s">
        <v>112</v>
      </c>
      <c r="X225" t="s">
        <v>104</v>
      </c>
      <c r="Y225" t="s">
        <v>82</v>
      </c>
      <c r="Z225" t="s">
        <v>56</v>
      </c>
      <c r="AA225" t="s">
        <v>407</v>
      </c>
      <c r="AB225">
        <v>17</v>
      </c>
      <c r="AC225" t="str">
        <f t="shared" si="10"/>
        <v>Afternoon</v>
      </c>
      <c r="AD225">
        <v>3</v>
      </c>
      <c r="AE225" t="s">
        <v>67</v>
      </c>
      <c r="AF225">
        <v>1</v>
      </c>
      <c r="AG225">
        <v>1</v>
      </c>
      <c r="AH225" t="s">
        <v>84</v>
      </c>
      <c r="AI225">
        <v>57060</v>
      </c>
      <c r="AJ225">
        <v>6340</v>
      </c>
      <c r="AK225">
        <v>6340</v>
      </c>
      <c r="AL225">
        <v>44380</v>
      </c>
      <c r="AM225" t="s">
        <v>72</v>
      </c>
      <c r="AN225" t="s">
        <v>73</v>
      </c>
      <c r="AO225">
        <v>2015</v>
      </c>
      <c r="AP225">
        <v>1995</v>
      </c>
      <c r="AQ225">
        <f t="shared" si="11"/>
        <v>20</v>
      </c>
      <c r="AR225" t="s">
        <v>87</v>
      </c>
    </row>
    <row r="226" spans="1:44" x14ac:dyDescent="0.25">
      <c r="A226">
        <v>241</v>
      </c>
      <c r="B226" t="str">
        <f t="shared" si="9"/>
        <v>10+ years</v>
      </c>
      <c r="C226">
        <v>38</v>
      </c>
      <c r="D226" t="str" cm="1">
        <f t="array" ref="D226">_xlfn.IFS(C226&lt;26, "19-25", C226&lt;33, "26-32", C226&lt;40, "33-39", C226&lt;47, "40-46",C226&lt;54, "47-53", TRUE, "54+")</f>
        <v>33-39</v>
      </c>
      <c r="E226">
        <v>872734</v>
      </c>
      <c r="F226" s="1">
        <v>33012</v>
      </c>
      <c r="G226" t="s">
        <v>62</v>
      </c>
      <c r="H226" t="s">
        <v>74</v>
      </c>
      <c r="I226">
        <v>2000</v>
      </c>
      <c r="J226">
        <v>1003.23</v>
      </c>
      <c r="K226">
        <v>0</v>
      </c>
      <c r="L226">
        <v>470485</v>
      </c>
      <c r="M226" t="s">
        <v>75</v>
      </c>
      <c r="N226" t="s">
        <v>97</v>
      </c>
      <c r="O226" t="s">
        <v>102</v>
      </c>
      <c r="P226" t="s">
        <v>175</v>
      </c>
      <c r="Q226" t="s">
        <v>147</v>
      </c>
      <c r="R226">
        <v>0</v>
      </c>
      <c r="S226">
        <v>0</v>
      </c>
      <c r="T226" s="1">
        <v>42021</v>
      </c>
      <c r="U226" t="s">
        <v>80</v>
      </c>
      <c r="V226" t="s">
        <v>52</v>
      </c>
      <c r="W226" t="s">
        <v>53</v>
      </c>
      <c r="X226" t="s">
        <v>104</v>
      </c>
      <c r="Y226" t="s">
        <v>69</v>
      </c>
      <c r="Z226" t="s">
        <v>92</v>
      </c>
      <c r="AA226" t="s">
        <v>408</v>
      </c>
      <c r="AB226">
        <v>23</v>
      </c>
      <c r="AC226" t="str">
        <f t="shared" si="10"/>
        <v>Evening</v>
      </c>
      <c r="AD226">
        <v>3</v>
      </c>
      <c r="AE226" t="s">
        <v>67</v>
      </c>
      <c r="AF226">
        <v>0</v>
      </c>
      <c r="AG226">
        <v>3</v>
      </c>
      <c r="AH226" t="s">
        <v>58</v>
      </c>
      <c r="AI226">
        <v>77880</v>
      </c>
      <c r="AJ226">
        <v>12980</v>
      </c>
      <c r="AK226">
        <v>12980</v>
      </c>
      <c r="AL226">
        <v>51920</v>
      </c>
      <c r="AM226" t="s">
        <v>100</v>
      </c>
      <c r="AN226" t="s">
        <v>153</v>
      </c>
      <c r="AO226">
        <v>2015</v>
      </c>
      <c r="AP226">
        <v>2008</v>
      </c>
      <c r="AQ226">
        <f t="shared" si="11"/>
        <v>7</v>
      </c>
      <c r="AR226" t="s">
        <v>87</v>
      </c>
    </row>
    <row r="227" spans="1:44" x14ac:dyDescent="0.25">
      <c r="A227">
        <v>245</v>
      </c>
      <c r="B227" t="str">
        <f t="shared" si="9"/>
        <v>10+ years</v>
      </c>
      <c r="C227">
        <v>41</v>
      </c>
      <c r="D227" t="str" cm="1">
        <f t="array" ref="D227">_xlfn.IFS(C227&lt;26, "19-25", C227&lt;33, "26-32", C227&lt;40, "33-39", C227&lt;47, "40-46",C227&lt;54, "47-53", TRUE, "54+")</f>
        <v>40-46</v>
      </c>
      <c r="E227">
        <v>267885</v>
      </c>
      <c r="F227" s="1">
        <v>41512</v>
      </c>
      <c r="G227" t="s">
        <v>62</v>
      </c>
      <c r="H227" t="s">
        <v>96</v>
      </c>
      <c r="I227">
        <v>2000</v>
      </c>
      <c r="J227">
        <v>1212</v>
      </c>
      <c r="K227">
        <v>0</v>
      </c>
      <c r="L227">
        <v>620473</v>
      </c>
      <c r="M227" t="s">
        <v>46</v>
      </c>
      <c r="N227" t="s">
        <v>129</v>
      </c>
      <c r="O227" t="s">
        <v>130</v>
      </c>
      <c r="P227" t="s">
        <v>184</v>
      </c>
      <c r="Q227" t="s">
        <v>90</v>
      </c>
      <c r="R227">
        <v>24400</v>
      </c>
      <c r="S227">
        <v>-60500</v>
      </c>
      <c r="T227" s="1">
        <v>42032</v>
      </c>
      <c r="U227" t="s">
        <v>51</v>
      </c>
      <c r="V227" t="s">
        <v>91</v>
      </c>
      <c r="W227" t="s">
        <v>112</v>
      </c>
      <c r="X227" t="s">
        <v>141</v>
      </c>
      <c r="Y227" t="s">
        <v>82</v>
      </c>
      <c r="Z227" t="s">
        <v>107</v>
      </c>
      <c r="AA227" t="s">
        <v>409</v>
      </c>
      <c r="AB227">
        <v>4</v>
      </c>
      <c r="AC227" t="str">
        <f t="shared" si="10"/>
        <v>Night</v>
      </c>
      <c r="AD227">
        <v>1</v>
      </c>
      <c r="AE227" t="s">
        <v>58</v>
      </c>
      <c r="AF227">
        <v>0</v>
      </c>
      <c r="AG227">
        <v>1</v>
      </c>
      <c r="AH227" t="s">
        <v>58</v>
      </c>
      <c r="AI227">
        <v>73500</v>
      </c>
      <c r="AJ227">
        <v>7350</v>
      </c>
      <c r="AK227">
        <v>14700</v>
      </c>
      <c r="AL227">
        <v>51450</v>
      </c>
      <c r="AM227" t="s">
        <v>202</v>
      </c>
      <c r="AN227" t="s">
        <v>203</v>
      </c>
      <c r="AO227">
        <v>2015</v>
      </c>
      <c r="AP227">
        <v>1999</v>
      </c>
      <c r="AQ227">
        <f t="shared" si="11"/>
        <v>16</v>
      </c>
      <c r="AR227" t="s">
        <v>87</v>
      </c>
    </row>
    <row r="228" spans="1:44" x14ac:dyDescent="0.25">
      <c r="A228">
        <v>371</v>
      </c>
      <c r="B228" t="str">
        <f t="shared" si="9"/>
        <v>10+ years</v>
      </c>
      <c r="C228">
        <v>52</v>
      </c>
      <c r="D228" t="str" cm="1">
        <f t="array" ref="D228">_xlfn.IFS(C228&lt;26, "19-25", C228&lt;33, "26-32", C228&lt;40, "33-39", C228&lt;47, "40-46",C228&lt;54, "47-53", TRUE, "54+")</f>
        <v>47-53</v>
      </c>
      <c r="E228">
        <v>740505</v>
      </c>
      <c r="F228" s="1">
        <v>35715</v>
      </c>
      <c r="G228" t="s">
        <v>88</v>
      </c>
      <c r="H228" t="s">
        <v>45</v>
      </c>
      <c r="I228">
        <v>1000</v>
      </c>
      <c r="J228">
        <v>1242.96</v>
      </c>
      <c r="K228">
        <v>7000000</v>
      </c>
      <c r="L228">
        <v>449800</v>
      </c>
      <c r="M228" t="s">
        <v>75</v>
      </c>
      <c r="N228" t="s">
        <v>136</v>
      </c>
      <c r="O228" t="s">
        <v>116</v>
      </c>
      <c r="P228" t="s">
        <v>170</v>
      </c>
      <c r="Q228" t="s">
        <v>79</v>
      </c>
      <c r="R228">
        <v>0</v>
      </c>
      <c r="S228">
        <v>-37100</v>
      </c>
      <c r="T228" s="1">
        <v>42057</v>
      </c>
      <c r="U228" t="s">
        <v>80</v>
      </c>
      <c r="V228" t="s">
        <v>81</v>
      </c>
      <c r="W228" t="s">
        <v>68</v>
      </c>
      <c r="X228" t="s">
        <v>125</v>
      </c>
      <c r="Y228" t="s">
        <v>82</v>
      </c>
      <c r="Z228" t="s">
        <v>70</v>
      </c>
      <c r="AA228" t="s">
        <v>410</v>
      </c>
      <c r="AB228">
        <v>2</v>
      </c>
      <c r="AC228" t="str">
        <f t="shared" si="10"/>
        <v>Night</v>
      </c>
      <c r="AD228">
        <v>2</v>
      </c>
      <c r="AE228" t="s">
        <v>58</v>
      </c>
      <c r="AF228">
        <v>2</v>
      </c>
      <c r="AG228">
        <v>0</v>
      </c>
      <c r="AH228" t="s">
        <v>67</v>
      </c>
      <c r="AI228">
        <v>88920</v>
      </c>
      <c r="AJ228">
        <v>6840</v>
      </c>
      <c r="AK228">
        <v>13680</v>
      </c>
      <c r="AL228">
        <v>68400</v>
      </c>
      <c r="AM228" t="s">
        <v>100</v>
      </c>
      <c r="AN228" t="s">
        <v>101</v>
      </c>
      <c r="AO228">
        <v>2015</v>
      </c>
      <c r="AP228">
        <v>2010</v>
      </c>
      <c r="AQ228">
        <f t="shared" si="11"/>
        <v>5</v>
      </c>
      <c r="AR228" t="s">
        <v>87</v>
      </c>
    </row>
    <row r="229" spans="1:44" x14ac:dyDescent="0.25">
      <c r="A229">
        <v>343</v>
      </c>
      <c r="B229" t="str">
        <f t="shared" si="9"/>
        <v>10+ years</v>
      </c>
      <c r="C229">
        <v>52</v>
      </c>
      <c r="D229" t="str" cm="1">
        <f t="array" ref="D229">_xlfn.IFS(C229&lt;26, "19-25", C229&lt;33, "26-32", C229&lt;40, "33-39", C229&lt;47, "40-46",C229&lt;54, "47-53", TRUE, "54+")</f>
        <v>47-53</v>
      </c>
      <c r="E229">
        <v>629663</v>
      </c>
      <c r="F229" s="1">
        <v>37277</v>
      </c>
      <c r="G229" t="s">
        <v>88</v>
      </c>
      <c r="H229" t="s">
        <v>96</v>
      </c>
      <c r="I229">
        <v>1000</v>
      </c>
      <c r="J229">
        <v>1053.02</v>
      </c>
      <c r="K229">
        <v>0</v>
      </c>
      <c r="L229">
        <v>602402</v>
      </c>
      <c r="M229" t="s">
        <v>75</v>
      </c>
      <c r="N229" t="s">
        <v>97</v>
      </c>
      <c r="O229" t="s">
        <v>106</v>
      </c>
      <c r="P229" t="s">
        <v>103</v>
      </c>
      <c r="Q229" t="s">
        <v>147</v>
      </c>
      <c r="R229">
        <v>0</v>
      </c>
      <c r="S229">
        <v>0</v>
      </c>
      <c r="T229" s="1">
        <v>42051</v>
      </c>
      <c r="U229" t="s">
        <v>51</v>
      </c>
      <c r="V229" t="s">
        <v>91</v>
      </c>
      <c r="W229" t="s">
        <v>53</v>
      </c>
      <c r="X229" t="s">
        <v>125</v>
      </c>
      <c r="Y229" t="s">
        <v>82</v>
      </c>
      <c r="Z229" t="s">
        <v>92</v>
      </c>
      <c r="AA229" t="s">
        <v>411</v>
      </c>
      <c r="AB229">
        <v>2</v>
      </c>
      <c r="AC229" t="str">
        <f t="shared" si="10"/>
        <v>Night</v>
      </c>
      <c r="AD229">
        <v>1</v>
      </c>
      <c r="AE229" t="s">
        <v>67</v>
      </c>
      <c r="AF229">
        <v>0</v>
      </c>
      <c r="AG229">
        <v>2</v>
      </c>
      <c r="AH229" t="s">
        <v>84</v>
      </c>
      <c r="AI229">
        <v>47630</v>
      </c>
      <c r="AJ229">
        <v>12990</v>
      </c>
      <c r="AK229">
        <v>4330</v>
      </c>
      <c r="AL229">
        <v>30310</v>
      </c>
      <c r="AM229" t="s">
        <v>120</v>
      </c>
      <c r="AN229" t="s">
        <v>188</v>
      </c>
      <c r="AO229">
        <v>2015</v>
      </c>
      <c r="AP229">
        <v>2005</v>
      </c>
      <c r="AQ229">
        <f t="shared" si="11"/>
        <v>10</v>
      </c>
      <c r="AR229" t="s">
        <v>61</v>
      </c>
    </row>
    <row r="230" spans="1:44" x14ac:dyDescent="0.25">
      <c r="A230">
        <v>377</v>
      </c>
      <c r="B230" t="str">
        <f t="shared" si="9"/>
        <v>10+ years</v>
      </c>
      <c r="C230">
        <v>53</v>
      </c>
      <c r="D230" t="str" cm="1">
        <f t="array" ref="D230">_xlfn.IFS(C230&lt;26, "19-25", C230&lt;33, "26-32", C230&lt;40, "33-39", C230&lt;47, "40-46",C230&lt;54, "47-53", TRUE, "54+")</f>
        <v>47-53</v>
      </c>
      <c r="E230">
        <v>839884</v>
      </c>
      <c r="F230" s="1">
        <v>35310</v>
      </c>
      <c r="G230" t="s">
        <v>88</v>
      </c>
      <c r="H230" t="s">
        <v>74</v>
      </c>
      <c r="I230">
        <v>500</v>
      </c>
      <c r="J230">
        <v>1693.63</v>
      </c>
      <c r="K230">
        <v>0</v>
      </c>
      <c r="L230">
        <v>452456</v>
      </c>
      <c r="M230" t="s">
        <v>75</v>
      </c>
      <c r="N230" t="s">
        <v>47</v>
      </c>
      <c r="O230" t="s">
        <v>48</v>
      </c>
      <c r="P230" t="s">
        <v>175</v>
      </c>
      <c r="Q230" t="s">
        <v>90</v>
      </c>
      <c r="R230">
        <v>0</v>
      </c>
      <c r="S230">
        <v>-64000</v>
      </c>
      <c r="T230" s="1">
        <v>42052</v>
      </c>
      <c r="U230" t="s">
        <v>80</v>
      </c>
      <c r="V230" t="s">
        <v>91</v>
      </c>
      <c r="W230" t="s">
        <v>112</v>
      </c>
      <c r="X230" t="s">
        <v>104</v>
      </c>
      <c r="Y230" t="s">
        <v>118</v>
      </c>
      <c r="Z230" t="s">
        <v>127</v>
      </c>
      <c r="AA230" t="s">
        <v>412</v>
      </c>
      <c r="AB230">
        <v>10</v>
      </c>
      <c r="AC230" t="str">
        <f t="shared" si="10"/>
        <v>Morning</v>
      </c>
      <c r="AD230">
        <v>3</v>
      </c>
      <c r="AE230" t="s">
        <v>58</v>
      </c>
      <c r="AF230">
        <v>1</v>
      </c>
      <c r="AG230">
        <v>3</v>
      </c>
      <c r="AH230" t="s">
        <v>84</v>
      </c>
      <c r="AI230">
        <v>59040</v>
      </c>
      <c r="AJ230">
        <v>6560</v>
      </c>
      <c r="AK230">
        <v>6560</v>
      </c>
      <c r="AL230">
        <v>45920</v>
      </c>
      <c r="AM230" t="s">
        <v>59</v>
      </c>
      <c r="AN230">
        <v>93</v>
      </c>
      <c r="AO230">
        <v>2015</v>
      </c>
      <c r="AP230">
        <v>2015</v>
      </c>
      <c r="AQ230">
        <f t="shared" si="11"/>
        <v>0</v>
      </c>
      <c r="AR230" t="s">
        <v>87</v>
      </c>
    </row>
    <row r="231" spans="1:44" x14ac:dyDescent="0.25">
      <c r="A231">
        <v>154</v>
      </c>
      <c r="B231" t="str">
        <f t="shared" si="9"/>
        <v>10+ years</v>
      </c>
      <c r="C231">
        <v>37</v>
      </c>
      <c r="D231" t="str" cm="1">
        <f t="array" ref="D231">_xlfn.IFS(C231&lt;26, "19-25", C231&lt;33, "26-32", C231&lt;40, "33-39", C231&lt;47, "40-46",C231&lt;54, "47-53", TRUE, "54+")</f>
        <v>33-39</v>
      </c>
      <c r="E231">
        <v>241562</v>
      </c>
      <c r="F231" s="1">
        <v>40206</v>
      </c>
      <c r="G231" t="s">
        <v>88</v>
      </c>
      <c r="H231" t="s">
        <v>45</v>
      </c>
      <c r="I231">
        <v>1000</v>
      </c>
      <c r="J231">
        <v>2047.59</v>
      </c>
      <c r="K231">
        <v>0</v>
      </c>
      <c r="L231">
        <v>439269</v>
      </c>
      <c r="M231" t="s">
        <v>75</v>
      </c>
      <c r="N231" t="s">
        <v>47</v>
      </c>
      <c r="O231" t="s">
        <v>194</v>
      </c>
      <c r="P231" t="s">
        <v>131</v>
      </c>
      <c r="Q231" t="s">
        <v>65</v>
      </c>
      <c r="R231">
        <v>0</v>
      </c>
      <c r="S231">
        <v>-67800</v>
      </c>
      <c r="T231" s="1">
        <v>42013</v>
      </c>
      <c r="U231" t="s">
        <v>51</v>
      </c>
      <c r="V231" t="s">
        <v>81</v>
      </c>
      <c r="W231" t="s">
        <v>68</v>
      </c>
      <c r="X231" t="s">
        <v>125</v>
      </c>
      <c r="Y231" t="s">
        <v>55</v>
      </c>
      <c r="Z231" t="s">
        <v>56</v>
      </c>
      <c r="AA231" t="s">
        <v>413</v>
      </c>
      <c r="AB231">
        <v>2</v>
      </c>
      <c r="AC231" t="str">
        <f t="shared" si="10"/>
        <v>Night</v>
      </c>
      <c r="AD231">
        <v>1</v>
      </c>
      <c r="AE231" t="s">
        <v>67</v>
      </c>
      <c r="AF231">
        <v>0</v>
      </c>
      <c r="AG231">
        <v>3</v>
      </c>
      <c r="AH231" t="s">
        <v>84</v>
      </c>
      <c r="AI231">
        <v>79530</v>
      </c>
      <c r="AJ231">
        <v>14460</v>
      </c>
      <c r="AK231">
        <v>7230</v>
      </c>
      <c r="AL231">
        <v>57840</v>
      </c>
      <c r="AM231" t="s">
        <v>100</v>
      </c>
      <c r="AN231" t="s">
        <v>153</v>
      </c>
      <c r="AO231">
        <v>2015</v>
      </c>
      <c r="AP231">
        <v>2000</v>
      </c>
      <c r="AQ231">
        <f t="shared" si="11"/>
        <v>15</v>
      </c>
      <c r="AR231" t="s">
        <v>87</v>
      </c>
    </row>
    <row r="232" spans="1:44" x14ac:dyDescent="0.25">
      <c r="A232">
        <v>166</v>
      </c>
      <c r="B232" t="str">
        <f t="shared" si="9"/>
        <v>10+ years</v>
      </c>
      <c r="C232">
        <v>34</v>
      </c>
      <c r="D232" t="str" cm="1">
        <f t="array" ref="D232">_xlfn.IFS(C232&lt;26, "19-25", C232&lt;33, "26-32", C232&lt;40, "33-39", C232&lt;47, "40-46",C232&lt;54, "47-53", TRUE, "54+")</f>
        <v>33-39</v>
      </c>
      <c r="E232">
        <v>405533</v>
      </c>
      <c r="F232" s="1">
        <v>41915</v>
      </c>
      <c r="G232" t="s">
        <v>44</v>
      </c>
      <c r="H232" t="s">
        <v>74</v>
      </c>
      <c r="I232">
        <v>1000</v>
      </c>
      <c r="J232">
        <v>1083.72</v>
      </c>
      <c r="K232">
        <v>0</v>
      </c>
      <c r="L232">
        <v>617774</v>
      </c>
      <c r="M232" t="s">
        <v>75</v>
      </c>
      <c r="N232" t="s">
        <v>136</v>
      </c>
      <c r="O232" t="s">
        <v>63</v>
      </c>
      <c r="P232" t="s">
        <v>111</v>
      </c>
      <c r="Q232" t="s">
        <v>124</v>
      </c>
      <c r="R232">
        <v>65600</v>
      </c>
      <c r="S232">
        <v>-68200</v>
      </c>
      <c r="T232" s="1">
        <v>42044</v>
      </c>
      <c r="U232" t="s">
        <v>51</v>
      </c>
      <c r="V232" t="s">
        <v>52</v>
      </c>
      <c r="W232" t="s">
        <v>112</v>
      </c>
      <c r="X232" t="s">
        <v>125</v>
      </c>
      <c r="Y232" t="s">
        <v>82</v>
      </c>
      <c r="Z232" t="s">
        <v>56</v>
      </c>
      <c r="AA232" t="s">
        <v>414</v>
      </c>
      <c r="AB232">
        <v>18</v>
      </c>
      <c r="AC232" t="str">
        <f t="shared" si="10"/>
        <v>Evening</v>
      </c>
      <c r="AD232">
        <v>1</v>
      </c>
      <c r="AE232" t="s">
        <v>84</v>
      </c>
      <c r="AF232">
        <v>0</v>
      </c>
      <c r="AG232">
        <v>2</v>
      </c>
      <c r="AH232" t="s">
        <v>58</v>
      </c>
      <c r="AI232">
        <v>53680</v>
      </c>
      <c r="AJ232">
        <v>4880</v>
      </c>
      <c r="AK232">
        <v>4880</v>
      </c>
      <c r="AL232">
        <v>43920</v>
      </c>
      <c r="AM232" t="s">
        <v>214</v>
      </c>
      <c r="AN232" t="s">
        <v>230</v>
      </c>
      <c r="AO232">
        <v>2015</v>
      </c>
      <c r="AP232">
        <v>2005</v>
      </c>
      <c r="AQ232">
        <f t="shared" si="11"/>
        <v>10</v>
      </c>
      <c r="AR232" t="s">
        <v>87</v>
      </c>
    </row>
    <row r="233" spans="1:44" x14ac:dyDescent="0.25">
      <c r="A233">
        <v>298</v>
      </c>
      <c r="B233" t="str">
        <f t="shared" si="9"/>
        <v>10+ years</v>
      </c>
      <c r="C233">
        <v>46</v>
      </c>
      <c r="D233" t="str" cm="1">
        <f t="array" ref="D233">_xlfn.IFS(C233&lt;26, "19-25", C233&lt;33, "26-32", C233&lt;40, "33-39", C233&lt;47, "40-46",C233&lt;54, "47-53", TRUE, "54+")</f>
        <v>40-46</v>
      </c>
      <c r="E233">
        <v>667021</v>
      </c>
      <c r="F233" s="1">
        <v>39204</v>
      </c>
      <c r="G233" t="s">
        <v>44</v>
      </c>
      <c r="H233" t="s">
        <v>96</v>
      </c>
      <c r="I233">
        <v>1000</v>
      </c>
      <c r="J233">
        <v>1138.42</v>
      </c>
      <c r="K233">
        <v>6000000</v>
      </c>
      <c r="L233">
        <v>477678</v>
      </c>
      <c r="M233" t="s">
        <v>46</v>
      </c>
      <c r="N233" t="s">
        <v>166</v>
      </c>
      <c r="O233" t="s">
        <v>106</v>
      </c>
      <c r="P233" t="s">
        <v>131</v>
      </c>
      <c r="Q233" t="s">
        <v>79</v>
      </c>
      <c r="R233">
        <v>36900</v>
      </c>
      <c r="S233">
        <v>-55000</v>
      </c>
      <c r="T233" s="1">
        <v>42051</v>
      </c>
      <c r="U233" t="s">
        <v>51</v>
      </c>
      <c r="V233" t="s">
        <v>52</v>
      </c>
      <c r="W233" t="s">
        <v>68</v>
      </c>
      <c r="X233" t="s">
        <v>54</v>
      </c>
      <c r="Y233" t="s">
        <v>55</v>
      </c>
      <c r="Z233" t="s">
        <v>92</v>
      </c>
      <c r="AA233" t="s">
        <v>415</v>
      </c>
      <c r="AB233">
        <v>18</v>
      </c>
      <c r="AC233" t="str">
        <f t="shared" si="10"/>
        <v>Evening</v>
      </c>
      <c r="AD233">
        <v>1</v>
      </c>
      <c r="AE233" t="s">
        <v>84</v>
      </c>
      <c r="AF233">
        <v>2</v>
      </c>
      <c r="AG233">
        <v>3</v>
      </c>
      <c r="AH233" t="s">
        <v>58</v>
      </c>
      <c r="AI233">
        <v>33550</v>
      </c>
      <c r="AJ233">
        <v>3050</v>
      </c>
      <c r="AK233">
        <v>6100</v>
      </c>
      <c r="AL233">
        <v>24400</v>
      </c>
      <c r="AM233" t="s">
        <v>219</v>
      </c>
      <c r="AN233" t="s">
        <v>220</v>
      </c>
      <c r="AO233">
        <v>2015</v>
      </c>
      <c r="AP233">
        <v>2005</v>
      </c>
      <c r="AQ233">
        <f t="shared" si="11"/>
        <v>10</v>
      </c>
      <c r="AR233" t="s">
        <v>87</v>
      </c>
    </row>
    <row r="234" spans="1:44" x14ac:dyDescent="0.25">
      <c r="A234">
        <v>235</v>
      </c>
      <c r="B234" t="str">
        <f t="shared" si="9"/>
        <v>10+ years</v>
      </c>
      <c r="C234">
        <v>42</v>
      </c>
      <c r="D234" t="str" cm="1">
        <f t="array" ref="D234">_xlfn.IFS(C234&lt;26, "19-25", C234&lt;33, "26-32", C234&lt;40, "33-39", C234&lt;47, "40-46",C234&lt;54, "47-53", TRUE, "54+")</f>
        <v>40-46</v>
      </c>
      <c r="E234">
        <v>511621</v>
      </c>
      <c r="F234" s="1">
        <v>33138</v>
      </c>
      <c r="G234" t="s">
        <v>62</v>
      </c>
      <c r="H234" t="s">
        <v>45</v>
      </c>
      <c r="I234">
        <v>500</v>
      </c>
      <c r="J234">
        <v>1072.6199999999999</v>
      </c>
      <c r="K234">
        <v>0</v>
      </c>
      <c r="L234">
        <v>444913</v>
      </c>
      <c r="M234" t="s">
        <v>75</v>
      </c>
      <c r="N234" t="s">
        <v>129</v>
      </c>
      <c r="O234" t="s">
        <v>63</v>
      </c>
      <c r="P234" t="s">
        <v>269</v>
      </c>
      <c r="Q234" t="s">
        <v>50</v>
      </c>
      <c r="R234">
        <v>39900</v>
      </c>
      <c r="S234">
        <v>-60200</v>
      </c>
      <c r="T234" s="1">
        <v>42053</v>
      </c>
      <c r="U234" t="s">
        <v>80</v>
      </c>
      <c r="V234" t="s">
        <v>52</v>
      </c>
      <c r="W234" t="s">
        <v>112</v>
      </c>
      <c r="X234" t="s">
        <v>125</v>
      </c>
      <c r="Y234" t="s">
        <v>118</v>
      </c>
      <c r="Z234" t="s">
        <v>107</v>
      </c>
      <c r="AA234" t="s">
        <v>416</v>
      </c>
      <c r="AB234">
        <v>7</v>
      </c>
      <c r="AC234" t="str">
        <f t="shared" si="10"/>
        <v>Morning</v>
      </c>
      <c r="AD234">
        <v>4</v>
      </c>
      <c r="AE234" t="s">
        <v>67</v>
      </c>
      <c r="AF234">
        <v>2</v>
      </c>
      <c r="AG234">
        <v>1</v>
      </c>
      <c r="AH234" t="s">
        <v>58</v>
      </c>
      <c r="AI234">
        <v>69100</v>
      </c>
      <c r="AJ234">
        <v>6910</v>
      </c>
      <c r="AK234">
        <v>6910</v>
      </c>
      <c r="AL234">
        <v>55280</v>
      </c>
      <c r="AM234" t="s">
        <v>120</v>
      </c>
      <c r="AN234" t="s">
        <v>145</v>
      </c>
      <c r="AO234">
        <v>2015</v>
      </c>
      <c r="AP234">
        <v>2006</v>
      </c>
      <c r="AQ234">
        <f t="shared" si="11"/>
        <v>9</v>
      </c>
      <c r="AR234" t="s">
        <v>87</v>
      </c>
    </row>
    <row r="235" spans="1:44" x14ac:dyDescent="0.25">
      <c r="A235">
        <v>172</v>
      </c>
      <c r="B235" t="str">
        <f t="shared" si="9"/>
        <v>10+ years</v>
      </c>
      <c r="C235">
        <v>35</v>
      </c>
      <c r="D235" t="str" cm="1">
        <f t="array" ref="D235">_xlfn.IFS(C235&lt;26, "19-25", C235&lt;33, "26-32", C235&lt;40, "33-39", C235&lt;47, "40-46",C235&lt;54, "47-53", TRUE, "54+")</f>
        <v>33-39</v>
      </c>
      <c r="E235">
        <v>476923</v>
      </c>
      <c r="F235" s="1">
        <v>38249</v>
      </c>
      <c r="G235" t="s">
        <v>88</v>
      </c>
      <c r="H235" t="s">
        <v>74</v>
      </c>
      <c r="I235">
        <v>2000</v>
      </c>
      <c r="J235">
        <v>1219.04</v>
      </c>
      <c r="K235">
        <v>0</v>
      </c>
      <c r="L235">
        <v>456602</v>
      </c>
      <c r="M235" t="s">
        <v>46</v>
      </c>
      <c r="N235" t="s">
        <v>47</v>
      </c>
      <c r="O235" t="s">
        <v>164</v>
      </c>
      <c r="P235" t="s">
        <v>170</v>
      </c>
      <c r="Q235" t="s">
        <v>79</v>
      </c>
      <c r="R235">
        <v>63600</v>
      </c>
      <c r="S235">
        <v>-68700</v>
      </c>
      <c r="T235" s="1">
        <v>42015</v>
      </c>
      <c r="U235" t="s">
        <v>80</v>
      </c>
      <c r="V235" t="s">
        <v>81</v>
      </c>
      <c r="W235" t="s">
        <v>53</v>
      </c>
      <c r="X235" t="s">
        <v>54</v>
      </c>
      <c r="Y235" t="s">
        <v>44</v>
      </c>
      <c r="Z235" t="s">
        <v>127</v>
      </c>
      <c r="AA235" t="s">
        <v>417</v>
      </c>
      <c r="AB235">
        <v>19</v>
      </c>
      <c r="AC235" t="str">
        <f t="shared" si="10"/>
        <v>Evening</v>
      </c>
      <c r="AD235">
        <v>3</v>
      </c>
      <c r="AE235" t="s">
        <v>67</v>
      </c>
      <c r="AF235">
        <v>2</v>
      </c>
      <c r="AG235">
        <v>0</v>
      </c>
      <c r="AH235" t="s">
        <v>84</v>
      </c>
      <c r="AI235">
        <v>79750</v>
      </c>
      <c r="AJ235">
        <v>14500</v>
      </c>
      <c r="AK235">
        <v>14500</v>
      </c>
      <c r="AL235">
        <v>50750</v>
      </c>
      <c r="AM235" t="s">
        <v>109</v>
      </c>
      <c r="AN235" t="s">
        <v>110</v>
      </c>
      <c r="AO235">
        <v>2015</v>
      </c>
      <c r="AP235">
        <v>1999</v>
      </c>
      <c r="AQ235">
        <f t="shared" si="11"/>
        <v>16</v>
      </c>
      <c r="AR235" t="s">
        <v>87</v>
      </c>
    </row>
    <row r="236" spans="1:44" x14ac:dyDescent="0.25">
      <c r="A236">
        <v>27</v>
      </c>
      <c r="B236" t="str">
        <f t="shared" si="9"/>
        <v>2-5 years</v>
      </c>
      <c r="C236">
        <v>28</v>
      </c>
      <c r="D236" t="str" cm="1">
        <f t="array" ref="D236">_xlfn.IFS(C236&lt;26, "19-25", C236&lt;33, "26-32", C236&lt;40, "33-39", C236&lt;47, "40-46",C236&lt;54, "47-53", TRUE, "54+")</f>
        <v>26-32</v>
      </c>
      <c r="E236">
        <v>735822</v>
      </c>
      <c r="F236" s="1">
        <v>34939</v>
      </c>
      <c r="G236" t="s">
        <v>62</v>
      </c>
      <c r="H236" t="s">
        <v>74</v>
      </c>
      <c r="I236">
        <v>2000</v>
      </c>
      <c r="J236">
        <v>1371.78</v>
      </c>
      <c r="K236">
        <v>0</v>
      </c>
      <c r="L236">
        <v>451560</v>
      </c>
      <c r="M236" t="s">
        <v>46</v>
      </c>
      <c r="N236" t="s">
        <v>166</v>
      </c>
      <c r="O236" t="s">
        <v>194</v>
      </c>
      <c r="P236" t="s">
        <v>178</v>
      </c>
      <c r="Q236" t="s">
        <v>65</v>
      </c>
      <c r="R236">
        <v>0</v>
      </c>
      <c r="S236">
        <v>-32500</v>
      </c>
      <c r="T236" s="1">
        <v>42039</v>
      </c>
      <c r="U236" t="s">
        <v>80</v>
      </c>
      <c r="V236" t="s">
        <v>91</v>
      </c>
      <c r="W236" t="s">
        <v>53</v>
      </c>
      <c r="X236" t="s">
        <v>125</v>
      </c>
      <c r="Y236" t="s">
        <v>180</v>
      </c>
      <c r="Z236" t="s">
        <v>70</v>
      </c>
      <c r="AA236" t="s">
        <v>418</v>
      </c>
      <c r="AB236">
        <v>10</v>
      </c>
      <c r="AC236" t="str">
        <f t="shared" si="10"/>
        <v>Morning</v>
      </c>
      <c r="AD236">
        <v>3</v>
      </c>
      <c r="AE236" t="s">
        <v>67</v>
      </c>
      <c r="AF236">
        <v>0</v>
      </c>
      <c r="AG236">
        <v>2</v>
      </c>
      <c r="AH236" t="s">
        <v>58</v>
      </c>
      <c r="AI236">
        <v>53600</v>
      </c>
      <c r="AJ236">
        <v>5360</v>
      </c>
      <c r="AK236">
        <v>10720</v>
      </c>
      <c r="AL236">
        <v>37520</v>
      </c>
      <c r="AM236" t="s">
        <v>114</v>
      </c>
      <c r="AN236" t="s">
        <v>115</v>
      </c>
      <c r="AO236">
        <v>2015</v>
      </c>
      <c r="AP236">
        <v>2015</v>
      </c>
      <c r="AQ236">
        <f t="shared" si="11"/>
        <v>0</v>
      </c>
      <c r="AR236" t="s">
        <v>61</v>
      </c>
    </row>
    <row r="237" spans="1:44" x14ac:dyDescent="0.25">
      <c r="A237">
        <v>428</v>
      </c>
      <c r="B237" t="str">
        <f t="shared" si="9"/>
        <v>10+ years</v>
      </c>
      <c r="C237">
        <v>54</v>
      </c>
      <c r="D237" t="str" cm="1">
        <f t="array" ref="D237">_xlfn.IFS(C237&lt;26, "19-25", C237&lt;33, "26-32", C237&lt;40, "33-39", C237&lt;47, "40-46",C237&lt;54, "47-53", TRUE, "54+")</f>
        <v>54+</v>
      </c>
      <c r="E237">
        <v>492745</v>
      </c>
      <c r="F237" s="1">
        <v>38021</v>
      </c>
      <c r="G237" t="s">
        <v>62</v>
      </c>
      <c r="H237" t="s">
        <v>74</v>
      </c>
      <c r="I237">
        <v>2000</v>
      </c>
      <c r="J237">
        <v>1506.21</v>
      </c>
      <c r="K237">
        <v>0</v>
      </c>
      <c r="L237">
        <v>453407</v>
      </c>
      <c r="M237" t="s">
        <v>46</v>
      </c>
      <c r="N237" t="s">
        <v>129</v>
      </c>
      <c r="O237" t="s">
        <v>150</v>
      </c>
      <c r="P237" t="s">
        <v>175</v>
      </c>
      <c r="Q237" t="s">
        <v>90</v>
      </c>
      <c r="R237">
        <v>0</v>
      </c>
      <c r="S237">
        <v>-24400</v>
      </c>
      <c r="T237" s="1">
        <v>42026</v>
      </c>
      <c r="U237" t="s">
        <v>80</v>
      </c>
      <c r="V237" t="s">
        <v>52</v>
      </c>
      <c r="W237" t="s">
        <v>68</v>
      </c>
      <c r="X237" t="s">
        <v>104</v>
      </c>
      <c r="Y237" t="s">
        <v>82</v>
      </c>
      <c r="Z237" t="s">
        <v>70</v>
      </c>
      <c r="AA237" t="s">
        <v>419</v>
      </c>
      <c r="AB237">
        <v>16</v>
      </c>
      <c r="AC237" t="str">
        <f t="shared" si="10"/>
        <v>Afternoon</v>
      </c>
      <c r="AD237">
        <v>3</v>
      </c>
      <c r="AE237" t="s">
        <v>84</v>
      </c>
      <c r="AF237">
        <v>1</v>
      </c>
      <c r="AG237">
        <v>0</v>
      </c>
      <c r="AH237" t="s">
        <v>67</v>
      </c>
      <c r="AI237">
        <v>76560</v>
      </c>
      <c r="AJ237">
        <v>12760</v>
      </c>
      <c r="AK237">
        <v>6380</v>
      </c>
      <c r="AL237">
        <v>57420</v>
      </c>
      <c r="AM237" t="s">
        <v>109</v>
      </c>
      <c r="AN237" t="s">
        <v>292</v>
      </c>
      <c r="AO237">
        <v>2015</v>
      </c>
      <c r="AP237">
        <v>2009</v>
      </c>
      <c r="AQ237">
        <f t="shared" si="11"/>
        <v>6</v>
      </c>
      <c r="AR237" t="s">
        <v>87</v>
      </c>
    </row>
    <row r="238" spans="1:44" x14ac:dyDescent="0.25">
      <c r="A238">
        <v>99</v>
      </c>
      <c r="B238" t="str">
        <f t="shared" si="9"/>
        <v>5-10 years</v>
      </c>
      <c r="C238">
        <v>32</v>
      </c>
      <c r="D238" t="str" cm="1">
        <f t="array" ref="D238">_xlfn.IFS(C238&lt;26, "19-25", C238&lt;33, "26-32", C238&lt;40, "33-39", C238&lt;47, "40-46",C238&lt;54, "47-53", TRUE, "54+")</f>
        <v>26-32</v>
      </c>
      <c r="E238">
        <v>130930</v>
      </c>
      <c r="F238" s="1">
        <v>41843</v>
      </c>
      <c r="G238" t="s">
        <v>62</v>
      </c>
      <c r="H238" t="s">
        <v>74</v>
      </c>
      <c r="I238">
        <v>1000</v>
      </c>
      <c r="J238">
        <v>1058.21</v>
      </c>
      <c r="K238">
        <v>3000000</v>
      </c>
      <c r="L238">
        <v>618655</v>
      </c>
      <c r="M238" t="s">
        <v>46</v>
      </c>
      <c r="N238" t="s">
        <v>166</v>
      </c>
      <c r="O238" t="s">
        <v>48</v>
      </c>
      <c r="P238" t="s">
        <v>117</v>
      </c>
      <c r="Q238" t="s">
        <v>90</v>
      </c>
      <c r="R238">
        <v>0</v>
      </c>
      <c r="S238">
        <v>0</v>
      </c>
      <c r="T238" s="1">
        <v>42014</v>
      </c>
      <c r="U238" t="s">
        <v>51</v>
      </c>
      <c r="V238" t="s">
        <v>91</v>
      </c>
      <c r="W238" t="s">
        <v>112</v>
      </c>
      <c r="X238" t="s">
        <v>104</v>
      </c>
      <c r="Y238" t="s">
        <v>82</v>
      </c>
      <c r="Z238" t="s">
        <v>92</v>
      </c>
      <c r="AA238" t="s">
        <v>420</v>
      </c>
      <c r="AB238">
        <v>17</v>
      </c>
      <c r="AC238" t="str">
        <f t="shared" si="10"/>
        <v>Afternoon</v>
      </c>
      <c r="AD238">
        <v>1</v>
      </c>
      <c r="AE238" t="s">
        <v>58</v>
      </c>
      <c r="AF238">
        <v>1</v>
      </c>
      <c r="AG238">
        <v>1</v>
      </c>
      <c r="AH238" t="s">
        <v>84</v>
      </c>
      <c r="AI238">
        <v>41130</v>
      </c>
      <c r="AJ238">
        <v>4570</v>
      </c>
      <c r="AK238">
        <v>4570</v>
      </c>
      <c r="AL238">
        <v>31990</v>
      </c>
      <c r="AM238" t="s">
        <v>85</v>
      </c>
      <c r="AN238" t="s">
        <v>86</v>
      </c>
      <c r="AO238">
        <v>2015</v>
      </c>
      <c r="AP238">
        <v>1999</v>
      </c>
      <c r="AQ238">
        <f t="shared" si="11"/>
        <v>16</v>
      </c>
      <c r="AR238" t="s">
        <v>87</v>
      </c>
    </row>
    <row r="239" spans="1:44" x14ac:dyDescent="0.25">
      <c r="A239">
        <v>107</v>
      </c>
      <c r="B239" t="str">
        <f t="shared" si="9"/>
        <v>5-10 years</v>
      </c>
      <c r="C239">
        <v>26</v>
      </c>
      <c r="D239" t="str" cm="1">
        <f t="array" ref="D239">_xlfn.IFS(C239&lt;26, "19-25", C239&lt;33, "26-32", C239&lt;40, "33-39", C239&lt;47, "40-46",C239&lt;54, "47-53", TRUE, "54+")</f>
        <v>26-32</v>
      </c>
      <c r="E239">
        <v>261119</v>
      </c>
      <c r="F239" s="1">
        <v>35510</v>
      </c>
      <c r="G239" t="s">
        <v>88</v>
      </c>
      <c r="H239" t="s">
        <v>96</v>
      </c>
      <c r="I239">
        <v>2000</v>
      </c>
      <c r="J239">
        <v>932.14</v>
      </c>
      <c r="K239">
        <v>0</v>
      </c>
      <c r="L239">
        <v>612550</v>
      </c>
      <c r="M239" t="s">
        <v>46</v>
      </c>
      <c r="N239" t="s">
        <v>47</v>
      </c>
      <c r="O239" t="s">
        <v>77</v>
      </c>
      <c r="P239" t="s">
        <v>247</v>
      </c>
      <c r="Q239" t="s">
        <v>79</v>
      </c>
      <c r="R239">
        <v>40600</v>
      </c>
      <c r="S239">
        <v>0</v>
      </c>
      <c r="T239" s="1">
        <v>42014</v>
      </c>
      <c r="U239" t="s">
        <v>80</v>
      </c>
      <c r="V239" t="s">
        <v>81</v>
      </c>
      <c r="W239" t="s">
        <v>112</v>
      </c>
      <c r="X239" t="s">
        <v>104</v>
      </c>
      <c r="Y239" t="s">
        <v>55</v>
      </c>
      <c r="Z239" t="s">
        <v>56</v>
      </c>
      <c r="AA239" t="s">
        <v>421</v>
      </c>
      <c r="AB239">
        <v>2</v>
      </c>
      <c r="AC239" t="str">
        <f t="shared" si="10"/>
        <v>Night</v>
      </c>
      <c r="AD239">
        <v>3</v>
      </c>
      <c r="AE239" t="s">
        <v>84</v>
      </c>
      <c r="AF239">
        <v>2</v>
      </c>
      <c r="AG239">
        <v>3</v>
      </c>
      <c r="AH239" t="s">
        <v>84</v>
      </c>
      <c r="AI239">
        <v>78650</v>
      </c>
      <c r="AJ239">
        <v>14300</v>
      </c>
      <c r="AK239">
        <v>7150</v>
      </c>
      <c r="AL239">
        <v>57200</v>
      </c>
      <c r="AM239" t="s">
        <v>114</v>
      </c>
      <c r="AN239" t="s">
        <v>139</v>
      </c>
      <c r="AO239">
        <v>2015</v>
      </c>
      <c r="AP239">
        <v>1996</v>
      </c>
      <c r="AQ239">
        <f t="shared" si="11"/>
        <v>19</v>
      </c>
      <c r="AR239" t="s">
        <v>61</v>
      </c>
    </row>
    <row r="240" spans="1:44" x14ac:dyDescent="0.25">
      <c r="A240">
        <v>272</v>
      </c>
      <c r="B240" t="str">
        <f t="shared" si="9"/>
        <v>10+ years</v>
      </c>
      <c r="C240">
        <v>41</v>
      </c>
      <c r="D240" t="str" cm="1">
        <f t="array" ref="D240">_xlfn.IFS(C240&lt;26, "19-25", C240&lt;33, "26-32", C240&lt;40, "33-39", C240&lt;47, "40-46",C240&lt;54, "47-53", TRUE, "54+")</f>
        <v>40-46</v>
      </c>
      <c r="E240">
        <v>280709</v>
      </c>
      <c r="F240" s="1">
        <v>33364</v>
      </c>
      <c r="G240" t="s">
        <v>44</v>
      </c>
      <c r="H240" t="s">
        <v>96</v>
      </c>
      <c r="I240">
        <v>2000</v>
      </c>
      <c r="J240">
        <v>1608.34</v>
      </c>
      <c r="K240">
        <v>0</v>
      </c>
      <c r="L240">
        <v>466718</v>
      </c>
      <c r="M240" t="s">
        <v>75</v>
      </c>
      <c r="N240" t="s">
        <v>97</v>
      </c>
      <c r="O240" t="s">
        <v>194</v>
      </c>
      <c r="P240" t="s">
        <v>64</v>
      </c>
      <c r="Q240" t="s">
        <v>79</v>
      </c>
      <c r="R240">
        <v>33300</v>
      </c>
      <c r="S240">
        <v>-10600</v>
      </c>
      <c r="T240" s="1">
        <v>42051</v>
      </c>
      <c r="U240" t="s">
        <v>51</v>
      </c>
      <c r="V240" t="s">
        <v>52</v>
      </c>
      <c r="W240" t="s">
        <v>53</v>
      </c>
      <c r="X240" t="s">
        <v>125</v>
      </c>
      <c r="Y240" t="s">
        <v>82</v>
      </c>
      <c r="Z240" t="s">
        <v>107</v>
      </c>
      <c r="AA240" t="s">
        <v>422</v>
      </c>
      <c r="AB240">
        <v>19</v>
      </c>
      <c r="AC240" t="str">
        <f t="shared" si="10"/>
        <v>Evening</v>
      </c>
      <c r="AD240">
        <v>1</v>
      </c>
      <c r="AE240" t="s">
        <v>67</v>
      </c>
      <c r="AF240">
        <v>1</v>
      </c>
      <c r="AG240">
        <v>1</v>
      </c>
      <c r="AH240" t="s">
        <v>67</v>
      </c>
      <c r="AI240">
        <v>71060</v>
      </c>
      <c r="AJ240">
        <v>6460</v>
      </c>
      <c r="AK240">
        <v>12920</v>
      </c>
      <c r="AL240">
        <v>51680</v>
      </c>
      <c r="AM240" t="s">
        <v>59</v>
      </c>
      <c r="AN240" t="s">
        <v>60</v>
      </c>
      <c r="AO240">
        <v>2015</v>
      </c>
      <c r="AP240">
        <v>2010</v>
      </c>
      <c r="AQ240">
        <f t="shared" si="11"/>
        <v>5</v>
      </c>
      <c r="AR240" t="s">
        <v>87</v>
      </c>
    </row>
    <row r="241" spans="1:44" x14ac:dyDescent="0.25">
      <c r="A241">
        <v>151</v>
      </c>
      <c r="B241" t="str">
        <f t="shared" si="9"/>
        <v>10+ years</v>
      </c>
      <c r="C241">
        <v>37</v>
      </c>
      <c r="D241" t="str" cm="1">
        <f t="array" ref="D241">_xlfn.IFS(C241&lt;26, "19-25", C241&lt;33, "26-32", C241&lt;40, "33-39", C241&lt;47, "40-46",C241&lt;54, "47-53", TRUE, "54+")</f>
        <v>33-39</v>
      </c>
      <c r="E241">
        <v>898573</v>
      </c>
      <c r="F241" s="1">
        <v>33823</v>
      </c>
      <c r="G241" t="s">
        <v>62</v>
      </c>
      <c r="H241" t="s">
        <v>96</v>
      </c>
      <c r="I241">
        <v>1000</v>
      </c>
      <c r="J241">
        <v>1728.56</v>
      </c>
      <c r="K241">
        <v>0</v>
      </c>
      <c r="L241">
        <v>617947</v>
      </c>
      <c r="M241" t="s">
        <v>75</v>
      </c>
      <c r="N241" t="s">
        <v>129</v>
      </c>
      <c r="O241" t="s">
        <v>194</v>
      </c>
      <c r="P241" t="s">
        <v>131</v>
      </c>
      <c r="Q241" t="s">
        <v>79</v>
      </c>
      <c r="R241">
        <v>54000</v>
      </c>
      <c r="S241">
        <v>0</v>
      </c>
      <c r="T241" s="1">
        <v>42043</v>
      </c>
      <c r="U241" t="s">
        <v>51</v>
      </c>
      <c r="V241" t="s">
        <v>91</v>
      </c>
      <c r="W241" t="s">
        <v>68</v>
      </c>
      <c r="X241" t="s">
        <v>104</v>
      </c>
      <c r="Y241" t="s">
        <v>118</v>
      </c>
      <c r="Z241" t="s">
        <v>161</v>
      </c>
      <c r="AA241" t="s">
        <v>423</v>
      </c>
      <c r="AB241">
        <v>0</v>
      </c>
      <c r="AC241" t="str">
        <f t="shared" si="10"/>
        <v>Night</v>
      </c>
      <c r="AD241">
        <v>1</v>
      </c>
      <c r="AE241" t="s">
        <v>58</v>
      </c>
      <c r="AF241">
        <v>1</v>
      </c>
      <c r="AG241">
        <v>1</v>
      </c>
      <c r="AH241" t="s">
        <v>67</v>
      </c>
      <c r="AI241">
        <v>38830</v>
      </c>
      <c r="AJ241">
        <v>3530</v>
      </c>
      <c r="AK241">
        <v>3530</v>
      </c>
      <c r="AL241">
        <v>31770</v>
      </c>
      <c r="AM241" t="s">
        <v>158</v>
      </c>
      <c r="AN241" t="s">
        <v>159</v>
      </c>
      <c r="AO241">
        <v>2015</v>
      </c>
      <c r="AP241">
        <v>1999</v>
      </c>
      <c r="AQ241">
        <f t="shared" si="11"/>
        <v>16</v>
      </c>
      <c r="AR241" t="s">
        <v>87</v>
      </c>
    </row>
    <row r="242" spans="1:44" x14ac:dyDescent="0.25">
      <c r="A242">
        <v>249</v>
      </c>
      <c r="B242" t="str">
        <f t="shared" si="9"/>
        <v>10+ years</v>
      </c>
      <c r="C242">
        <v>43</v>
      </c>
      <c r="D242" t="str" cm="1">
        <f t="array" ref="D242">_xlfn.IFS(C242&lt;26, "19-25", C242&lt;33, "26-32", C242&lt;40, "33-39", C242&lt;47, "40-46",C242&lt;54, "47-53", TRUE, "54+")</f>
        <v>40-46</v>
      </c>
      <c r="E242">
        <v>547802</v>
      </c>
      <c r="F242" s="1">
        <v>41520</v>
      </c>
      <c r="G242" t="s">
        <v>88</v>
      </c>
      <c r="H242" t="s">
        <v>45</v>
      </c>
      <c r="I242">
        <v>1000</v>
      </c>
      <c r="J242">
        <v>1518.46</v>
      </c>
      <c r="K242">
        <v>0</v>
      </c>
      <c r="L242">
        <v>606238</v>
      </c>
      <c r="M242" t="s">
        <v>75</v>
      </c>
      <c r="N242" t="s">
        <v>47</v>
      </c>
      <c r="O242" t="s">
        <v>89</v>
      </c>
      <c r="P242" t="s">
        <v>247</v>
      </c>
      <c r="Q242" t="s">
        <v>79</v>
      </c>
      <c r="R242">
        <v>0</v>
      </c>
      <c r="S242">
        <v>0</v>
      </c>
      <c r="T242" s="1">
        <v>42030</v>
      </c>
      <c r="U242" t="s">
        <v>51</v>
      </c>
      <c r="V242" t="s">
        <v>91</v>
      </c>
      <c r="W242" t="s">
        <v>53</v>
      </c>
      <c r="X242" t="s">
        <v>104</v>
      </c>
      <c r="Y242" t="s">
        <v>55</v>
      </c>
      <c r="Z242" t="s">
        <v>70</v>
      </c>
      <c r="AA242" t="s">
        <v>424</v>
      </c>
      <c r="AB242">
        <v>16</v>
      </c>
      <c r="AC242" t="str">
        <f t="shared" si="10"/>
        <v>Afternoon</v>
      </c>
      <c r="AD242">
        <v>1</v>
      </c>
      <c r="AE242" t="s">
        <v>67</v>
      </c>
      <c r="AF242">
        <v>0</v>
      </c>
      <c r="AG242">
        <v>0</v>
      </c>
      <c r="AH242" t="s">
        <v>58</v>
      </c>
      <c r="AI242">
        <v>53500</v>
      </c>
      <c r="AJ242">
        <v>5350</v>
      </c>
      <c r="AK242">
        <v>5350</v>
      </c>
      <c r="AL242">
        <v>42800</v>
      </c>
      <c r="AM242" t="s">
        <v>59</v>
      </c>
      <c r="AN242" t="s">
        <v>60</v>
      </c>
      <c r="AO242">
        <v>2015</v>
      </c>
      <c r="AP242">
        <v>2015</v>
      </c>
      <c r="AQ242">
        <f t="shared" si="11"/>
        <v>0</v>
      </c>
      <c r="AR242" t="s">
        <v>87</v>
      </c>
    </row>
    <row r="243" spans="1:44" x14ac:dyDescent="0.25">
      <c r="A243">
        <v>177</v>
      </c>
      <c r="B243" t="str">
        <f t="shared" si="9"/>
        <v>10+ years</v>
      </c>
      <c r="C243">
        <v>38</v>
      </c>
      <c r="D243" t="str" cm="1">
        <f t="array" ref="D243">_xlfn.IFS(C243&lt;26, "19-25", C243&lt;33, "26-32", C243&lt;40, "33-39", C243&lt;47, "40-46",C243&lt;54, "47-53", TRUE, "54+")</f>
        <v>33-39</v>
      </c>
      <c r="E243">
        <v>600845</v>
      </c>
      <c r="F243" s="1">
        <v>40913</v>
      </c>
      <c r="G243" t="s">
        <v>88</v>
      </c>
      <c r="H243" t="s">
        <v>74</v>
      </c>
      <c r="I243">
        <v>2000</v>
      </c>
      <c r="J243">
        <v>1540.19</v>
      </c>
      <c r="K243">
        <v>0</v>
      </c>
      <c r="L243">
        <v>463842</v>
      </c>
      <c r="M243" t="s">
        <v>75</v>
      </c>
      <c r="N243" t="s">
        <v>146</v>
      </c>
      <c r="O243" t="s">
        <v>190</v>
      </c>
      <c r="P243" t="s">
        <v>137</v>
      </c>
      <c r="Q243" t="s">
        <v>65</v>
      </c>
      <c r="R243">
        <v>0</v>
      </c>
      <c r="S243">
        <v>-74500</v>
      </c>
      <c r="T243" s="1">
        <v>42036</v>
      </c>
      <c r="U243" t="s">
        <v>51</v>
      </c>
      <c r="V243" t="s">
        <v>91</v>
      </c>
      <c r="W243" t="s">
        <v>53</v>
      </c>
      <c r="X243" t="s">
        <v>125</v>
      </c>
      <c r="Y243" t="s">
        <v>69</v>
      </c>
      <c r="Z243" t="s">
        <v>56</v>
      </c>
      <c r="AA243" t="s">
        <v>425</v>
      </c>
      <c r="AB243">
        <v>20</v>
      </c>
      <c r="AC243" t="str">
        <f t="shared" si="10"/>
        <v>Evening</v>
      </c>
      <c r="AD243">
        <v>1</v>
      </c>
      <c r="AE243" t="s">
        <v>58</v>
      </c>
      <c r="AF243">
        <v>2</v>
      </c>
      <c r="AG243">
        <v>0</v>
      </c>
      <c r="AH243" t="s">
        <v>84</v>
      </c>
      <c r="AI243">
        <v>73700</v>
      </c>
      <c r="AJ243">
        <v>7370</v>
      </c>
      <c r="AK243">
        <v>7370</v>
      </c>
      <c r="AL243">
        <v>58960</v>
      </c>
      <c r="AM243" t="s">
        <v>94</v>
      </c>
      <c r="AN243" t="s">
        <v>228</v>
      </c>
      <c r="AO243">
        <v>2015</v>
      </c>
      <c r="AP243">
        <v>2001</v>
      </c>
      <c r="AQ243">
        <f t="shared" si="11"/>
        <v>14</v>
      </c>
      <c r="AR243" t="s">
        <v>61</v>
      </c>
    </row>
    <row r="244" spans="1:44" x14ac:dyDescent="0.25">
      <c r="A244">
        <v>190</v>
      </c>
      <c r="B244" t="str">
        <f t="shared" si="9"/>
        <v>10+ years</v>
      </c>
      <c r="C244">
        <v>40</v>
      </c>
      <c r="D244" t="str" cm="1">
        <f t="array" ref="D244">_xlfn.IFS(C244&lt;26, "19-25", C244&lt;33, "26-32", C244&lt;40, "33-39", C244&lt;47, "40-46",C244&lt;54, "47-53", TRUE, "54+")</f>
        <v>40-46</v>
      </c>
      <c r="E244">
        <v>390381</v>
      </c>
      <c r="F244" s="1">
        <v>39109</v>
      </c>
      <c r="G244" t="s">
        <v>44</v>
      </c>
      <c r="H244" t="s">
        <v>96</v>
      </c>
      <c r="I244">
        <v>2000</v>
      </c>
      <c r="J244">
        <v>965.21</v>
      </c>
      <c r="K244">
        <v>0</v>
      </c>
      <c r="L244">
        <v>610354</v>
      </c>
      <c r="M244" t="s">
        <v>75</v>
      </c>
      <c r="N244" t="s">
        <v>166</v>
      </c>
      <c r="O244" t="s">
        <v>130</v>
      </c>
      <c r="P244" t="s">
        <v>123</v>
      </c>
      <c r="Q244" t="s">
        <v>65</v>
      </c>
      <c r="R244">
        <v>36900</v>
      </c>
      <c r="S244">
        <v>-53700</v>
      </c>
      <c r="T244" s="1">
        <v>42037</v>
      </c>
      <c r="U244" t="s">
        <v>143</v>
      </c>
      <c r="V244" t="s">
        <v>67</v>
      </c>
      <c r="W244" t="s">
        <v>217</v>
      </c>
      <c r="X244" t="s">
        <v>98</v>
      </c>
      <c r="Y244" t="s">
        <v>55</v>
      </c>
      <c r="Z244" t="s">
        <v>127</v>
      </c>
      <c r="AA244" t="s">
        <v>426</v>
      </c>
      <c r="AB244">
        <v>10</v>
      </c>
      <c r="AC244" t="str">
        <f t="shared" si="10"/>
        <v>Morning</v>
      </c>
      <c r="AD244">
        <v>1</v>
      </c>
      <c r="AE244" t="s">
        <v>67</v>
      </c>
      <c r="AF244">
        <v>2</v>
      </c>
      <c r="AG244">
        <v>1</v>
      </c>
      <c r="AH244" t="s">
        <v>58</v>
      </c>
      <c r="AI244">
        <v>6300</v>
      </c>
      <c r="AJ244">
        <v>630</v>
      </c>
      <c r="AK244">
        <v>630</v>
      </c>
      <c r="AL244">
        <v>5040</v>
      </c>
      <c r="AM244" t="s">
        <v>109</v>
      </c>
      <c r="AN244" t="s">
        <v>292</v>
      </c>
      <c r="AO244">
        <v>2015</v>
      </c>
      <c r="AP244">
        <v>2001</v>
      </c>
      <c r="AQ244">
        <f t="shared" si="11"/>
        <v>14</v>
      </c>
      <c r="AR244" t="s">
        <v>87</v>
      </c>
    </row>
    <row r="245" spans="1:44" x14ac:dyDescent="0.25">
      <c r="A245">
        <v>174</v>
      </c>
      <c r="B245" t="str">
        <f t="shared" si="9"/>
        <v>10+ years</v>
      </c>
      <c r="C245">
        <v>36</v>
      </c>
      <c r="D245" t="str" cm="1">
        <f t="array" ref="D245">_xlfn.IFS(C245&lt;26, "19-25", C245&lt;33, "26-32", C245&lt;40, "33-39", C245&lt;47, "40-46",C245&lt;54, "47-53", TRUE, "54+")</f>
        <v>33-39</v>
      </c>
      <c r="E245">
        <v>629918</v>
      </c>
      <c r="F245" s="1">
        <v>38639</v>
      </c>
      <c r="G245" t="s">
        <v>88</v>
      </c>
      <c r="H245" t="s">
        <v>74</v>
      </c>
      <c r="I245">
        <v>2000</v>
      </c>
      <c r="J245">
        <v>1278.75</v>
      </c>
      <c r="K245">
        <v>0</v>
      </c>
      <c r="L245">
        <v>461328</v>
      </c>
      <c r="M245" t="s">
        <v>75</v>
      </c>
      <c r="N245" t="s">
        <v>146</v>
      </c>
      <c r="O245" t="s">
        <v>102</v>
      </c>
      <c r="P245" t="s">
        <v>170</v>
      </c>
      <c r="Q245" t="s">
        <v>79</v>
      </c>
      <c r="R245">
        <v>53200</v>
      </c>
      <c r="S245">
        <v>-53800</v>
      </c>
      <c r="T245" s="1">
        <v>42041</v>
      </c>
      <c r="U245" t="s">
        <v>80</v>
      </c>
      <c r="V245" t="s">
        <v>81</v>
      </c>
      <c r="W245" t="s">
        <v>112</v>
      </c>
      <c r="X245" t="s">
        <v>141</v>
      </c>
      <c r="Y245" t="s">
        <v>82</v>
      </c>
      <c r="Z245" t="s">
        <v>70</v>
      </c>
      <c r="AA245" t="s">
        <v>427</v>
      </c>
      <c r="AB245">
        <v>21</v>
      </c>
      <c r="AC245" t="str">
        <f t="shared" si="10"/>
        <v>Evening</v>
      </c>
      <c r="AD245">
        <v>3</v>
      </c>
      <c r="AE245" t="s">
        <v>67</v>
      </c>
      <c r="AF245">
        <v>2</v>
      </c>
      <c r="AG245">
        <v>2</v>
      </c>
      <c r="AH245" t="s">
        <v>84</v>
      </c>
      <c r="AI245">
        <v>65400</v>
      </c>
      <c r="AJ245">
        <v>10900</v>
      </c>
      <c r="AK245">
        <v>10900</v>
      </c>
      <c r="AL245">
        <v>43600</v>
      </c>
      <c r="AM245" t="s">
        <v>85</v>
      </c>
      <c r="AN245" t="s">
        <v>86</v>
      </c>
      <c r="AO245">
        <v>2015</v>
      </c>
      <c r="AP245">
        <v>2012</v>
      </c>
      <c r="AQ245">
        <f t="shared" si="11"/>
        <v>3</v>
      </c>
      <c r="AR245" t="s">
        <v>87</v>
      </c>
    </row>
    <row r="246" spans="1:44" x14ac:dyDescent="0.25">
      <c r="A246">
        <v>95</v>
      </c>
      <c r="B246" t="str">
        <f t="shared" si="9"/>
        <v>5-10 years</v>
      </c>
      <c r="C246">
        <v>28</v>
      </c>
      <c r="D246" t="str" cm="1">
        <f t="array" ref="D246">_xlfn.IFS(C246&lt;26, "19-25", C246&lt;33, "26-32", C246&lt;40, "33-39", C246&lt;47, "40-46",C246&lt;54, "47-53", TRUE, "54+")</f>
        <v>26-32</v>
      </c>
      <c r="E246">
        <v>208298</v>
      </c>
      <c r="F246" s="1">
        <v>33180</v>
      </c>
      <c r="G246" t="s">
        <v>44</v>
      </c>
      <c r="H246" t="s">
        <v>45</v>
      </c>
      <c r="I246">
        <v>1000</v>
      </c>
      <c r="J246">
        <v>773.99</v>
      </c>
      <c r="K246">
        <v>0</v>
      </c>
      <c r="L246">
        <v>458727</v>
      </c>
      <c r="M246" t="s">
        <v>46</v>
      </c>
      <c r="N246" t="s">
        <v>97</v>
      </c>
      <c r="O246" t="s">
        <v>89</v>
      </c>
      <c r="P246" t="s">
        <v>78</v>
      </c>
      <c r="Q246" t="s">
        <v>65</v>
      </c>
      <c r="R246">
        <v>0</v>
      </c>
      <c r="S246">
        <v>-70300</v>
      </c>
      <c r="T246" s="1">
        <v>42005</v>
      </c>
      <c r="U246" t="s">
        <v>66</v>
      </c>
      <c r="V246" t="s">
        <v>67</v>
      </c>
      <c r="W246" t="s">
        <v>217</v>
      </c>
      <c r="X246" t="s">
        <v>98</v>
      </c>
      <c r="Y246" t="s">
        <v>180</v>
      </c>
      <c r="Z246" t="s">
        <v>107</v>
      </c>
      <c r="AA246" t="s">
        <v>428</v>
      </c>
      <c r="AB246">
        <v>3</v>
      </c>
      <c r="AC246" t="str">
        <f t="shared" si="10"/>
        <v>Night</v>
      </c>
      <c r="AD246">
        <v>1</v>
      </c>
      <c r="AE246" t="s">
        <v>58</v>
      </c>
      <c r="AF246">
        <v>1</v>
      </c>
      <c r="AG246">
        <v>2</v>
      </c>
      <c r="AH246" t="s">
        <v>84</v>
      </c>
      <c r="AI246">
        <v>3200</v>
      </c>
      <c r="AJ246">
        <v>640</v>
      </c>
      <c r="AK246">
        <v>320</v>
      </c>
      <c r="AL246">
        <v>2240</v>
      </c>
      <c r="AM246" t="s">
        <v>72</v>
      </c>
      <c r="AN246" t="s">
        <v>73</v>
      </c>
      <c r="AO246">
        <v>2015</v>
      </c>
      <c r="AP246">
        <v>2014</v>
      </c>
      <c r="AQ246">
        <f t="shared" si="11"/>
        <v>1</v>
      </c>
      <c r="AR246" t="s">
        <v>87</v>
      </c>
    </row>
    <row r="247" spans="1:44" x14ac:dyDescent="0.25">
      <c r="A247">
        <v>371</v>
      </c>
      <c r="B247" t="str">
        <f t="shared" si="9"/>
        <v>10+ years</v>
      </c>
      <c r="C247">
        <v>51</v>
      </c>
      <c r="D247" t="str" cm="1">
        <f t="array" ref="D247">_xlfn.IFS(C247&lt;26, "19-25", C247&lt;33, "26-32", C247&lt;40, "33-39", C247&lt;47, "40-46",C247&lt;54, "47-53", TRUE, "54+")</f>
        <v>47-53</v>
      </c>
      <c r="E247">
        <v>513099</v>
      </c>
      <c r="F247" s="1">
        <v>38640</v>
      </c>
      <c r="G247" t="s">
        <v>62</v>
      </c>
      <c r="H247" t="s">
        <v>96</v>
      </c>
      <c r="I247">
        <v>1000</v>
      </c>
      <c r="J247">
        <v>1532.47</v>
      </c>
      <c r="K247">
        <v>0</v>
      </c>
      <c r="L247">
        <v>452587</v>
      </c>
      <c r="M247" t="s">
        <v>75</v>
      </c>
      <c r="N247" t="s">
        <v>97</v>
      </c>
      <c r="O247" t="s">
        <v>102</v>
      </c>
      <c r="P247" t="s">
        <v>117</v>
      </c>
      <c r="Q247" t="s">
        <v>65</v>
      </c>
      <c r="R247">
        <v>60300</v>
      </c>
      <c r="S247">
        <v>-24700</v>
      </c>
      <c r="T247" s="1">
        <v>42023</v>
      </c>
      <c r="U247" t="s">
        <v>51</v>
      </c>
      <c r="V247" t="s">
        <v>81</v>
      </c>
      <c r="W247" t="s">
        <v>53</v>
      </c>
      <c r="X247" t="s">
        <v>104</v>
      </c>
      <c r="Y247" t="s">
        <v>82</v>
      </c>
      <c r="Z247" t="s">
        <v>92</v>
      </c>
      <c r="AA247" t="s">
        <v>429</v>
      </c>
      <c r="AB247">
        <v>7</v>
      </c>
      <c r="AC247" t="str">
        <f t="shared" si="10"/>
        <v>Morning</v>
      </c>
      <c r="AD247">
        <v>1</v>
      </c>
      <c r="AE247" t="s">
        <v>58</v>
      </c>
      <c r="AF247">
        <v>0</v>
      </c>
      <c r="AG247">
        <v>3</v>
      </c>
      <c r="AH247" t="s">
        <v>58</v>
      </c>
      <c r="AI247">
        <v>75400</v>
      </c>
      <c r="AJ247">
        <v>7540</v>
      </c>
      <c r="AK247">
        <v>15080</v>
      </c>
      <c r="AL247">
        <v>52780</v>
      </c>
      <c r="AM247" t="s">
        <v>85</v>
      </c>
      <c r="AN247" t="s">
        <v>86</v>
      </c>
      <c r="AO247">
        <v>2015</v>
      </c>
      <c r="AP247">
        <v>2012</v>
      </c>
      <c r="AQ247">
        <f t="shared" si="11"/>
        <v>3</v>
      </c>
      <c r="AR247" t="s">
        <v>61</v>
      </c>
    </row>
    <row r="248" spans="1:44" x14ac:dyDescent="0.25">
      <c r="A248">
        <v>2</v>
      </c>
      <c r="B248" t="str">
        <f t="shared" si="9"/>
        <v>0-2 years</v>
      </c>
      <c r="C248">
        <v>28</v>
      </c>
      <c r="D248" t="str" cm="1">
        <f t="array" ref="D248">_xlfn.IFS(C248&lt;26, "19-25", C248&lt;33, "26-32", C248&lt;40, "33-39", C248&lt;47, "40-46",C248&lt;54, "47-53", TRUE, "54+")</f>
        <v>26-32</v>
      </c>
      <c r="E248">
        <v>184938</v>
      </c>
      <c r="F248" s="1">
        <v>36302</v>
      </c>
      <c r="G248" t="s">
        <v>88</v>
      </c>
      <c r="H248" t="s">
        <v>45</v>
      </c>
      <c r="I248">
        <v>1000</v>
      </c>
      <c r="J248">
        <v>1340.56</v>
      </c>
      <c r="K248">
        <v>0</v>
      </c>
      <c r="L248">
        <v>433184</v>
      </c>
      <c r="M248" t="s">
        <v>75</v>
      </c>
      <c r="N248" t="s">
        <v>166</v>
      </c>
      <c r="O248" t="s">
        <v>63</v>
      </c>
      <c r="P248" t="s">
        <v>117</v>
      </c>
      <c r="Q248" t="s">
        <v>147</v>
      </c>
      <c r="R248">
        <v>0</v>
      </c>
      <c r="S248">
        <v>0</v>
      </c>
      <c r="T248" s="1">
        <v>42021</v>
      </c>
      <c r="U248" t="s">
        <v>51</v>
      </c>
      <c r="V248" t="s">
        <v>52</v>
      </c>
      <c r="W248" t="s">
        <v>68</v>
      </c>
      <c r="X248" t="s">
        <v>104</v>
      </c>
      <c r="Y248" t="s">
        <v>82</v>
      </c>
      <c r="Z248" t="s">
        <v>132</v>
      </c>
      <c r="AA248" t="s">
        <v>430</v>
      </c>
      <c r="AB248">
        <v>19</v>
      </c>
      <c r="AC248" t="str">
        <f t="shared" si="10"/>
        <v>Evening</v>
      </c>
      <c r="AD248">
        <v>1</v>
      </c>
      <c r="AE248" t="s">
        <v>58</v>
      </c>
      <c r="AF248">
        <v>0</v>
      </c>
      <c r="AG248">
        <v>2</v>
      </c>
      <c r="AH248" t="s">
        <v>58</v>
      </c>
      <c r="AI248">
        <v>58140</v>
      </c>
      <c r="AJ248">
        <v>6460</v>
      </c>
      <c r="AK248">
        <v>6460</v>
      </c>
      <c r="AL248">
        <v>45220</v>
      </c>
      <c r="AM248" t="s">
        <v>59</v>
      </c>
      <c r="AN248" t="s">
        <v>60</v>
      </c>
      <c r="AO248">
        <v>2015</v>
      </c>
      <c r="AP248">
        <v>2008</v>
      </c>
      <c r="AQ248">
        <f t="shared" si="11"/>
        <v>7</v>
      </c>
      <c r="AR248" t="s">
        <v>87</v>
      </c>
    </row>
    <row r="249" spans="1:44" x14ac:dyDescent="0.25">
      <c r="A249">
        <v>269</v>
      </c>
      <c r="B249" t="str">
        <f t="shared" si="9"/>
        <v>10+ years</v>
      </c>
      <c r="C249">
        <v>44</v>
      </c>
      <c r="D249" t="str" cm="1">
        <f t="array" ref="D249">_xlfn.IFS(C249&lt;26, "19-25", C249&lt;33, "26-32", C249&lt;40, "33-39", C249&lt;47, "40-46",C249&lt;54, "47-53", TRUE, "54+")</f>
        <v>40-46</v>
      </c>
      <c r="E249">
        <v>187775</v>
      </c>
      <c r="F249" s="1">
        <v>37611</v>
      </c>
      <c r="G249" t="s">
        <v>44</v>
      </c>
      <c r="H249" t="s">
        <v>74</v>
      </c>
      <c r="I249">
        <v>500</v>
      </c>
      <c r="J249">
        <v>1297.75</v>
      </c>
      <c r="K249">
        <v>4000000</v>
      </c>
      <c r="L249">
        <v>451280</v>
      </c>
      <c r="M249" t="s">
        <v>75</v>
      </c>
      <c r="N249" t="s">
        <v>166</v>
      </c>
      <c r="O249" t="s">
        <v>116</v>
      </c>
      <c r="P249" t="s">
        <v>173</v>
      </c>
      <c r="Q249" t="s">
        <v>79</v>
      </c>
      <c r="R249">
        <v>0</v>
      </c>
      <c r="S249">
        <v>-41400</v>
      </c>
      <c r="T249" s="1">
        <v>42036</v>
      </c>
      <c r="U249" t="s">
        <v>80</v>
      </c>
      <c r="V249" t="s">
        <v>81</v>
      </c>
      <c r="W249" t="s">
        <v>112</v>
      </c>
      <c r="X249" t="s">
        <v>141</v>
      </c>
      <c r="Y249" t="s">
        <v>55</v>
      </c>
      <c r="Z249" t="s">
        <v>56</v>
      </c>
      <c r="AA249" t="s">
        <v>431</v>
      </c>
      <c r="AB249">
        <v>15</v>
      </c>
      <c r="AC249" t="str">
        <f t="shared" si="10"/>
        <v>Afternoon</v>
      </c>
      <c r="AD249">
        <v>3</v>
      </c>
      <c r="AE249" t="s">
        <v>67</v>
      </c>
      <c r="AF249">
        <v>0</v>
      </c>
      <c r="AG249">
        <v>1</v>
      </c>
      <c r="AH249" t="s">
        <v>67</v>
      </c>
      <c r="AI249">
        <v>98670</v>
      </c>
      <c r="AJ249">
        <v>15180</v>
      </c>
      <c r="AK249">
        <v>15180</v>
      </c>
      <c r="AL249">
        <v>68310</v>
      </c>
      <c r="AM249" t="s">
        <v>94</v>
      </c>
      <c r="AN249" t="s">
        <v>95</v>
      </c>
      <c r="AO249">
        <v>2015</v>
      </c>
      <c r="AP249">
        <v>2010</v>
      </c>
      <c r="AQ249">
        <f t="shared" si="11"/>
        <v>5</v>
      </c>
      <c r="AR249" t="s">
        <v>61</v>
      </c>
    </row>
    <row r="250" spans="1:44" x14ac:dyDescent="0.25">
      <c r="A250">
        <v>101</v>
      </c>
      <c r="B250" t="str">
        <f t="shared" si="9"/>
        <v>5-10 years</v>
      </c>
      <c r="C250">
        <v>27</v>
      </c>
      <c r="D250" t="str" cm="1">
        <f t="array" ref="D250">_xlfn.IFS(C250&lt;26, "19-25", C250&lt;33, "26-32", C250&lt;40, "33-39", C250&lt;47, "40-46",C250&lt;54, "47-53", TRUE, "54+")</f>
        <v>26-32</v>
      </c>
      <c r="E250">
        <v>326322</v>
      </c>
      <c r="F250" s="1">
        <v>39123</v>
      </c>
      <c r="G250" t="s">
        <v>88</v>
      </c>
      <c r="H250" t="s">
        <v>45</v>
      </c>
      <c r="I250">
        <v>1000</v>
      </c>
      <c r="J250">
        <v>433.33</v>
      </c>
      <c r="K250">
        <v>0</v>
      </c>
      <c r="L250">
        <v>603269</v>
      </c>
      <c r="M250" t="s">
        <v>46</v>
      </c>
      <c r="N250" t="s">
        <v>129</v>
      </c>
      <c r="O250" t="s">
        <v>63</v>
      </c>
      <c r="P250" t="s">
        <v>117</v>
      </c>
      <c r="Q250" t="s">
        <v>65</v>
      </c>
      <c r="R250">
        <v>25900</v>
      </c>
      <c r="S250">
        <v>0</v>
      </c>
      <c r="T250" s="1">
        <v>42006</v>
      </c>
      <c r="U250" t="s">
        <v>143</v>
      </c>
      <c r="V250" t="s">
        <v>67</v>
      </c>
      <c r="W250" t="s">
        <v>68</v>
      </c>
      <c r="X250" t="s">
        <v>98</v>
      </c>
      <c r="Y250" t="s">
        <v>55</v>
      </c>
      <c r="Z250" t="s">
        <v>127</v>
      </c>
      <c r="AA250" t="s">
        <v>432</v>
      </c>
      <c r="AB250">
        <v>7</v>
      </c>
      <c r="AC250" t="str">
        <f t="shared" si="10"/>
        <v>Morning</v>
      </c>
      <c r="AD250">
        <v>1</v>
      </c>
      <c r="AE250" t="s">
        <v>67</v>
      </c>
      <c r="AF250">
        <v>0</v>
      </c>
      <c r="AG250">
        <v>3</v>
      </c>
      <c r="AH250" t="s">
        <v>84</v>
      </c>
      <c r="AI250">
        <v>5900</v>
      </c>
      <c r="AJ250">
        <v>1180</v>
      </c>
      <c r="AK250">
        <v>590</v>
      </c>
      <c r="AL250">
        <v>4130</v>
      </c>
      <c r="AM250" t="s">
        <v>72</v>
      </c>
      <c r="AN250" t="s">
        <v>73</v>
      </c>
      <c r="AO250">
        <v>2015</v>
      </c>
      <c r="AP250">
        <v>2009</v>
      </c>
      <c r="AQ250">
        <f t="shared" si="11"/>
        <v>6</v>
      </c>
      <c r="AR250" t="s">
        <v>87</v>
      </c>
    </row>
    <row r="251" spans="1:44" x14ac:dyDescent="0.25">
      <c r="A251">
        <v>94</v>
      </c>
      <c r="B251" t="str">
        <f t="shared" si="9"/>
        <v>5-10 years</v>
      </c>
      <c r="C251">
        <v>30</v>
      </c>
      <c r="D251" t="str" cm="1">
        <f t="array" ref="D251">_xlfn.IFS(C251&lt;26, "19-25", C251&lt;33, "26-32", C251&lt;40, "33-39", C251&lt;47, "40-46",C251&lt;54, "47-53", TRUE, "54+")</f>
        <v>26-32</v>
      </c>
      <c r="E251">
        <v>146138</v>
      </c>
      <c r="F251" s="1">
        <v>37316</v>
      </c>
      <c r="G251" t="s">
        <v>62</v>
      </c>
      <c r="H251" t="s">
        <v>45</v>
      </c>
      <c r="I251">
        <v>2000</v>
      </c>
      <c r="J251">
        <v>1025.54</v>
      </c>
      <c r="K251">
        <v>0</v>
      </c>
      <c r="L251">
        <v>442632</v>
      </c>
      <c r="M251" t="s">
        <v>75</v>
      </c>
      <c r="N251" t="s">
        <v>136</v>
      </c>
      <c r="O251" t="s">
        <v>89</v>
      </c>
      <c r="P251" t="s">
        <v>170</v>
      </c>
      <c r="Q251" t="s">
        <v>65</v>
      </c>
      <c r="R251">
        <v>0</v>
      </c>
      <c r="S251">
        <v>-52600</v>
      </c>
      <c r="T251" s="1">
        <v>42055</v>
      </c>
      <c r="U251" t="s">
        <v>51</v>
      </c>
      <c r="V251" t="s">
        <v>81</v>
      </c>
      <c r="W251" t="s">
        <v>53</v>
      </c>
      <c r="X251" t="s">
        <v>104</v>
      </c>
      <c r="Y251" t="s">
        <v>126</v>
      </c>
      <c r="Z251" t="s">
        <v>92</v>
      </c>
      <c r="AA251" t="s">
        <v>433</v>
      </c>
      <c r="AB251">
        <v>19</v>
      </c>
      <c r="AC251" t="str">
        <f t="shared" si="10"/>
        <v>Evening</v>
      </c>
      <c r="AD251">
        <v>1</v>
      </c>
      <c r="AE251" t="s">
        <v>67</v>
      </c>
      <c r="AF251">
        <v>1</v>
      </c>
      <c r="AG251">
        <v>3</v>
      </c>
      <c r="AH251" t="s">
        <v>58</v>
      </c>
      <c r="AI251">
        <v>64100</v>
      </c>
      <c r="AJ251">
        <v>6410</v>
      </c>
      <c r="AK251">
        <v>6410</v>
      </c>
      <c r="AL251">
        <v>51280</v>
      </c>
      <c r="AM251" t="s">
        <v>94</v>
      </c>
      <c r="AN251" t="s">
        <v>250</v>
      </c>
      <c r="AO251">
        <v>2015</v>
      </c>
      <c r="AP251">
        <v>2001</v>
      </c>
      <c r="AQ251">
        <f t="shared" si="11"/>
        <v>14</v>
      </c>
      <c r="AR251" t="s">
        <v>87</v>
      </c>
    </row>
    <row r="252" spans="1:44" x14ac:dyDescent="0.25">
      <c r="A252">
        <v>117</v>
      </c>
      <c r="B252" t="str">
        <f t="shared" si="9"/>
        <v>5-10 years</v>
      </c>
      <c r="C252">
        <v>28</v>
      </c>
      <c r="D252" t="str" cm="1">
        <f t="array" ref="D252">_xlfn.IFS(C252&lt;26, "19-25", C252&lt;33, "26-32", C252&lt;40, "33-39", C252&lt;47, "40-46",C252&lt;54, "47-53", TRUE, "54+")</f>
        <v>26-32</v>
      </c>
      <c r="E252">
        <v>336047</v>
      </c>
      <c r="F252" s="1">
        <v>37732</v>
      </c>
      <c r="G252" t="s">
        <v>44</v>
      </c>
      <c r="H252" t="s">
        <v>45</v>
      </c>
      <c r="I252">
        <v>500</v>
      </c>
      <c r="J252">
        <v>1264.77</v>
      </c>
      <c r="K252">
        <v>0</v>
      </c>
      <c r="L252">
        <v>447300</v>
      </c>
      <c r="M252" t="s">
        <v>75</v>
      </c>
      <c r="N252" t="s">
        <v>97</v>
      </c>
      <c r="O252" t="s">
        <v>150</v>
      </c>
      <c r="P252" t="s">
        <v>160</v>
      </c>
      <c r="Q252" t="s">
        <v>90</v>
      </c>
      <c r="R252">
        <v>47500</v>
      </c>
      <c r="S252">
        <v>-32500</v>
      </c>
      <c r="T252" s="1">
        <v>42040</v>
      </c>
      <c r="U252" t="s">
        <v>80</v>
      </c>
      <c r="V252" t="s">
        <v>81</v>
      </c>
      <c r="W252" t="s">
        <v>112</v>
      </c>
      <c r="X252" t="s">
        <v>104</v>
      </c>
      <c r="Y252" t="s">
        <v>55</v>
      </c>
      <c r="Z252" t="s">
        <v>107</v>
      </c>
      <c r="AA252" t="s">
        <v>434</v>
      </c>
      <c r="AB252">
        <v>13</v>
      </c>
      <c r="AC252" t="str">
        <f t="shared" si="10"/>
        <v>Afternoon</v>
      </c>
      <c r="AD252">
        <v>2</v>
      </c>
      <c r="AE252" t="s">
        <v>58</v>
      </c>
      <c r="AF252">
        <v>0</v>
      </c>
      <c r="AG252">
        <v>1</v>
      </c>
      <c r="AH252" t="s">
        <v>67</v>
      </c>
      <c r="AI252">
        <v>55440</v>
      </c>
      <c r="AJ252">
        <v>5040</v>
      </c>
      <c r="AK252">
        <v>10080</v>
      </c>
      <c r="AL252">
        <v>40320</v>
      </c>
      <c r="AM252" t="s">
        <v>158</v>
      </c>
      <c r="AN252" t="s">
        <v>172</v>
      </c>
      <c r="AO252">
        <v>2015</v>
      </c>
      <c r="AP252">
        <v>2009</v>
      </c>
      <c r="AQ252">
        <f t="shared" si="11"/>
        <v>6</v>
      </c>
      <c r="AR252" t="s">
        <v>61</v>
      </c>
    </row>
    <row r="253" spans="1:44" x14ac:dyDescent="0.25">
      <c r="A253">
        <v>111</v>
      </c>
      <c r="B253" t="str">
        <f t="shared" si="9"/>
        <v>5-10 years</v>
      </c>
      <c r="C253">
        <v>27</v>
      </c>
      <c r="D253" t="str" cm="1">
        <f t="array" ref="D253">_xlfn.IFS(C253&lt;26, "19-25", C253&lt;33, "26-32", C253&lt;40, "33-39", C253&lt;47, "40-46",C253&lt;54, "47-53", TRUE, "54+")</f>
        <v>26-32</v>
      </c>
      <c r="E253">
        <v>532330</v>
      </c>
      <c r="F253" s="1">
        <v>37521</v>
      </c>
      <c r="G253" t="s">
        <v>44</v>
      </c>
      <c r="H253" t="s">
        <v>45</v>
      </c>
      <c r="I253">
        <v>500</v>
      </c>
      <c r="J253">
        <v>1459.97</v>
      </c>
      <c r="K253">
        <v>5000000</v>
      </c>
      <c r="L253">
        <v>441783</v>
      </c>
      <c r="M253" t="s">
        <v>46</v>
      </c>
      <c r="N253" t="s">
        <v>47</v>
      </c>
      <c r="O253" t="s">
        <v>77</v>
      </c>
      <c r="P253" t="s">
        <v>160</v>
      </c>
      <c r="Q253" t="s">
        <v>65</v>
      </c>
      <c r="R253">
        <v>0</v>
      </c>
      <c r="S253">
        <v>0</v>
      </c>
      <c r="T253" s="1">
        <v>42062</v>
      </c>
      <c r="U253" t="s">
        <v>80</v>
      </c>
      <c r="V253" t="s">
        <v>52</v>
      </c>
      <c r="W253" t="s">
        <v>53</v>
      </c>
      <c r="X253" t="s">
        <v>54</v>
      </c>
      <c r="Y253" t="s">
        <v>55</v>
      </c>
      <c r="Z253" t="s">
        <v>132</v>
      </c>
      <c r="AA253" t="s">
        <v>435</v>
      </c>
      <c r="AB253">
        <v>2</v>
      </c>
      <c r="AC253" t="str">
        <f t="shared" si="10"/>
        <v>Night</v>
      </c>
      <c r="AD253">
        <v>3</v>
      </c>
      <c r="AE253" t="s">
        <v>84</v>
      </c>
      <c r="AF253">
        <v>1</v>
      </c>
      <c r="AG253">
        <v>2</v>
      </c>
      <c r="AH253" t="s">
        <v>84</v>
      </c>
      <c r="AI253">
        <v>80850</v>
      </c>
      <c r="AJ253">
        <v>7350</v>
      </c>
      <c r="AK253">
        <v>14700</v>
      </c>
      <c r="AL253">
        <v>58800</v>
      </c>
      <c r="AM253" t="s">
        <v>134</v>
      </c>
      <c r="AN253" t="s">
        <v>135</v>
      </c>
      <c r="AO253">
        <v>2015</v>
      </c>
      <c r="AP253">
        <v>2011</v>
      </c>
      <c r="AQ253">
        <f t="shared" si="11"/>
        <v>4</v>
      </c>
      <c r="AR253" t="s">
        <v>61</v>
      </c>
    </row>
    <row r="254" spans="1:44" x14ac:dyDescent="0.25">
      <c r="A254">
        <v>242</v>
      </c>
      <c r="B254" t="str">
        <f t="shared" si="9"/>
        <v>10+ years</v>
      </c>
      <c r="C254">
        <v>40</v>
      </c>
      <c r="D254" t="str" cm="1">
        <f t="array" ref="D254">_xlfn.IFS(C254&lt;26, "19-25", C254&lt;33, "26-32", C254&lt;40, "33-39", C254&lt;47, "40-46",C254&lt;54, "47-53", TRUE, "54+")</f>
        <v>40-46</v>
      </c>
      <c r="E254">
        <v>118137</v>
      </c>
      <c r="F254" s="1">
        <v>35836</v>
      </c>
      <c r="G254" t="s">
        <v>44</v>
      </c>
      <c r="H254" t="s">
        <v>74</v>
      </c>
      <c r="I254">
        <v>500</v>
      </c>
      <c r="J254">
        <v>1238.6500000000001</v>
      </c>
      <c r="K254">
        <v>0</v>
      </c>
      <c r="L254">
        <v>468702</v>
      </c>
      <c r="M254" t="s">
        <v>75</v>
      </c>
      <c r="N254" t="s">
        <v>136</v>
      </c>
      <c r="O254" t="s">
        <v>150</v>
      </c>
      <c r="P254" t="s">
        <v>103</v>
      </c>
      <c r="Q254" t="s">
        <v>50</v>
      </c>
      <c r="R254">
        <v>0</v>
      </c>
      <c r="S254">
        <v>-44600</v>
      </c>
      <c r="T254" s="1">
        <v>42031</v>
      </c>
      <c r="U254" t="s">
        <v>66</v>
      </c>
      <c r="V254" t="s">
        <v>67</v>
      </c>
      <c r="W254" t="s">
        <v>217</v>
      </c>
      <c r="X254" t="s">
        <v>54</v>
      </c>
      <c r="Y254" t="s">
        <v>118</v>
      </c>
      <c r="Z254" t="s">
        <v>107</v>
      </c>
      <c r="AA254" t="s">
        <v>436</v>
      </c>
      <c r="AB254">
        <v>5</v>
      </c>
      <c r="AC254" t="str">
        <f t="shared" si="10"/>
        <v>Night</v>
      </c>
      <c r="AD254">
        <v>1</v>
      </c>
      <c r="AE254" t="s">
        <v>58</v>
      </c>
      <c r="AF254">
        <v>1</v>
      </c>
      <c r="AG254">
        <v>1</v>
      </c>
      <c r="AH254" t="s">
        <v>84</v>
      </c>
      <c r="AI254">
        <v>7480</v>
      </c>
      <c r="AJ254">
        <v>680</v>
      </c>
      <c r="AK254">
        <v>680</v>
      </c>
      <c r="AL254">
        <v>6120</v>
      </c>
      <c r="AM254" t="s">
        <v>59</v>
      </c>
      <c r="AN254">
        <v>95</v>
      </c>
      <c r="AO254">
        <v>2015</v>
      </c>
      <c r="AP254">
        <v>1998</v>
      </c>
      <c r="AQ254">
        <f t="shared" si="11"/>
        <v>17</v>
      </c>
      <c r="AR254" t="s">
        <v>87</v>
      </c>
    </row>
    <row r="255" spans="1:44" x14ac:dyDescent="0.25">
      <c r="A255">
        <v>440</v>
      </c>
      <c r="B255" t="str">
        <f t="shared" si="9"/>
        <v>10+ years</v>
      </c>
      <c r="C255">
        <v>61</v>
      </c>
      <c r="D255" t="str" cm="1">
        <f t="array" ref="D255">_xlfn.IFS(C255&lt;26, "19-25", C255&lt;33, "26-32", C255&lt;40, "33-39", C255&lt;47, "40-46",C255&lt;54, "47-53", TRUE, "54+")</f>
        <v>54+</v>
      </c>
      <c r="E255">
        <v>212674</v>
      </c>
      <c r="F255" s="1">
        <v>33848</v>
      </c>
      <c r="G255" t="s">
        <v>44</v>
      </c>
      <c r="H255" t="s">
        <v>45</v>
      </c>
      <c r="I255">
        <v>500</v>
      </c>
      <c r="J255">
        <v>1050.76</v>
      </c>
      <c r="K255">
        <v>0</v>
      </c>
      <c r="L255">
        <v>467942</v>
      </c>
      <c r="M255" t="s">
        <v>46</v>
      </c>
      <c r="N255" t="s">
        <v>76</v>
      </c>
      <c r="O255" t="s">
        <v>150</v>
      </c>
      <c r="P255" t="s">
        <v>151</v>
      </c>
      <c r="Q255" t="s">
        <v>124</v>
      </c>
      <c r="R255">
        <v>41500</v>
      </c>
      <c r="S255">
        <v>-70200</v>
      </c>
      <c r="T255" s="1">
        <v>42030</v>
      </c>
      <c r="U255" t="s">
        <v>51</v>
      </c>
      <c r="V255" t="s">
        <v>52</v>
      </c>
      <c r="W255" t="s">
        <v>53</v>
      </c>
      <c r="X255" t="s">
        <v>104</v>
      </c>
      <c r="Y255" t="s">
        <v>44</v>
      </c>
      <c r="Z255" t="s">
        <v>70</v>
      </c>
      <c r="AA255" t="s">
        <v>437</v>
      </c>
      <c r="AB255">
        <v>21</v>
      </c>
      <c r="AC255" t="str">
        <f t="shared" si="10"/>
        <v>Evening</v>
      </c>
      <c r="AD255">
        <v>1</v>
      </c>
      <c r="AE255" t="s">
        <v>67</v>
      </c>
      <c r="AF255">
        <v>2</v>
      </c>
      <c r="AG255">
        <v>3</v>
      </c>
      <c r="AH255" t="s">
        <v>84</v>
      </c>
      <c r="AI255">
        <v>53640</v>
      </c>
      <c r="AJ255">
        <v>5960</v>
      </c>
      <c r="AK255">
        <v>5960</v>
      </c>
      <c r="AL255">
        <v>41720</v>
      </c>
      <c r="AM255" t="s">
        <v>109</v>
      </c>
      <c r="AN255" t="s">
        <v>156</v>
      </c>
      <c r="AO255">
        <v>2015</v>
      </c>
      <c r="AP255">
        <v>2004</v>
      </c>
      <c r="AQ255">
        <f t="shared" si="11"/>
        <v>11</v>
      </c>
      <c r="AR255" t="s">
        <v>61</v>
      </c>
    </row>
    <row r="256" spans="1:44" x14ac:dyDescent="0.25">
      <c r="A256">
        <v>20</v>
      </c>
      <c r="B256" t="str">
        <f t="shared" si="9"/>
        <v>0-2 years</v>
      </c>
      <c r="C256">
        <v>23</v>
      </c>
      <c r="D256" t="str" cm="1">
        <f t="array" ref="D256">_xlfn.IFS(C256&lt;26, "19-25", C256&lt;33, "26-32", C256&lt;40, "33-39", C256&lt;47, "40-46",C256&lt;54, "47-53", TRUE, "54+")</f>
        <v>19-25</v>
      </c>
      <c r="E256">
        <v>935596</v>
      </c>
      <c r="F256" s="1">
        <v>36281</v>
      </c>
      <c r="G256" t="s">
        <v>44</v>
      </c>
      <c r="H256" t="s">
        <v>96</v>
      </c>
      <c r="I256">
        <v>1000</v>
      </c>
      <c r="J256">
        <v>1711.72</v>
      </c>
      <c r="K256">
        <v>0</v>
      </c>
      <c r="L256">
        <v>463678</v>
      </c>
      <c r="M256" t="s">
        <v>75</v>
      </c>
      <c r="N256" t="s">
        <v>166</v>
      </c>
      <c r="O256" t="s">
        <v>102</v>
      </c>
      <c r="P256" t="s">
        <v>111</v>
      </c>
      <c r="Q256" t="s">
        <v>124</v>
      </c>
      <c r="R256">
        <v>0</v>
      </c>
      <c r="S256">
        <v>0</v>
      </c>
      <c r="T256" s="1">
        <v>42017</v>
      </c>
      <c r="U256" t="s">
        <v>80</v>
      </c>
      <c r="V256" t="s">
        <v>81</v>
      </c>
      <c r="W256" t="s">
        <v>53</v>
      </c>
      <c r="X256" t="s">
        <v>104</v>
      </c>
      <c r="Y256" t="s">
        <v>55</v>
      </c>
      <c r="Z256" t="s">
        <v>161</v>
      </c>
      <c r="AA256" t="s">
        <v>438</v>
      </c>
      <c r="AB256">
        <v>21</v>
      </c>
      <c r="AC256" t="str">
        <f t="shared" si="10"/>
        <v>Evening</v>
      </c>
      <c r="AD256">
        <v>3</v>
      </c>
      <c r="AE256" t="s">
        <v>84</v>
      </c>
      <c r="AF256">
        <v>2</v>
      </c>
      <c r="AG256">
        <v>2</v>
      </c>
      <c r="AH256" t="s">
        <v>84</v>
      </c>
      <c r="AI256">
        <v>63250</v>
      </c>
      <c r="AJ256">
        <v>5750</v>
      </c>
      <c r="AK256">
        <v>11500</v>
      </c>
      <c r="AL256">
        <v>46000</v>
      </c>
      <c r="AM256" t="s">
        <v>94</v>
      </c>
      <c r="AN256" t="s">
        <v>95</v>
      </c>
      <c r="AO256">
        <v>2015</v>
      </c>
      <c r="AP256">
        <v>2002</v>
      </c>
      <c r="AQ256">
        <f t="shared" si="11"/>
        <v>13</v>
      </c>
      <c r="AR256" t="s">
        <v>61</v>
      </c>
    </row>
    <row r="257" spans="1:44" x14ac:dyDescent="0.25">
      <c r="A257">
        <v>461</v>
      </c>
      <c r="B257" t="str">
        <f t="shared" si="9"/>
        <v>10+ years</v>
      </c>
      <c r="C257">
        <v>57</v>
      </c>
      <c r="D257" t="str" cm="1">
        <f t="array" ref="D257">_xlfn.IFS(C257&lt;26, "19-25", C257&lt;33, "26-32", C257&lt;40, "33-39", C257&lt;47, "40-46",C257&lt;54, "47-53", TRUE, "54+")</f>
        <v>54+</v>
      </c>
      <c r="E257">
        <v>737593</v>
      </c>
      <c r="F257" s="1">
        <v>35783</v>
      </c>
      <c r="G257" t="s">
        <v>88</v>
      </c>
      <c r="H257" t="s">
        <v>74</v>
      </c>
      <c r="I257">
        <v>500</v>
      </c>
      <c r="J257">
        <v>865.33</v>
      </c>
      <c r="K257">
        <v>7000000</v>
      </c>
      <c r="L257">
        <v>615220</v>
      </c>
      <c r="M257" t="s">
        <v>75</v>
      </c>
      <c r="N257" t="s">
        <v>136</v>
      </c>
      <c r="O257" t="s">
        <v>194</v>
      </c>
      <c r="P257" t="s">
        <v>117</v>
      </c>
      <c r="Q257" t="s">
        <v>79</v>
      </c>
      <c r="R257">
        <v>0</v>
      </c>
      <c r="S257">
        <v>0</v>
      </c>
      <c r="T257" s="1">
        <v>42018</v>
      </c>
      <c r="U257" t="s">
        <v>80</v>
      </c>
      <c r="V257" t="s">
        <v>52</v>
      </c>
      <c r="W257" t="s">
        <v>53</v>
      </c>
      <c r="X257" t="s">
        <v>141</v>
      </c>
      <c r="Y257" t="s">
        <v>82</v>
      </c>
      <c r="Z257" t="s">
        <v>127</v>
      </c>
      <c r="AA257" t="s">
        <v>439</v>
      </c>
      <c r="AB257">
        <v>7</v>
      </c>
      <c r="AC257" t="str">
        <f t="shared" si="10"/>
        <v>Morning</v>
      </c>
      <c r="AD257">
        <v>3</v>
      </c>
      <c r="AE257" t="s">
        <v>84</v>
      </c>
      <c r="AF257">
        <v>0</v>
      </c>
      <c r="AG257">
        <v>1</v>
      </c>
      <c r="AH257" t="s">
        <v>67</v>
      </c>
      <c r="AI257">
        <v>59040</v>
      </c>
      <c r="AJ257">
        <v>9840</v>
      </c>
      <c r="AK257">
        <v>9840</v>
      </c>
      <c r="AL257">
        <v>39360</v>
      </c>
      <c r="AM257" t="s">
        <v>85</v>
      </c>
      <c r="AN257" t="s">
        <v>86</v>
      </c>
      <c r="AO257">
        <v>2015</v>
      </c>
      <c r="AP257">
        <v>1995</v>
      </c>
      <c r="AQ257">
        <f t="shared" si="11"/>
        <v>20</v>
      </c>
      <c r="AR257" t="s">
        <v>87</v>
      </c>
    </row>
    <row r="258" spans="1:44" x14ac:dyDescent="0.25">
      <c r="A258">
        <v>208</v>
      </c>
      <c r="B258" t="str">
        <f t="shared" si="9"/>
        <v>10+ years</v>
      </c>
      <c r="C258">
        <v>36</v>
      </c>
      <c r="D258" t="str" cm="1">
        <f t="array" ref="D258">_xlfn.IFS(C258&lt;26, "19-25", C258&lt;33, "26-32", C258&lt;40, "33-39", C258&lt;47, "40-46",C258&lt;54, "47-53", TRUE, "54+")</f>
        <v>33-39</v>
      </c>
      <c r="E258">
        <v>812025</v>
      </c>
      <c r="F258" s="1">
        <v>36695</v>
      </c>
      <c r="G258" t="s">
        <v>88</v>
      </c>
      <c r="H258" t="s">
        <v>45</v>
      </c>
      <c r="I258">
        <v>500</v>
      </c>
      <c r="J258">
        <v>1153.49</v>
      </c>
      <c r="K258">
        <v>0</v>
      </c>
      <c r="L258">
        <v>432711</v>
      </c>
      <c r="M258" t="s">
        <v>46</v>
      </c>
      <c r="N258" t="s">
        <v>97</v>
      </c>
      <c r="O258" t="s">
        <v>48</v>
      </c>
      <c r="P258" t="s">
        <v>111</v>
      </c>
      <c r="Q258" t="s">
        <v>65</v>
      </c>
      <c r="R258">
        <v>0</v>
      </c>
      <c r="S258">
        <v>0</v>
      </c>
      <c r="T258" s="1">
        <v>42057</v>
      </c>
      <c r="U258" t="s">
        <v>80</v>
      </c>
      <c r="V258" t="s">
        <v>52</v>
      </c>
      <c r="W258" t="s">
        <v>112</v>
      </c>
      <c r="X258" t="s">
        <v>125</v>
      </c>
      <c r="Y258" t="s">
        <v>55</v>
      </c>
      <c r="Z258" t="s">
        <v>92</v>
      </c>
      <c r="AA258" t="s">
        <v>440</v>
      </c>
      <c r="AB258">
        <v>16</v>
      </c>
      <c r="AC258" t="str">
        <f t="shared" si="10"/>
        <v>Afternoon</v>
      </c>
      <c r="AD258">
        <v>3</v>
      </c>
      <c r="AE258" t="s">
        <v>58</v>
      </c>
      <c r="AF258">
        <v>1</v>
      </c>
      <c r="AG258">
        <v>0</v>
      </c>
      <c r="AH258" t="s">
        <v>58</v>
      </c>
      <c r="AI258">
        <v>50500</v>
      </c>
      <c r="AJ258">
        <v>10100</v>
      </c>
      <c r="AK258">
        <v>5050</v>
      </c>
      <c r="AL258">
        <v>35350</v>
      </c>
      <c r="AM258" t="s">
        <v>100</v>
      </c>
      <c r="AN258" t="s">
        <v>163</v>
      </c>
      <c r="AO258">
        <v>2015</v>
      </c>
      <c r="AP258">
        <v>2004</v>
      </c>
      <c r="AQ258">
        <f t="shared" si="11"/>
        <v>11</v>
      </c>
      <c r="AR258" t="s">
        <v>87</v>
      </c>
    </row>
    <row r="259" spans="1:44" x14ac:dyDescent="0.25">
      <c r="A259">
        <v>279</v>
      </c>
      <c r="B259" t="str">
        <f t="shared" ref="B259:B322" si="12">IF(A259&lt;=24, "0-2 years", IF(A259&lt;=60, "2-5 years", IF(A259&lt;=120, "5-10 years", "10+ years")))</f>
        <v>10+ years</v>
      </c>
      <c r="C259">
        <v>43</v>
      </c>
      <c r="D259" t="str" cm="1">
        <f t="array" ref="D259">_xlfn.IFS(C259&lt;26, "19-25", C259&lt;33, "26-32", C259&lt;40, "33-39", C259&lt;47, "40-46",C259&lt;54, "47-53", TRUE, "54+")</f>
        <v>40-46</v>
      </c>
      <c r="E259">
        <v>168151</v>
      </c>
      <c r="F259" s="1">
        <v>34813</v>
      </c>
      <c r="G259" t="s">
        <v>44</v>
      </c>
      <c r="H259" t="s">
        <v>96</v>
      </c>
      <c r="I259">
        <v>2000</v>
      </c>
      <c r="J259">
        <v>1281.25</v>
      </c>
      <c r="K259">
        <v>0</v>
      </c>
      <c r="L259">
        <v>463583</v>
      </c>
      <c r="M259" t="s">
        <v>46</v>
      </c>
      <c r="N259" t="s">
        <v>97</v>
      </c>
      <c r="O259" t="s">
        <v>63</v>
      </c>
      <c r="P259" t="s">
        <v>247</v>
      </c>
      <c r="Q259" t="s">
        <v>65</v>
      </c>
      <c r="R259">
        <v>0</v>
      </c>
      <c r="S259">
        <v>0</v>
      </c>
      <c r="T259" s="1">
        <v>42021</v>
      </c>
      <c r="U259" t="s">
        <v>51</v>
      </c>
      <c r="V259" t="s">
        <v>52</v>
      </c>
      <c r="W259" t="s">
        <v>53</v>
      </c>
      <c r="X259" t="s">
        <v>54</v>
      </c>
      <c r="Y259" t="s">
        <v>55</v>
      </c>
      <c r="Z259" t="s">
        <v>56</v>
      </c>
      <c r="AA259" t="s">
        <v>441</v>
      </c>
      <c r="AB259">
        <v>13</v>
      </c>
      <c r="AC259" t="str">
        <f t="shared" ref="AC259:AC322" si="13">IF(AB259&lt;6, "Night", IF(AB259&lt;12, "Morning", IF(AB259&lt;18, "Afternoon", "Evening")))</f>
        <v>Afternoon</v>
      </c>
      <c r="AD259">
        <v>1</v>
      </c>
      <c r="AE259" t="s">
        <v>58</v>
      </c>
      <c r="AF259">
        <v>0</v>
      </c>
      <c r="AG259">
        <v>1</v>
      </c>
      <c r="AH259" t="s">
        <v>84</v>
      </c>
      <c r="AI259">
        <v>57690</v>
      </c>
      <c r="AJ259">
        <v>6410</v>
      </c>
      <c r="AK259">
        <v>12820</v>
      </c>
      <c r="AL259">
        <v>38460</v>
      </c>
      <c r="AM259" t="s">
        <v>72</v>
      </c>
      <c r="AN259" t="s">
        <v>198</v>
      </c>
      <c r="AO259">
        <v>2015</v>
      </c>
      <c r="AP259">
        <v>2010</v>
      </c>
      <c r="AQ259">
        <f t="shared" ref="AQ259:AQ322" si="14">AO259-AP259</f>
        <v>5</v>
      </c>
      <c r="AR259" t="s">
        <v>61</v>
      </c>
    </row>
    <row r="260" spans="1:44" x14ac:dyDescent="0.25">
      <c r="A260">
        <v>244</v>
      </c>
      <c r="B260" t="str">
        <f t="shared" si="12"/>
        <v>10+ years</v>
      </c>
      <c r="C260">
        <v>40</v>
      </c>
      <c r="D260" t="str" cm="1">
        <f t="array" ref="D260">_xlfn.IFS(C260&lt;26, "19-25", C260&lt;33, "26-32", C260&lt;40, "33-39", C260&lt;47, "40-46",C260&lt;54, "47-53", TRUE, "54+")</f>
        <v>40-46</v>
      </c>
      <c r="E260">
        <v>594739</v>
      </c>
      <c r="F260" s="1">
        <v>38884</v>
      </c>
      <c r="G260" t="s">
        <v>88</v>
      </c>
      <c r="H260" t="s">
        <v>74</v>
      </c>
      <c r="I260">
        <v>500</v>
      </c>
      <c r="J260">
        <v>1342.8</v>
      </c>
      <c r="K260">
        <v>0</v>
      </c>
      <c r="L260">
        <v>439502</v>
      </c>
      <c r="M260" t="s">
        <v>75</v>
      </c>
      <c r="N260" t="s">
        <v>47</v>
      </c>
      <c r="O260" t="s">
        <v>77</v>
      </c>
      <c r="P260" t="s">
        <v>111</v>
      </c>
      <c r="Q260" t="s">
        <v>50</v>
      </c>
      <c r="R260">
        <v>0</v>
      </c>
      <c r="S260">
        <v>0</v>
      </c>
      <c r="T260" s="1">
        <v>42037</v>
      </c>
      <c r="U260" t="s">
        <v>66</v>
      </c>
      <c r="V260" t="s">
        <v>67</v>
      </c>
      <c r="W260" t="s">
        <v>217</v>
      </c>
      <c r="X260" t="s">
        <v>54</v>
      </c>
      <c r="Y260" t="s">
        <v>82</v>
      </c>
      <c r="Z260" t="s">
        <v>107</v>
      </c>
      <c r="AA260" t="s">
        <v>442</v>
      </c>
      <c r="AB260">
        <v>2</v>
      </c>
      <c r="AC260" t="str">
        <f t="shared" si="13"/>
        <v>Night</v>
      </c>
      <c r="AD260">
        <v>1</v>
      </c>
      <c r="AE260" t="s">
        <v>58</v>
      </c>
      <c r="AF260">
        <v>1</v>
      </c>
      <c r="AG260">
        <v>3</v>
      </c>
      <c r="AH260" t="s">
        <v>58</v>
      </c>
      <c r="AI260">
        <v>5940</v>
      </c>
      <c r="AJ260">
        <v>660</v>
      </c>
      <c r="AK260">
        <v>660</v>
      </c>
      <c r="AL260">
        <v>4620</v>
      </c>
      <c r="AM260" t="s">
        <v>120</v>
      </c>
      <c r="AN260" t="s">
        <v>121</v>
      </c>
      <c r="AO260">
        <v>2015</v>
      </c>
      <c r="AP260">
        <v>2014</v>
      </c>
      <c r="AQ260">
        <f t="shared" si="14"/>
        <v>1</v>
      </c>
      <c r="AR260" t="s">
        <v>87</v>
      </c>
    </row>
    <row r="261" spans="1:44" x14ac:dyDescent="0.25">
      <c r="A261">
        <v>134</v>
      </c>
      <c r="B261" t="str">
        <f t="shared" si="12"/>
        <v>10+ years</v>
      </c>
      <c r="C261">
        <v>30</v>
      </c>
      <c r="D261" t="str" cm="1">
        <f t="array" ref="D261">_xlfn.IFS(C261&lt;26, "19-25", C261&lt;33, "26-32", C261&lt;40, "33-39", C261&lt;47, "40-46",C261&lt;54, "47-53", TRUE, "54+")</f>
        <v>26-32</v>
      </c>
      <c r="E261">
        <v>843227</v>
      </c>
      <c r="F261" s="1">
        <v>39353</v>
      </c>
      <c r="G261" t="s">
        <v>44</v>
      </c>
      <c r="H261" t="s">
        <v>45</v>
      </c>
      <c r="I261">
        <v>2000</v>
      </c>
      <c r="J261">
        <v>1443.32</v>
      </c>
      <c r="K261">
        <v>0</v>
      </c>
      <c r="L261">
        <v>613287</v>
      </c>
      <c r="M261" t="s">
        <v>75</v>
      </c>
      <c r="N261" t="s">
        <v>76</v>
      </c>
      <c r="O261" t="s">
        <v>130</v>
      </c>
      <c r="P261" t="s">
        <v>131</v>
      </c>
      <c r="Q261" t="s">
        <v>90</v>
      </c>
      <c r="R261">
        <v>0</v>
      </c>
      <c r="S261">
        <v>0</v>
      </c>
      <c r="T261" s="1">
        <v>42011</v>
      </c>
      <c r="U261" t="s">
        <v>80</v>
      </c>
      <c r="V261" t="s">
        <v>81</v>
      </c>
      <c r="W261" t="s">
        <v>53</v>
      </c>
      <c r="X261" t="s">
        <v>104</v>
      </c>
      <c r="Y261" t="s">
        <v>55</v>
      </c>
      <c r="Z261" t="s">
        <v>132</v>
      </c>
      <c r="AA261" t="s">
        <v>443</v>
      </c>
      <c r="AB261">
        <v>19</v>
      </c>
      <c r="AC261" t="str">
        <f t="shared" si="13"/>
        <v>Evening</v>
      </c>
      <c r="AD261">
        <v>3</v>
      </c>
      <c r="AE261" t="s">
        <v>67</v>
      </c>
      <c r="AF261">
        <v>0</v>
      </c>
      <c r="AG261">
        <v>2</v>
      </c>
      <c r="AH261" t="s">
        <v>58</v>
      </c>
      <c r="AI261">
        <v>47790</v>
      </c>
      <c r="AJ261">
        <v>5310</v>
      </c>
      <c r="AK261">
        <v>5310</v>
      </c>
      <c r="AL261">
        <v>37170</v>
      </c>
      <c r="AM261" t="s">
        <v>158</v>
      </c>
      <c r="AN261" t="s">
        <v>168</v>
      </c>
      <c r="AO261">
        <v>2015</v>
      </c>
      <c r="AP261">
        <v>1995</v>
      </c>
      <c r="AQ261">
        <f t="shared" si="14"/>
        <v>20</v>
      </c>
      <c r="AR261" t="s">
        <v>61</v>
      </c>
    </row>
    <row r="262" spans="1:44" x14ac:dyDescent="0.25">
      <c r="A262">
        <v>122</v>
      </c>
      <c r="B262" t="str">
        <f t="shared" si="12"/>
        <v>10+ years</v>
      </c>
      <c r="C262">
        <v>29</v>
      </c>
      <c r="D262" t="str" cm="1">
        <f t="array" ref="D262">_xlfn.IFS(C262&lt;26, "19-25", C262&lt;33, "26-32", C262&lt;40, "33-39", C262&lt;47, "40-46",C262&lt;54, "47-53", TRUE, "54+")</f>
        <v>26-32</v>
      </c>
      <c r="E262">
        <v>283925</v>
      </c>
      <c r="F262" s="1">
        <v>33563</v>
      </c>
      <c r="G262" t="s">
        <v>44</v>
      </c>
      <c r="H262" t="s">
        <v>45</v>
      </c>
      <c r="I262">
        <v>1000</v>
      </c>
      <c r="J262">
        <v>1629.94</v>
      </c>
      <c r="K262">
        <v>0</v>
      </c>
      <c r="L262">
        <v>620104</v>
      </c>
      <c r="M262" t="s">
        <v>75</v>
      </c>
      <c r="N262" t="s">
        <v>129</v>
      </c>
      <c r="O262" t="s">
        <v>122</v>
      </c>
      <c r="P262" t="s">
        <v>137</v>
      </c>
      <c r="Q262" t="s">
        <v>65</v>
      </c>
      <c r="R262">
        <v>0</v>
      </c>
      <c r="S262">
        <v>-47100</v>
      </c>
      <c r="T262" s="1">
        <v>42037</v>
      </c>
      <c r="U262" t="s">
        <v>143</v>
      </c>
      <c r="V262" t="s">
        <v>67</v>
      </c>
      <c r="W262" t="s">
        <v>217</v>
      </c>
      <c r="X262" t="s">
        <v>98</v>
      </c>
      <c r="Y262" t="s">
        <v>55</v>
      </c>
      <c r="Z262" t="s">
        <v>70</v>
      </c>
      <c r="AA262" t="s">
        <v>444</v>
      </c>
      <c r="AB262">
        <v>17</v>
      </c>
      <c r="AC262" t="str">
        <f t="shared" si="13"/>
        <v>Afternoon</v>
      </c>
      <c r="AD262">
        <v>1</v>
      </c>
      <c r="AE262" t="s">
        <v>67</v>
      </c>
      <c r="AF262">
        <v>0</v>
      </c>
      <c r="AG262">
        <v>1</v>
      </c>
      <c r="AH262" t="s">
        <v>84</v>
      </c>
      <c r="AI262">
        <v>3850</v>
      </c>
      <c r="AJ262">
        <v>350</v>
      </c>
      <c r="AK262">
        <v>350</v>
      </c>
      <c r="AL262">
        <v>3150</v>
      </c>
      <c r="AM262" t="s">
        <v>85</v>
      </c>
      <c r="AN262" t="s">
        <v>149</v>
      </c>
      <c r="AO262">
        <v>2015</v>
      </c>
      <c r="AP262">
        <v>2014</v>
      </c>
      <c r="AQ262">
        <f t="shared" si="14"/>
        <v>1</v>
      </c>
      <c r="AR262" t="s">
        <v>87</v>
      </c>
    </row>
    <row r="263" spans="1:44" x14ac:dyDescent="0.25">
      <c r="A263">
        <v>156</v>
      </c>
      <c r="B263" t="str">
        <f t="shared" si="12"/>
        <v>10+ years</v>
      </c>
      <c r="C263">
        <v>31</v>
      </c>
      <c r="D263" t="str" cm="1">
        <f t="array" ref="D263">_xlfn.IFS(C263&lt;26, "19-25", C263&lt;33, "26-32", C263&lt;40, "33-39", C263&lt;47, "40-46",C263&lt;54, "47-53", TRUE, "54+")</f>
        <v>26-32</v>
      </c>
      <c r="E263">
        <v>475588</v>
      </c>
      <c r="F263" s="1">
        <v>35329</v>
      </c>
      <c r="G263" t="s">
        <v>88</v>
      </c>
      <c r="H263" t="s">
        <v>74</v>
      </c>
      <c r="I263">
        <v>2000</v>
      </c>
      <c r="J263">
        <v>1134.08</v>
      </c>
      <c r="K263">
        <v>0</v>
      </c>
      <c r="L263">
        <v>446895</v>
      </c>
      <c r="M263" t="s">
        <v>46</v>
      </c>
      <c r="N263" t="s">
        <v>76</v>
      </c>
      <c r="O263" t="s">
        <v>116</v>
      </c>
      <c r="P263" t="s">
        <v>64</v>
      </c>
      <c r="Q263" t="s">
        <v>50</v>
      </c>
      <c r="R263">
        <v>0</v>
      </c>
      <c r="S263">
        <v>0</v>
      </c>
      <c r="T263" s="1">
        <v>42042</v>
      </c>
      <c r="U263" t="s">
        <v>51</v>
      </c>
      <c r="V263" t="s">
        <v>91</v>
      </c>
      <c r="W263" t="s">
        <v>53</v>
      </c>
      <c r="X263" t="s">
        <v>54</v>
      </c>
      <c r="Y263" t="s">
        <v>126</v>
      </c>
      <c r="Z263" t="s">
        <v>92</v>
      </c>
      <c r="AA263" t="s">
        <v>445</v>
      </c>
      <c r="AB263">
        <v>3</v>
      </c>
      <c r="AC263" t="str">
        <f t="shared" si="13"/>
        <v>Night</v>
      </c>
      <c r="AD263">
        <v>1</v>
      </c>
      <c r="AE263" t="s">
        <v>67</v>
      </c>
      <c r="AF263">
        <v>2</v>
      </c>
      <c r="AG263">
        <v>0</v>
      </c>
      <c r="AH263" t="s">
        <v>67</v>
      </c>
      <c r="AI263">
        <v>59000</v>
      </c>
      <c r="AJ263">
        <v>5900</v>
      </c>
      <c r="AK263">
        <v>5900</v>
      </c>
      <c r="AL263">
        <v>47200</v>
      </c>
      <c r="AM263" t="s">
        <v>134</v>
      </c>
      <c r="AN263" t="s">
        <v>254</v>
      </c>
      <c r="AO263">
        <v>2015</v>
      </c>
      <c r="AP263">
        <v>2013</v>
      </c>
      <c r="AQ263">
        <f t="shared" si="14"/>
        <v>2</v>
      </c>
      <c r="AR263" t="s">
        <v>61</v>
      </c>
    </row>
    <row r="264" spans="1:44" x14ac:dyDescent="0.25">
      <c r="A264">
        <v>232</v>
      </c>
      <c r="B264" t="str">
        <f t="shared" si="12"/>
        <v>10+ years</v>
      </c>
      <c r="C264">
        <v>43</v>
      </c>
      <c r="D264" t="str" cm="1">
        <f t="array" ref="D264">_xlfn.IFS(C264&lt;26, "19-25", C264&lt;33, "26-32", C264&lt;40, "33-39", C264&lt;47, "40-46",C264&lt;54, "47-53", TRUE, "54+")</f>
        <v>40-46</v>
      </c>
      <c r="E264">
        <v>751905</v>
      </c>
      <c r="F264" s="1">
        <v>37027</v>
      </c>
      <c r="G264" t="s">
        <v>44</v>
      </c>
      <c r="H264" t="s">
        <v>45</v>
      </c>
      <c r="I264">
        <v>500</v>
      </c>
      <c r="J264">
        <v>1483.91</v>
      </c>
      <c r="K264">
        <v>8000000</v>
      </c>
      <c r="L264">
        <v>431531</v>
      </c>
      <c r="M264" t="s">
        <v>46</v>
      </c>
      <c r="N264" t="s">
        <v>146</v>
      </c>
      <c r="O264" t="s">
        <v>63</v>
      </c>
      <c r="P264" t="s">
        <v>117</v>
      </c>
      <c r="Q264" t="s">
        <v>50</v>
      </c>
      <c r="R264">
        <v>0</v>
      </c>
      <c r="S264">
        <v>-33600</v>
      </c>
      <c r="T264" s="1">
        <v>42022</v>
      </c>
      <c r="U264" t="s">
        <v>80</v>
      </c>
      <c r="V264" t="s">
        <v>81</v>
      </c>
      <c r="W264" t="s">
        <v>53</v>
      </c>
      <c r="X264" t="s">
        <v>141</v>
      </c>
      <c r="Y264" t="s">
        <v>82</v>
      </c>
      <c r="Z264" t="s">
        <v>92</v>
      </c>
      <c r="AA264" t="s">
        <v>446</v>
      </c>
      <c r="AB264">
        <v>17</v>
      </c>
      <c r="AC264" t="str">
        <f t="shared" si="13"/>
        <v>Afternoon</v>
      </c>
      <c r="AD264">
        <v>3</v>
      </c>
      <c r="AE264" t="s">
        <v>84</v>
      </c>
      <c r="AF264">
        <v>0</v>
      </c>
      <c r="AG264">
        <v>1</v>
      </c>
      <c r="AH264" t="s">
        <v>67</v>
      </c>
      <c r="AI264">
        <v>70600</v>
      </c>
      <c r="AJ264">
        <v>7060</v>
      </c>
      <c r="AK264">
        <v>14120</v>
      </c>
      <c r="AL264">
        <v>49420</v>
      </c>
      <c r="AM264" t="s">
        <v>219</v>
      </c>
      <c r="AN264" t="s">
        <v>220</v>
      </c>
      <c r="AO264">
        <v>2015</v>
      </c>
      <c r="AP264">
        <v>2013</v>
      </c>
      <c r="AQ264">
        <f t="shared" si="14"/>
        <v>2</v>
      </c>
      <c r="AR264" t="s">
        <v>61</v>
      </c>
    </row>
    <row r="265" spans="1:44" x14ac:dyDescent="0.25">
      <c r="A265">
        <v>244</v>
      </c>
      <c r="B265" t="str">
        <f t="shared" si="12"/>
        <v>10+ years</v>
      </c>
      <c r="C265">
        <v>40</v>
      </c>
      <c r="D265" t="str" cm="1">
        <f t="array" ref="D265">_xlfn.IFS(C265&lt;26, "19-25", C265&lt;33, "26-32", C265&lt;40, "33-39", C265&lt;47, "40-46",C265&lt;54, "47-53", TRUE, "54+")</f>
        <v>40-46</v>
      </c>
      <c r="E265">
        <v>226725</v>
      </c>
      <c r="F265" s="1">
        <v>36383</v>
      </c>
      <c r="G265" t="s">
        <v>62</v>
      </c>
      <c r="H265" t="s">
        <v>96</v>
      </c>
      <c r="I265">
        <v>2000</v>
      </c>
      <c r="J265">
        <v>1304.67</v>
      </c>
      <c r="K265">
        <v>7000000</v>
      </c>
      <c r="L265">
        <v>605408</v>
      </c>
      <c r="M265" t="s">
        <v>46</v>
      </c>
      <c r="N265" t="s">
        <v>129</v>
      </c>
      <c r="O265" t="s">
        <v>89</v>
      </c>
      <c r="P265" t="s">
        <v>111</v>
      </c>
      <c r="Q265" t="s">
        <v>65</v>
      </c>
      <c r="R265">
        <v>0</v>
      </c>
      <c r="S265">
        <v>-45000</v>
      </c>
      <c r="T265" s="1">
        <v>42014</v>
      </c>
      <c r="U265" t="s">
        <v>80</v>
      </c>
      <c r="V265" t="s">
        <v>52</v>
      </c>
      <c r="W265" t="s">
        <v>68</v>
      </c>
      <c r="X265" t="s">
        <v>54</v>
      </c>
      <c r="Y265" t="s">
        <v>55</v>
      </c>
      <c r="Z265" t="s">
        <v>127</v>
      </c>
      <c r="AA265" t="s">
        <v>447</v>
      </c>
      <c r="AB265">
        <v>5</v>
      </c>
      <c r="AC265" t="str">
        <f t="shared" si="13"/>
        <v>Night</v>
      </c>
      <c r="AD265">
        <v>3</v>
      </c>
      <c r="AE265" t="s">
        <v>67</v>
      </c>
      <c r="AF265">
        <v>1</v>
      </c>
      <c r="AG265">
        <v>1</v>
      </c>
      <c r="AH265" t="s">
        <v>67</v>
      </c>
      <c r="AI265">
        <v>61490</v>
      </c>
      <c r="AJ265">
        <v>5590</v>
      </c>
      <c r="AK265">
        <v>11180</v>
      </c>
      <c r="AL265">
        <v>44720</v>
      </c>
      <c r="AM265" t="s">
        <v>85</v>
      </c>
      <c r="AN265" t="s">
        <v>86</v>
      </c>
      <c r="AO265">
        <v>2015</v>
      </c>
      <c r="AP265">
        <v>2001</v>
      </c>
      <c r="AQ265">
        <f t="shared" si="14"/>
        <v>14</v>
      </c>
      <c r="AR265" t="s">
        <v>87</v>
      </c>
    </row>
    <row r="266" spans="1:44" x14ac:dyDescent="0.25">
      <c r="A266">
        <v>84</v>
      </c>
      <c r="B266" t="str">
        <f t="shared" si="12"/>
        <v>5-10 years</v>
      </c>
      <c r="C266">
        <v>30</v>
      </c>
      <c r="D266" t="str" cm="1">
        <f t="array" ref="D266">_xlfn.IFS(C266&lt;26, "19-25", C266&lt;33, "26-32", C266&lt;40, "33-39", C266&lt;47, "40-46",C266&lt;54, "47-53", TRUE, "54+")</f>
        <v>26-32</v>
      </c>
      <c r="E266">
        <v>942504</v>
      </c>
      <c r="F266" s="1">
        <v>37788</v>
      </c>
      <c r="G266" t="s">
        <v>88</v>
      </c>
      <c r="H266" t="s">
        <v>96</v>
      </c>
      <c r="I266">
        <v>2000</v>
      </c>
      <c r="J266">
        <v>1035.79</v>
      </c>
      <c r="K266">
        <v>0</v>
      </c>
      <c r="L266">
        <v>457551</v>
      </c>
      <c r="M266" t="s">
        <v>75</v>
      </c>
      <c r="N266" t="s">
        <v>47</v>
      </c>
      <c r="O266" t="s">
        <v>140</v>
      </c>
      <c r="P266" t="s">
        <v>175</v>
      </c>
      <c r="Q266" t="s">
        <v>124</v>
      </c>
      <c r="R266">
        <v>44400</v>
      </c>
      <c r="S266">
        <v>-51500</v>
      </c>
      <c r="T266" s="1">
        <v>42034</v>
      </c>
      <c r="U266" t="s">
        <v>51</v>
      </c>
      <c r="V266" t="s">
        <v>52</v>
      </c>
      <c r="W266" t="s">
        <v>68</v>
      </c>
      <c r="X266" t="s">
        <v>54</v>
      </c>
      <c r="Y266" t="s">
        <v>55</v>
      </c>
      <c r="Z266" t="s">
        <v>132</v>
      </c>
      <c r="AA266" t="s">
        <v>448</v>
      </c>
      <c r="AB266">
        <v>9</v>
      </c>
      <c r="AC266" t="str">
        <f t="shared" si="13"/>
        <v>Morning</v>
      </c>
      <c r="AD266">
        <v>1</v>
      </c>
      <c r="AE266" t="s">
        <v>84</v>
      </c>
      <c r="AF266">
        <v>1</v>
      </c>
      <c r="AG266">
        <v>0</v>
      </c>
      <c r="AH266" t="s">
        <v>58</v>
      </c>
      <c r="AI266">
        <v>57640</v>
      </c>
      <c r="AJ266">
        <v>5240</v>
      </c>
      <c r="AK266">
        <v>10480</v>
      </c>
      <c r="AL266">
        <v>41920</v>
      </c>
      <c r="AM266" t="s">
        <v>219</v>
      </c>
      <c r="AN266" t="s">
        <v>220</v>
      </c>
      <c r="AO266">
        <v>2015</v>
      </c>
      <c r="AP266">
        <v>2010</v>
      </c>
      <c r="AQ266">
        <f t="shared" si="14"/>
        <v>5</v>
      </c>
      <c r="AR266" t="s">
        <v>87</v>
      </c>
    </row>
    <row r="267" spans="1:44" x14ac:dyDescent="0.25">
      <c r="A267">
        <v>394</v>
      </c>
      <c r="B267" t="str">
        <f t="shared" si="12"/>
        <v>10+ years</v>
      </c>
      <c r="C267">
        <v>57</v>
      </c>
      <c r="D267" t="str" cm="1">
        <f t="array" ref="D267">_xlfn.IFS(C267&lt;26, "19-25", C267&lt;33, "26-32", C267&lt;40, "33-39", C267&lt;47, "40-46",C267&lt;54, "47-53", TRUE, "54+")</f>
        <v>54+</v>
      </c>
      <c r="E267">
        <v>395572</v>
      </c>
      <c r="F267" s="1">
        <v>36249</v>
      </c>
      <c r="G267" t="s">
        <v>88</v>
      </c>
      <c r="H267" t="s">
        <v>45</v>
      </c>
      <c r="I267">
        <v>500</v>
      </c>
      <c r="J267">
        <v>1401.2</v>
      </c>
      <c r="K267">
        <v>0</v>
      </c>
      <c r="L267">
        <v>619892</v>
      </c>
      <c r="M267" t="s">
        <v>75</v>
      </c>
      <c r="N267" t="s">
        <v>136</v>
      </c>
      <c r="O267" t="s">
        <v>48</v>
      </c>
      <c r="P267" t="s">
        <v>151</v>
      </c>
      <c r="Q267" t="s">
        <v>79</v>
      </c>
      <c r="R267">
        <v>51500</v>
      </c>
      <c r="S267">
        <v>0</v>
      </c>
      <c r="T267" s="1">
        <v>42029</v>
      </c>
      <c r="U267" t="s">
        <v>66</v>
      </c>
      <c r="V267" t="s">
        <v>67</v>
      </c>
      <c r="W267" t="s">
        <v>217</v>
      </c>
      <c r="X267" t="s">
        <v>54</v>
      </c>
      <c r="Y267" t="s">
        <v>126</v>
      </c>
      <c r="Z267" t="s">
        <v>127</v>
      </c>
      <c r="AA267" t="s">
        <v>449</v>
      </c>
      <c r="AB267">
        <v>9</v>
      </c>
      <c r="AC267" t="str">
        <f t="shared" si="13"/>
        <v>Morning</v>
      </c>
      <c r="AD267">
        <v>1</v>
      </c>
      <c r="AE267" t="s">
        <v>84</v>
      </c>
      <c r="AF267">
        <v>1</v>
      </c>
      <c r="AG267">
        <v>0</v>
      </c>
      <c r="AH267" t="s">
        <v>84</v>
      </c>
      <c r="AI267">
        <v>6890</v>
      </c>
      <c r="AJ267">
        <v>1060</v>
      </c>
      <c r="AK267">
        <v>1060</v>
      </c>
      <c r="AL267">
        <v>4770</v>
      </c>
      <c r="AM267" t="s">
        <v>114</v>
      </c>
      <c r="AN267" t="s">
        <v>115</v>
      </c>
      <c r="AO267">
        <v>2015</v>
      </c>
      <c r="AP267">
        <v>1999</v>
      </c>
      <c r="AQ267">
        <f t="shared" si="14"/>
        <v>16</v>
      </c>
      <c r="AR267" t="s">
        <v>87</v>
      </c>
    </row>
    <row r="268" spans="1:44" x14ac:dyDescent="0.25">
      <c r="A268">
        <v>246</v>
      </c>
      <c r="B268" t="str">
        <f t="shared" si="12"/>
        <v>10+ years</v>
      </c>
      <c r="C268">
        <v>45</v>
      </c>
      <c r="D268" t="str" cm="1">
        <f t="array" ref="D268">_xlfn.IFS(C268&lt;26, "19-25", C268&lt;33, "26-32", C268&lt;40, "33-39", C268&lt;47, "40-46",C268&lt;54, "47-53", TRUE, "54+")</f>
        <v>40-46</v>
      </c>
      <c r="E268">
        <v>889883</v>
      </c>
      <c r="F268" s="1">
        <v>36194</v>
      </c>
      <c r="G268" t="s">
        <v>88</v>
      </c>
      <c r="H268" t="s">
        <v>45</v>
      </c>
      <c r="I268">
        <v>1000</v>
      </c>
      <c r="J268">
        <v>1665.45</v>
      </c>
      <c r="K268">
        <v>0</v>
      </c>
      <c r="L268">
        <v>445853</v>
      </c>
      <c r="M268" t="s">
        <v>46</v>
      </c>
      <c r="N268" t="s">
        <v>166</v>
      </c>
      <c r="O268" t="s">
        <v>63</v>
      </c>
      <c r="P268" t="s">
        <v>154</v>
      </c>
      <c r="Q268" t="s">
        <v>124</v>
      </c>
      <c r="R268">
        <v>34400</v>
      </c>
      <c r="S268">
        <v>-33100</v>
      </c>
      <c r="T268" s="1">
        <v>42033</v>
      </c>
      <c r="U268" t="s">
        <v>80</v>
      </c>
      <c r="V268" t="s">
        <v>52</v>
      </c>
      <c r="W268" t="s">
        <v>53</v>
      </c>
      <c r="X268" t="s">
        <v>104</v>
      </c>
      <c r="Y268" t="s">
        <v>180</v>
      </c>
      <c r="Z268" t="s">
        <v>56</v>
      </c>
      <c r="AA268" t="s">
        <v>450</v>
      </c>
      <c r="AB268">
        <v>9</v>
      </c>
      <c r="AC268" t="str">
        <f t="shared" si="13"/>
        <v>Morning</v>
      </c>
      <c r="AD268">
        <v>3</v>
      </c>
      <c r="AE268" t="s">
        <v>67</v>
      </c>
      <c r="AF268">
        <v>2</v>
      </c>
      <c r="AG268">
        <v>2</v>
      </c>
      <c r="AH268" t="s">
        <v>67</v>
      </c>
      <c r="AI268">
        <v>53280</v>
      </c>
      <c r="AJ268">
        <v>11840</v>
      </c>
      <c r="AK268">
        <v>5920</v>
      </c>
      <c r="AL268">
        <v>35520</v>
      </c>
      <c r="AM268" t="s">
        <v>120</v>
      </c>
      <c r="AN268" t="s">
        <v>121</v>
      </c>
      <c r="AO268">
        <v>2015</v>
      </c>
      <c r="AP268">
        <v>2006</v>
      </c>
      <c r="AQ268">
        <f t="shared" si="14"/>
        <v>9</v>
      </c>
      <c r="AR268" t="s">
        <v>61</v>
      </c>
    </row>
    <row r="269" spans="1:44" x14ac:dyDescent="0.25">
      <c r="A269">
        <v>35</v>
      </c>
      <c r="B269" t="str">
        <f t="shared" si="12"/>
        <v>2-5 years</v>
      </c>
      <c r="C269">
        <v>29</v>
      </c>
      <c r="D269" t="str" cm="1">
        <f t="array" ref="D269">_xlfn.IFS(C269&lt;26, "19-25", C269&lt;33, "26-32", C269&lt;40, "33-39", C269&lt;47, "40-46",C269&lt;54, "47-53", TRUE, "54+")</f>
        <v>26-32</v>
      </c>
      <c r="E269">
        <v>818167</v>
      </c>
      <c r="F269" s="1">
        <v>40780</v>
      </c>
      <c r="G269" t="s">
        <v>62</v>
      </c>
      <c r="H269" t="s">
        <v>96</v>
      </c>
      <c r="I269">
        <v>2000</v>
      </c>
      <c r="J269">
        <v>653.66</v>
      </c>
      <c r="K269">
        <v>0</v>
      </c>
      <c r="L269">
        <v>475483</v>
      </c>
      <c r="M269" t="s">
        <v>75</v>
      </c>
      <c r="N269" t="s">
        <v>166</v>
      </c>
      <c r="O269" t="s">
        <v>164</v>
      </c>
      <c r="P269" t="s">
        <v>186</v>
      </c>
      <c r="Q269" t="s">
        <v>90</v>
      </c>
      <c r="R269">
        <v>52100</v>
      </c>
      <c r="S269">
        <v>-46900</v>
      </c>
      <c r="T269" s="1">
        <v>42059</v>
      </c>
      <c r="U269" t="s">
        <v>80</v>
      </c>
      <c r="V269" t="s">
        <v>81</v>
      </c>
      <c r="W269" t="s">
        <v>68</v>
      </c>
      <c r="X269" t="s">
        <v>104</v>
      </c>
      <c r="Y269" t="s">
        <v>55</v>
      </c>
      <c r="Z269" t="s">
        <v>107</v>
      </c>
      <c r="AA269" t="s">
        <v>451</v>
      </c>
      <c r="AB269">
        <v>22</v>
      </c>
      <c r="AC269" t="str">
        <f t="shared" si="13"/>
        <v>Evening</v>
      </c>
      <c r="AD269">
        <v>3</v>
      </c>
      <c r="AE269" t="s">
        <v>84</v>
      </c>
      <c r="AF269">
        <v>0</v>
      </c>
      <c r="AG269">
        <v>0</v>
      </c>
      <c r="AH269" t="s">
        <v>67</v>
      </c>
      <c r="AI269">
        <v>78300</v>
      </c>
      <c r="AJ269">
        <v>15660</v>
      </c>
      <c r="AK269">
        <v>7830</v>
      </c>
      <c r="AL269">
        <v>54810</v>
      </c>
      <c r="AM269" t="s">
        <v>192</v>
      </c>
      <c r="AN269" t="s">
        <v>208</v>
      </c>
      <c r="AO269">
        <v>2015</v>
      </c>
      <c r="AP269">
        <v>2009</v>
      </c>
      <c r="AQ269">
        <f t="shared" si="14"/>
        <v>6</v>
      </c>
      <c r="AR269" t="s">
        <v>87</v>
      </c>
    </row>
    <row r="270" spans="1:44" x14ac:dyDescent="0.25">
      <c r="A270">
        <v>156</v>
      </c>
      <c r="B270" t="str">
        <f t="shared" si="12"/>
        <v>10+ years</v>
      </c>
      <c r="C270">
        <v>37</v>
      </c>
      <c r="D270" t="str" cm="1">
        <f t="array" ref="D270">_xlfn.IFS(C270&lt;26, "19-25", C270&lt;33, "26-32", C270&lt;40, "33-39", C270&lt;47, "40-46",C270&lt;54, "47-53", TRUE, "54+")</f>
        <v>33-39</v>
      </c>
      <c r="E270">
        <v>277767</v>
      </c>
      <c r="F270" s="1">
        <v>40357</v>
      </c>
      <c r="G270" t="s">
        <v>44</v>
      </c>
      <c r="H270" t="s">
        <v>74</v>
      </c>
      <c r="I270">
        <v>500</v>
      </c>
      <c r="J270">
        <v>1080.1300000000001</v>
      </c>
      <c r="K270">
        <v>0</v>
      </c>
      <c r="L270">
        <v>606290</v>
      </c>
      <c r="M270" t="s">
        <v>46</v>
      </c>
      <c r="N270" t="s">
        <v>97</v>
      </c>
      <c r="O270" t="s">
        <v>140</v>
      </c>
      <c r="P270" t="s">
        <v>64</v>
      </c>
      <c r="Q270" t="s">
        <v>65</v>
      </c>
      <c r="R270">
        <v>0</v>
      </c>
      <c r="S270">
        <v>-61000</v>
      </c>
      <c r="T270" s="1">
        <v>42008</v>
      </c>
      <c r="U270" t="s">
        <v>80</v>
      </c>
      <c r="V270" t="s">
        <v>81</v>
      </c>
      <c r="W270" t="s">
        <v>53</v>
      </c>
      <c r="X270" t="s">
        <v>141</v>
      </c>
      <c r="Y270" t="s">
        <v>180</v>
      </c>
      <c r="Z270" t="s">
        <v>107</v>
      </c>
      <c r="AA270" t="s">
        <v>452</v>
      </c>
      <c r="AB270">
        <v>15</v>
      </c>
      <c r="AC270" t="str">
        <f t="shared" si="13"/>
        <v>Afternoon</v>
      </c>
      <c r="AD270">
        <v>3</v>
      </c>
      <c r="AE270" t="s">
        <v>58</v>
      </c>
      <c r="AF270">
        <v>0</v>
      </c>
      <c r="AG270">
        <v>3</v>
      </c>
      <c r="AH270" t="s">
        <v>84</v>
      </c>
      <c r="AI270">
        <v>41490</v>
      </c>
      <c r="AJ270">
        <v>4610</v>
      </c>
      <c r="AK270">
        <v>4610</v>
      </c>
      <c r="AL270">
        <v>32270</v>
      </c>
      <c r="AM270" t="s">
        <v>109</v>
      </c>
      <c r="AN270" t="s">
        <v>110</v>
      </c>
      <c r="AO270">
        <v>2015</v>
      </c>
      <c r="AP270">
        <v>2001</v>
      </c>
      <c r="AQ270">
        <f t="shared" si="14"/>
        <v>14</v>
      </c>
      <c r="AR270" t="s">
        <v>87</v>
      </c>
    </row>
    <row r="271" spans="1:44" x14ac:dyDescent="0.25">
      <c r="A271">
        <v>195</v>
      </c>
      <c r="B271" t="str">
        <f t="shared" si="12"/>
        <v>10+ years</v>
      </c>
      <c r="C271">
        <v>36</v>
      </c>
      <c r="D271" t="str" cm="1">
        <f t="array" ref="D271">_xlfn.IFS(C271&lt;26, "19-25", C271&lt;33, "26-32", C271&lt;40, "33-39", C271&lt;47, "40-46",C271&lt;54, "47-53", TRUE, "54+")</f>
        <v>33-39</v>
      </c>
      <c r="E271">
        <v>842618</v>
      </c>
      <c r="F271" s="1">
        <v>37201</v>
      </c>
      <c r="G271" t="s">
        <v>62</v>
      </c>
      <c r="H271" t="s">
        <v>74</v>
      </c>
      <c r="I271">
        <v>2000</v>
      </c>
      <c r="J271">
        <v>1346.18</v>
      </c>
      <c r="K271">
        <v>0</v>
      </c>
      <c r="L271">
        <v>611852</v>
      </c>
      <c r="M271" t="s">
        <v>75</v>
      </c>
      <c r="N271" t="s">
        <v>97</v>
      </c>
      <c r="O271" t="s">
        <v>63</v>
      </c>
      <c r="P271" t="s">
        <v>123</v>
      </c>
      <c r="Q271" t="s">
        <v>124</v>
      </c>
      <c r="R271">
        <v>57800</v>
      </c>
      <c r="S271">
        <v>-53300</v>
      </c>
      <c r="T271" s="1">
        <v>42060</v>
      </c>
      <c r="U271" t="s">
        <v>80</v>
      </c>
      <c r="V271" t="s">
        <v>91</v>
      </c>
      <c r="W271" t="s">
        <v>112</v>
      </c>
      <c r="X271" t="s">
        <v>104</v>
      </c>
      <c r="Y271" t="s">
        <v>55</v>
      </c>
      <c r="Z271" t="s">
        <v>127</v>
      </c>
      <c r="AA271" t="s">
        <v>453</v>
      </c>
      <c r="AB271">
        <v>14</v>
      </c>
      <c r="AC271" t="str">
        <f t="shared" si="13"/>
        <v>Afternoon</v>
      </c>
      <c r="AD271">
        <v>3</v>
      </c>
      <c r="AE271" t="s">
        <v>58</v>
      </c>
      <c r="AF271">
        <v>2</v>
      </c>
      <c r="AG271">
        <v>3</v>
      </c>
      <c r="AH271" t="s">
        <v>58</v>
      </c>
      <c r="AI271">
        <v>68970</v>
      </c>
      <c r="AJ271">
        <v>12540</v>
      </c>
      <c r="AK271">
        <v>6270</v>
      </c>
      <c r="AL271">
        <v>50160</v>
      </c>
      <c r="AM271" t="s">
        <v>94</v>
      </c>
      <c r="AN271" t="s">
        <v>95</v>
      </c>
      <c r="AO271">
        <v>2015</v>
      </c>
      <c r="AP271">
        <v>2007</v>
      </c>
      <c r="AQ271">
        <f t="shared" si="14"/>
        <v>8</v>
      </c>
      <c r="AR271" t="s">
        <v>87</v>
      </c>
    </row>
    <row r="272" spans="1:44" x14ac:dyDescent="0.25">
      <c r="A272">
        <v>369</v>
      </c>
      <c r="B272" t="str">
        <f t="shared" si="12"/>
        <v>10+ years</v>
      </c>
      <c r="C272">
        <v>55</v>
      </c>
      <c r="D272" t="str" cm="1">
        <f t="array" ref="D272">_xlfn.IFS(C272&lt;26, "19-25", C272&lt;33, "26-32", C272&lt;40, "33-39", C272&lt;47, "40-46",C272&lt;54, "47-53", TRUE, "54+")</f>
        <v>54+</v>
      </c>
      <c r="E272">
        <v>577810</v>
      </c>
      <c r="F272" s="1">
        <v>41379</v>
      </c>
      <c r="G272" t="s">
        <v>44</v>
      </c>
      <c r="H272" t="s">
        <v>45</v>
      </c>
      <c r="I272">
        <v>2000</v>
      </c>
      <c r="J272">
        <v>1589.54</v>
      </c>
      <c r="K272">
        <v>0</v>
      </c>
      <c r="L272">
        <v>444734</v>
      </c>
      <c r="M272" t="s">
        <v>46</v>
      </c>
      <c r="N272" t="s">
        <v>146</v>
      </c>
      <c r="O272" t="s">
        <v>164</v>
      </c>
      <c r="P272" t="s">
        <v>123</v>
      </c>
      <c r="Q272" t="s">
        <v>50</v>
      </c>
      <c r="R272">
        <v>55400</v>
      </c>
      <c r="S272">
        <v>0</v>
      </c>
      <c r="T272" s="1">
        <v>42031</v>
      </c>
      <c r="U272" t="s">
        <v>80</v>
      </c>
      <c r="V272" t="s">
        <v>81</v>
      </c>
      <c r="W272" t="s">
        <v>68</v>
      </c>
      <c r="X272" t="s">
        <v>54</v>
      </c>
      <c r="Y272" t="s">
        <v>69</v>
      </c>
      <c r="Z272" t="s">
        <v>92</v>
      </c>
      <c r="AA272" t="s">
        <v>454</v>
      </c>
      <c r="AB272">
        <v>6</v>
      </c>
      <c r="AC272" t="str">
        <f t="shared" si="13"/>
        <v>Morning</v>
      </c>
      <c r="AD272">
        <v>3</v>
      </c>
      <c r="AE272" t="s">
        <v>67</v>
      </c>
      <c r="AF272">
        <v>2</v>
      </c>
      <c r="AG272">
        <v>0</v>
      </c>
      <c r="AH272" t="s">
        <v>58</v>
      </c>
      <c r="AI272">
        <v>85300</v>
      </c>
      <c r="AJ272">
        <v>17060</v>
      </c>
      <c r="AK272">
        <v>8530</v>
      </c>
      <c r="AL272">
        <v>59710</v>
      </c>
      <c r="AM272" t="s">
        <v>120</v>
      </c>
      <c r="AN272" t="s">
        <v>145</v>
      </c>
      <c r="AO272">
        <v>2015</v>
      </c>
      <c r="AP272">
        <v>2003</v>
      </c>
      <c r="AQ272">
        <f t="shared" si="14"/>
        <v>12</v>
      </c>
      <c r="AR272" t="s">
        <v>87</v>
      </c>
    </row>
    <row r="273" spans="1:44" x14ac:dyDescent="0.25">
      <c r="A273">
        <v>271</v>
      </c>
      <c r="B273" t="str">
        <f t="shared" si="12"/>
        <v>10+ years</v>
      </c>
      <c r="C273">
        <v>40</v>
      </c>
      <c r="D273" t="str" cm="1">
        <f t="array" ref="D273">_xlfn.IFS(C273&lt;26, "19-25", C273&lt;33, "26-32", C273&lt;40, "33-39", C273&lt;47, "40-46",C273&lt;54, "47-53", TRUE, "54+")</f>
        <v>40-46</v>
      </c>
      <c r="E273">
        <v>873114</v>
      </c>
      <c r="F273" s="1">
        <v>35040</v>
      </c>
      <c r="G273" t="s">
        <v>88</v>
      </c>
      <c r="H273" t="s">
        <v>74</v>
      </c>
      <c r="I273">
        <v>1000</v>
      </c>
      <c r="J273">
        <v>1251.6500000000001</v>
      </c>
      <c r="K273">
        <v>0</v>
      </c>
      <c r="L273">
        <v>433683</v>
      </c>
      <c r="M273" t="s">
        <v>75</v>
      </c>
      <c r="N273" t="s">
        <v>97</v>
      </c>
      <c r="O273" t="s">
        <v>116</v>
      </c>
      <c r="P273" t="s">
        <v>123</v>
      </c>
      <c r="Q273" t="s">
        <v>124</v>
      </c>
      <c r="R273">
        <v>71200</v>
      </c>
      <c r="S273">
        <v>0</v>
      </c>
      <c r="T273" s="1">
        <v>42054</v>
      </c>
      <c r="U273" t="s">
        <v>143</v>
      </c>
      <c r="V273" t="s">
        <v>67</v>
      </c>
      <c r="W273" t="s">
        <v>68</v>
      </c>
      <c r="X273" t="s">
        <v>98</v>
      </c>
      <c r="Y273" t="s">
        <v>82</v>
      </c>
      <c r="Z273" t="s">
        <v>127</v>
      </c>
      <c r="AA273" t="s">
        <v>455</v>
      </c>
      <c r="AB273">
        <v>6</v>
      </c>
      <c r="AC273" t="str">
        <f t="shared" si="13"/>
        <v>Morning</v>
      </c>
      <c r="AD273">
        <v>1</v>
      </c>
      <c r="AE273" t="s">
        <v>84</v>
      </c>
      <c r="AF273">
        <v>0</v>
      </c>
      <c r="AG273">
        <v>0</v>
      </c>
      <c r="AH273" t="s">
        <v>84</v>
      </c>
      <c r="AI273">
        <v>3080</v>
      </c>
      <c r="AJ273">
        <v>560</v>
      </c>
      <c r="AK273">
        <v>280</v>
      </c>
      <c r="AL273">
        <v>2240</v>
      </c>
      <c r="AM273" t="s">
        <v>114</v>
      </c>
      <c r="AN273" t="s">
        <v>139</v>
      </c>
      <c r="AO273">
        <v>2015</v>
      </c>
      <c r="AP273">
        <v>2012</v>
      </c>
      <c r="AQ273">
        <f t="shared" si="14"/>
        <v>3</v>
      </c>
      <c r="AR273" t="s">
        <v>87</v>
      </c>
    </row>
    <row r="274" spans="1:44" x14ac:dyDescent="0.25">
      <c r="A274">
        <v>332</v>
      </c>
      <c r="B274" t="str">
        <f t="shared" si="12"/>
        <v>10+ years</v>
      </c>
      <c r="C274">
        <v>47</v>
      </c>
      <c r="D274" t="str" cm="1">
        <f t="array" ref="D274">_xlfn.IFS(C274&lt;26, "19-25", C274&lt;33, "26-32", C274&lt;40, "33-39", C274&lt;47, "40-46",C274&lt;54, "47-53", TRUE, "54+")</f>
        <v>47-53</v>
      </c>
      <c r="E274">
        <v>994538</v>
      </c>
      <c r="F274" s="1">
        <v>33543</v>
      </c>
      <c r="G274" t="s">
        <v>88</v>
      </c>
      <c r="H274" t="s">
        <v>74</v>
      </c>
      <c r="I274">
        <v>2000</v>
      </c>
      <c r="J274">
        <v>1083.01</v>
      </c>
      <c r="K274">
        <v>0</v>
      </c>
      <c r="L274">
        <v>448882</v>
      </c>
      <c r="M274" t="s">
        <v>46</v>
      </c>
      <c r="N274" t="s">
        <v>47</v>
      </c>
      <c r="O274" t="s">
        <v>48</v>
      </c>
      <c r="P274" t="s">
        <v>170</v>
      </c>
      <c r="Q274" t="s">
        <v>65</v>
      </c>
      <c r="R274">
        <v>91900</v>
      </c>
      <c r="S274">
        <v>0</v>
      </c>
      <c r="T274" s="1">
        <v>42035</v>
      </c>
      <c r="U274" t="s">
        <v>80</v>
      </c>
      <c r="V274" t="s">
        <v>91</v>
      </c>
      <c r="W274" t="s">
        <v>53</v>
      </c>
      <c r="X274" t="s">
        <v>54</v>
      </c>
      <c r="Y274" t="s">
        <v>118</v>
      </c>
      <c r="Z274" t="s">
        <v>92</v>
      </c>
      <c r="AA274" t="s">
        <v>456</v>
      </c>
      <c r="AB274">
        <v>22</v>
      </c>
      <c r="AC274" t="str">
        <f t="shared" si="13"/>
        <v>Evening</v>
      </c>
      <c r="AD274">
        <v>4</v>
      </c>
      <c r="AE274" t="s">
        <v>58</v>
      </c>
      <c r="AF274">
        <v>2</v>
      </c>
      <c r="AG274">
        <v>0</v>
      </c>
      <c r="AH274" t="s">
        <v>67</v>
      </c>
      <c r="AI274">
        <v>71760</v>
      </c>
      <c r="AJ274">
        <v>11040</v>
      </c>
      <c r="AK274">
        <v>11040</v>
      </c>
      <c r="AL274">
        <v>49680</v>
      </c>
      <c r="AM274" t="s">
        <v>202</v>
      </c>
      <c r="AN274" t="s">
        <v>380</v>
      </c>
      <c r="AO274">
        <v>2015</v>
      </c>
      <c r="AP274">
        <v>2010</v>
      </c>
      <c r="AQ274">
        <f t="shared" si="14"/>
        <v>5</v>
      </c>
      <c r="AR274" t="s">
        <v>61</v>
      </c>
    </row>
    <row r="275" spans="1:44" x14ac:dyDescent="0.25">
      <c r="A275">
        <v>107</v>
      </c>
      <c r="B275" t="str">
        <f t="shared" si="12"/>
        <v>5-10 years</v>
      </c>
      <c r="C275">
        <v>26</v>
      </c>
      <c r="D275" t="str" cm="1">
        <f t="array" ref="D275">_xlfn.IFS(C275&lt;26, "19-25", C275&lt;33, "26-32", C275&lt;40, "33-39", C275&lt;47, "40-46",C275&lt;54, "47-53", TRUE, "54+")</f>
        <v>26-32</v>
      </c>
      <c r="E275">
        <v>727792</v>
      </c>
      <c r="F275" s="1">
        <v>41778</v>
      </c>
      <c r="G275" t="s">
        <v>44</v>
      </c>
      <c r="H275" t="s">
        <v>74</v>
      </c>
      <c r="I275">
        <v>500</v>
      </c>
      <c r="J275">
        <v>974.59</v>
      </c>
      <c r="K275">
        <v>0</v>
      </c>
      <c r="L275">
        <v>466838</v>
      </c>
      <c r="M275" t="s">
        <v>75</v>
      </c>
      <c r="N275" t="s">
        <v>166</v>
      </c>
      <c r="O275" t="s">
        <v>89</v>
      </c>
      <c r="P275" t="s">
        <v>137</v>
      </c>
      <c r="Q275" t="s">
        <v>124</v>
      </c>
      <c r="R275">
        <v>62800</v>
      </c>
      <c r="S275">
        <v>0</v>
      </c>
      <c r="T275" s="1">
        <v>42022</v>
      </c>
      <c r="U275" t="s">
        <v>80</v>
      </c>
      <c r="V275" t="s">
        <v>81</v>
      </c>
      <c r="W275" t="s">
        <v>68</v>
      </c>
      <c r="X275" t="s">
        <v>141</v>
      </c>
      <c r="Y275" t="s">
        <v>82</v>
      </c>
      <c r="Z275" t="s">
        <v>92</v>
      </c>
      <c r="AA275" t="s">
        <v>457</v>
      </c>
      <c r="AB275">
        <v>14</v>
      </c>
      <c r="AC275" t="str">
        <f t="shared" si="13"/>
        <v>Afternoon</v>
      </c>
      <c r="AD275">
        <v>3</v>
      </c>
      <c r="AE275" t="s">
        <v>67</v>
      </c>
      <c r="AF275">
        <v>1</v>
      </c>
      <c r="AG275">
        <v>0</v>
      </c>
      <c r="AH275" t="s">
        <v>84</v>
      </c>
      <c r="AI275">
        <v>59700</v>
      </c>
      <c r="AJ275">
        <v>11940</v>
      </c>
      <c r="AK275">
        <v>11940</v>
      </c>
      <c r="AL275">
        <v>35820</v>
      </c>
      <c r="AM275" t="s">
        <v>109</v>
      </c>
      <c r="AN275" t="s">
        <v>292</v>
      </c>
      <c r="AO275">
        <v>2015</v>
      </c>
      <c r="AP275">
        <v>2002</v>
      </c>
      <c r="AQ275">
        <f t="shared" si="14"/>
        <v>13</v>
      </c>
      <c r="AR275" t="s">
        <v>87</v>
      </c>
    </row>
    <row r="276" spans="1:44" x14ac:dyDescent="0.25">
      <c r="A276">
        <v>217</v>
      </c>
      <c r="B276" t="str">
        <f t="shared" si="12"/>
        <v>10+ years</v>
      </c>
      <c r="C276">
        <v>39</v>
      </c>
      <c r="D276" t="str" cm="1">
        <f t="array" ref="D276">_xlfn.IFS(C276&lt;26, "19-25", C276&lt;33, "26-32", C276&lt;40, "33-39", C276&lt;47, "40-46",C276&lt;54, "47-53", TRUE, "54+")</f>
        <v>33-39</v>
      </c>
      <c r="E276">
        <v>522506</v>
      </c>
      <c r="F276" s="1">
        <v>33678</v>
      </c>
      <c r="G276" t="s">
        <v>88</v>
      </c>
      <c r="H276" t="s">
        <v>96</v>
      </c>
      <c r="I276">
        <v>2000</v>
      </c>
      <c r="J276">
        <v>1399.85</v>
      </c>
      <c r="K276">
        <v>0</v>
      </c>
      <c r="L276">
        <v>605490</v>
      </c>
      <c r="M276" t="s">
        <v>75</v>
      </c>
      <c r="N276" t="s">
        <v>129</v>
      </c>
      <c r="O276" t="s">
        <v>116</v>
      </c>
      <c r="P276" t="s">
        <v>137</v>
      </c>
      <c r="Q276" t="s">
        <v>65</v>
      </c>
      <c r="R276">
        <v>49900</v>
      </c>
      <c r="S276">
        <v>-19800</v>
      </c>
      <c r="T276" s="1">
        <v>42014</v>
      </c>
      <c r="U276" t="s">
        <v>80</v>
      </c>
      <c r="V276" t="s">
        <v>91</v>
      </c>
      <c r="W276" t="s">
        <v>68</v>
      </c>
      <c r="X276" t="s">
        <v>104</v>
      </c>
      <c r="Y276" t="s">
        <v>82</v>
      </c>
      <c r="Z276" t="s">
        <v>56</v>
      </c>
      <c r="AA276" t="s">
        <v>458</v>
      </c>
      <c r="AB276">
        <v>16</v>
      </c>
      <c r="AC276" t="str">
        <f t="shared" si="13"/>
        <v>Afternoon</v>
      </c>
      <c r="AD276">
        <v>3</v>
      </c>
      <c r="AE276" t="s">
        <v>84</v>
      </c>
      <c r="AF276">
        <v>0</v>
      </c>
      <c r="AG276">
        <v>2</v>
      </c>
      <c r="AH276" t="s">
        <v>67</v>
      </c>
      <c r="AI276">
        <v>64920</v>
      </c>
      <c r="AJ276">
        <v>10820</v>
      </c>
      <c r="AK276">
        <v>10820</v>
      </c>
      <c r="AL276">
        <v>43280</v>
      </c>
      <c r="AM276" t="s">
        <v>134</v>
      </c>
      <c r="AN276" t="s">
        <v>254</v>
      </c>
      <c r="AO276">
        <v>2015</v>
      </c>
      <c r="AP276">
        <v>1997</v>
      </c>
      <c r="AQ276">
        <f t="shared" si="14"/>
        <v>18</v>
      </c>
      <c r="AR276" t="s">
        <v>87</v>
      </c>
    </row>
    <row r="277" spans="1:44" x14ac:dyDescent="0.25">
      <c r="A277">
        <v>243</v>
      </c>
      <c r="B277" t="str">
        <f t="shared" si="12"/>
        <v>10+ years</v>
      </c>
      <c r="C277">
        <v>43</v>
      </c>
      <c r="D277" t="str" cm="1">
        <f t="array" ref="D277">_xlfn.IFS(C277&lt;26, "19-25", C277&lt;33, "26-32", C277&lt;40, "33-39", C277&lt;47, "40-46",C277&lt;54, "47-53", TRUE, "54+")</f>
        <v>40-46</v>
      </c>
      <c r="E277">
        <v>367595</v>
      </c>
      <c r="F277" s="1">
        <v>38751</v>
      </c>
      <c r="G277" t="s">
        <v>62</v>
      </c>
      <c r="H277" t="s">
        <v>96</v>
      </c>
      <c r="I277">
        <v>500</v>
      </c>
      <c r="J277">
        <v>1307.74</v>
      </c>
      <c r="K277">
        <v>0</v>
      </c>
      <c r="L277">
        <v>466137</v>
      </c>
      <c r="M277" t="s">
        <v>75</v>
      </c>
      <c r="N277" t="s">
        <v>97</v>
      </c>
      <c r="O277" t="s">
        <v>63</v>
      </c>
      <c r="P277" t="s">
        <v>78</v>
      </c>
      <c r="Q277" t="s">
        <v>79</v>
      </c>
      <c r="R277">
        <v>0</v>
      </c>
      <c r="S277">
        <v>-75700</v>
      </c>
      <c r="T277" s="1">
        <v>42032</v>
      </c>
      <c r="U277" t="s">
        <v>80</v>
      </c>
      <c r="V277" t="s">
        <v>91</v>
      </c>
      <c r="W277" t="s">
        <v>53</v>
      </c>
      <c r="X277" t="s">
        <v>141</v>
      </c>
      <c r="Y277" t="s">
        <v>55</v>
      </c>
      <c r="Z277" t="s">
        <v>70</v>
      </c>
      <c r="AA277" t="s">
        <v>459</v>
      </c>
      <c r="AB277">
        <v>10</v>
      </c>
      <c r="AC277" t="str">
        <f t="shared" si="13"/>
        <v>Morning</v>
      </c>
      <c r="AD277">
        <v>3</v>
      </c>
      <c r="AE277" t="s">
        <v>67</v>
      </c>
      <c r="AF277">
        <v>0</v>
      </c>
      <c r="AG277">
        <v>1</v>
      </c>
      <c r="AH277" t="s">
        <v>84</v>
      </c>
      <c r="AI277">
        <v>37530</v>
      </c>
      <c r="AJ277">
        <v>4170</v>
      </c>
      <c r="AK277">
        <v>4170</v>
      </c>
      <c r="AL277">
        <v>29190</v>
      </c>
      <c r="AM277" t="s">
        <v>202</v>
      </c>
      <c r="AN277" t="s">
        <v>203</v>
      </c>
      <c r="AO277">
        <v>2015</v>
      </c>
      <c r="AP277">
        <v>2008</v>
      </c>
      <c r="AQ277">
        <f t="shared" si="14"/>
        <v>7</v>
      </c>
      <c r="AR277" t="s">
        <v>87</v>
      </c>
    </row>
    <row r="278" spans="1:44" x14ac:dyDescent="0.25">
      <c r="A278">
        <v>296</v>
      </c>
      <c r="B278" t="str">
        <f t="shared" si="12"/>
        <v>10+ years</v>
      </c>
      <c r="C278">
        <v>42</v>
      </c>
      <c r="D278" t="str" cm="1">
        <f t="array" ref="D278">_xlfn.IFS(C278&lt;26, "19-25", C278&lt;33, "26-32", C278&lt;40, "33-39", C278&lt;47, "40-46",C278&lt;54, "47-53", TRUE, "54+")</f>
        <v>40-46</v>
      </c>
      <c r="E278">
        <v>586104</v>
      </c>
      <c r="F278" s="1">
        <v>37696</v>
      </c>
      <c r="G278" t="s">
        <v>62</v>
      </c>
      <c r="H278" t="s">
        <v>45</v>
      </c>
      <c r="I278">
        <v>2000</v>
      </c>
      <c r="J278">
        <v>1219.27</v>
      </c>
      <c r="K278">
        <v>0</v>
      </c>
      <c r="L278">
        <v>466970</v>
      </c>
      <c r="M278" t="s">
        <v>46</v>
      </c>
      <c r="N278" t="s">
        <v>97</v>
      </c>
      <c r="O278" t="s">
        <v>102</v>
      </c>
      <c r="P278" t="s">
        <v>170</v>
      </c>
      <c r="Q278" t="s">
        <v>50</v>
      </c>
      <c r="R278">
        <v>53100</v>
      </c>
      <c r="S278">
        <v>-63400</v>
      </c>
      <c r="T278" s="1">
        <v>42051</v>
      </c>
      <c r="U278" t="s">
        <v>80</v>
      </c>
      <c r="V278" t="s">
        <v>52</v>
      </c>
      <c r="W278" t="s">
        <v>112</v>
      </c>
      <c r="X278" t="s">
        <v>141</v>
      </c>
      <c r="Y278" t="s">
        <v>118</v>
      </c>
      <c r="Z278" t="s">
        <v>56</v>
      </c>
      <c r="AA278" t="s">
        <v>460</v>
      </c>
      <c r="AB278">
        <v>9</v>
      </c>
      <c r="AC278" t="str">
        <f t="shared" si="13"/>
        <v>Morning</v>
      </c>
      <c r="AD278">
        <v>3</v>
      </c>
      <c r="AE278" t="s">
        <v>58</v>
      </c>
      <c r="AF278">
        <v>1</v>
      </c>
      <c r="AG278">
        <v>2</v>
      </c>
      <c r="AH278" t="s">
        <v>84</v>
      </c>
      <c r="AI278">
        <v>64080</v>
      </c>
      <c r="AJ278">
        <v>7120</v>
      </c>
      <c r="AK278">
        <v>7120</v>
      </c>
      <c r="AL278">
        <v>49840</v>
      </c>
      <c r="AM278" t="s">
        <v>59</v>
      </c>
      <c r="AN278">
        <v>93</v>
      </c>
      <c r="AO278">
        <v>2015</v>
      </c>
      <c r="AP278">
        <v>2012</v>
      </c>
      <c r="AQ278">
        <f t="shared" si="14"/>
        <v>3</v>
      </c>
      <c r="AR278" t="s">
        <v>87</v>
      </c>
    </row>
    <row r="279" spans="1:44" x14ac:dyDescent="0.25">
      <c r="A279">
        <v>264</v>
      </c>
      <c r="B279" t="str">
        <f t="shared" si="12"/>
        <v>10+ years</v>
      </c>
      <c r="C279">
        <v>41</v>
      </c>
      <c r="D279" t="str" cm="1">
        <f t="array" ref="D279">_xlfn.IFS(C279&lt;26, "19-25", C279&lt;33, "26-32", C279&lt;40, "33-39", C279&lt;47, "40-46",C279&lt;54, "47-53", TRUE, "54+")</f>
        <v>40-46</v>
      </c>
      <c r="E279">
        <v>424862</v>
      </c>
      <c r="F279" s="1">
        <v>37545</v>
      </c>
      <c r="G279" t="s">
        <v>44</v>
      </c>
      <c r="H279" t="s">
        <v>74</v>
      </c>
      <c r="I279">
        <v>500</v>
      </c>
      <c r="J279">
        <v>1411.3</v>
      </c>
      <c r="K279">
        <v>0</v>
      </c>
      <c r="L279">
        <v>474801</v>
      </c>
      <c r="M279" t="s">
        <v>46</v>
      </c>
      <c r="N279" t="s">
        <v>76</v>
      </c>
      <c r="O279" t="s">
        <v>106</v>
      </c>
      <c r="P279" t="s">
        <v>247</v>
      </c>
      <c r="Q279" t="s">
        <v>90</v>
      </c>
      <c r="R279">
        <v>55600</v>
      </c>
      <c r="S279">
        <v>0</v>
      </c>
      <c r="T279" s="1">
        <v>42043</v>
      </c>
      <c r="U279" t="s">
        <v>51</v>
      </c>
      <c r="V279" t="s">
        <v>81</v>
      </c>
      <c r="W279" t="s">
        <v>68</v>
      </c>
      <c r="X279" t="s">
        <v>125</v>
      </c>
      <c r="Y279" t="s">
        <v>180</v>
      </c>
      <c r="Z279" t="s">
        <v>161</v>
      </c>
      <c r="AA279" t="s">
        <v>461</v>
      </c>
      <c r="AB279">
        <v>4</v>
      </c>
      <c r="AC279" t="str">
        <f t="shared" si="13"/>
        <v>Night</v>
      </c>
      <c r="AD279">
        <v>1</v>
      </c>
      <c r="AE279" t="s">
        <v>84</v>
      </c>
      <c r="AF279">
        <v>1</v>
      </c>
      <c r="AG279">
        <v>0</v>
      </c>
      <c r="AH279" t="s">
        <v>67</v>
      </c>
      <c r="AI279">
        <v>60390</v>
      </c>
      <c r="AJ279">
        <v>10980</v>
      </c>
      <c r="AK279">
        <v>5490</v>
      </c>
      <c r="AL279">
        <v>43920</v>
      </c>
      <c r="AM279" t="s">
        <v>192</v>
      </c>
      <c r="AN279" t="s">
        <v>206</v>
      </c>
      <c r="AO279">
        <v>2015</v>
      </c>
      <c r="AP279">
        <v>2004</v>
      </c>
      <c r="AQ279">
        <f t="shared" si="14"/>
        <v>11</v>
      </c>
      <c r="AR279" t="s">
        <v>61</v>
      </c>
    </row>
    <row r="280" spans="1:44" x14ac:dyDescent="0.25">
      <c r="A280">
        <v>108</v>
      </c>
      <c r="B280" t="str">
        <f t="shared" si="12"/>
        <v>5-10 years</v>
      </c>
      <c r="C280">
        <v>33</v>
      </c>
      <c r="D280" t="str" cm="1">
        <f t="array" ref="D280">_xlfn.IFS(C280&lt;26, "19-25", C280&lt;33, "26-32", C280&lt;40, "33-39", C280&lt;47, "40-46",C280&lt;54, "47-53", TRUE, "54+")</f>
        <v>33-39</v>
      </c>
      <c r="E280">
        <v>512813</v>
      </c>
      <c r="F280" s="1">
        <v>32900</v>
      </c>
      <c r="G280" t="s">
        <v>88</v>
      </c>
      <c r="H280" t="s">
        <v>74</v>
      </c>
      <c r="I280">
        <v>2000</v>
      </c>
      <c r="J280">
        <v>694.45</v>
      </c>
      <c r="K280">
        <v>0</v>
      </c>
      <c r="L280">
        <v>450703</v>
      </c>
      <c r="M280" t="s">
        <v>75</v>
      </c>
      <c r="N280" t="s">
        <v>166</v>
      </c>
      <c r="O280" t="s">
        <v>89</v>
      </c>
      <c r="P280" t="s">
        <v>269</v>
      </c>
      <c r="Q280" t="s">
        <v>147</v>
      </c>
      <c r="R280">
        <v>0</v>
      </c>
      <c r="S280">
        <v>0</v>
      </c>
      <c r="T280" s="1">
        <v>42024</v>
      </c>
      <c r="U280" t="s">
        <v>80</v>
      </c>
      <c r="V280" t="s">
        <v>52</v>
      </c>
      <c r="W280" t="s">
        <v>53</v>
      </c>
      <c r="X280" t="s">
        <v>54</v>
      </c>
      <c r="Y280" t="s">
        <v>118</v>
      </c>
      <c r="Z280" t="s">
        <v>132</v>
      </c>
      <c r="AA280" t="s">
        <v>462</v>
      </c>
      <c r="AB280">
        <v>6</v>
      </c>
      <c r="AC280" t="str">
        <f t="shared" si="13"/>
        <v>Morning</v>
      </c>
      <c r="AD280">
        <v>3</v>
      </c>
      <c r="AE280" t="s">
        <v>67</v>
      </c>
      <c r="AF280">
        <v>0</v>
      </c>
      <c r="AG280">
        <v>1</v>
      </c>
      <c r="AH280" t="s">
        <v>58</v>
      </c>
      <c r="AI280">
        <v>64350</v>
      </c>
      <c r="AJ280">
        <v>5850</v>
      </c>
      <c r="AK280">
        <v>11700</v>
      </c>
      <c r="AL280">
        <v>46800</v>
      </c>
      <c r="AM280" t="s">
        <v>109</v>
      </c>
      <c r="AN280" t="s">
        <v>110</v>
      </c>
      <c r="AO280">
        <v>2015</v>
      </c>
      <c r="AP280">
        <v>2011</v>
      </c>
      <c r="AQ280">
        <f t="shared" si="14"/>
        <v>4</v>
      </c>
      <c r="AR280" t="s">
        <v>61</v>
      </c>
    </row>
    <row r="281" spans="1:44" x14ac:dyDescent="0.25">
      <c r="A281">
        <v>32</v>
      </c>
      <c r="B281" t="str">
        <f t="shared" si="12"/>
        <v>2-5 years</v>
      </c>
      <c r="C281">
        <v>38</v>
      </c>
      <c r="D281" t="str" cm="1">
        <f t="array" ref="D281">_xlfn.IFS(C281&lt;26, "19-25", C281&lt;33, "26-32", C281&lt;40, "33-39", C281&lt;47, "40-46",C281&lt;54, "47-53", TRUE, "54+")</f>
        <v>33-39</v>
      </c>
      <c r="E281">
        <v>356768</v>
      </c>
      <c r="F281" s="1">
        <v>40248</v>
      </c>
      <c r="G281" t="s">
        <v>88</v>
      </c>
      <c r="H281" t="s">
        <v>74</v>
      </c>
      <c r="I281">
        <v>500</v>
      </c>
      <c r="J281">
        <v>1006.77</v>
      </c>
      <c r="K281">
        <v>6000000</v>
      </c>
      <c r="L281">
        <v>478172</v>
      </c>
      <c r="M281" t="s">
        <v>75</v>
      </c>
      <c r="N281" t="s">
        <v>146</v>
      </c>
      <c r="O281" t="s">
        <v>116</v>
      </c>
      <c r="P281" t="s">
        <v>49</v>
      </c>
      <c r="Q281" t="s">
        <v>79</v>
      </c>
      <c r="R281">
        <v>0</v>
      </c>
      <c r="S281">
        <v>0</v>
      </c>
      <c r="T281" s="1">
        <v>42041</v>
      </c>
      <c r="U281" t="s">
        <v>80</v>
      </c>
      <c r="V281" t="s">
        <v>52</v>
      </c>
      <c r="W281" t="s">
        <v>68</v>
      </c>
      <c r="X281" t="s">
        <v>54</v>
      </c>
      <c r="Y281" t="s">
        <v>55</v>
      </c>
      <c r="Z281" t="s">
        <v>132</v>
      </c>
      <c r="AA281" t="s">
        <v>463</v>
      </c>
      <c r="AB281">
        <v>15</v>
      </c>
      <c r="AC281" t="str">
        <f t="shared" si="13"/>
        <v>Afternoon</v>
      </c>
      <c r="AD281">
        <v>3</v>
      </c>
      <c r="AE281" t="s">
        <v>58</v>
      </c>
      <c r="AF281">
        <v>2</v>
      </c>
      <c r="AG281">
        <v>1</v>
      </c>
      <c r="AH281" t="s">
        <v>58</v>
      </c>
      <c r="AI281">
        <v>70900</v>
      </c>
      <c r="AJ281">
        <v>14180</v>
      </c>
      <c r="AK281">
        <v>7090</v>
      </c>
      <c r="AL281">
        <v>49630</v>
      </c>
      <c r="AM281" t="s">
        <v>192</v>
      </c>
      <c r="AN281" t="s">
        <v>243</v>
      </c>
      <c r="AO281">
        <v>2015</v>
      </c>
      <c r="AP281">
        <v>1997</v>
      </c>
      <c r="AQ281">
        <f t="shared" si="14"/>
        <v>18</v>
      </c>
      <c r="AR281" t="s">
        <v>87</v>
      </c>
    </row>
    <row r="282" spans="1:44" x14ac:dyDescent="0.25">
      <c r="A282">
        <v>259</v>
      </c>
      <c r="B282" t="str">
        <f t="shared" si="12"/>
        <v>10+ years</v>
      </c>
      <c r="C282">
        <v>39</v>
      </c>
      <c r="D282" t="str" cm="1">
        <f t="array" ref="D282">_xlfn.IFS(C282&lt;26, "19-25", C282&lt;33, "26-32", C282&lt;40, "33-39", C282&lt;47, "40-46",C282&lt;54, "47-53", TRUE, "54+")</f>
        <v>33-39</v>
      </c>
      <c r="E282">
        <v>330506</v>
      </c>
      <c r="F282" s="1">
        <v>34961</v>
      </c>
      <c r="G282" t="s">
        <v>44</v>
      </c>
      <c r="H282" t="s">
        <v>45</v>
      </c>
      <c r="I282">
        <v>1000</v>
      </c>
      <c r="J282">
        <v>1422.36</v>
      </c>
      <c r="K282">
        <v>0</v>
      </c>
      <c r="L282">
        <v>604668</v>
      </c>
      <c r="M282" t="s">
        <v>75</v>
      </c>
      <c r="N282" t="s">
        <v>166</v>
      </c>
      <c r="O282" t="s">
        <v>48</v>
      </c>
      <c r="P282" t="s">
        <v>151</v>
      </c>
      <c r="Q282" t="s">
        <v>90</v>
      </c>
      <c r="R282">
        <v>0</v>
      </c>
      <c r="S282">
        <v>-83900</v>
      </c>
      <c r="T282" s="1">
        <v>42028</v>
      </c>
      <c r="U282" t="s">
        <v>80</v>
      </c>
      <c r="V282" t="s">
        <v>52</v>
      </c>
      <c r="W282" t="s">
        <v>68</v>
      </c>
      <c r="X282" t="s">
        <v>104</v>
      </c>
      <c r="Y282" t="s">
        <v>180</v>
      </c>
      <c r="Z282" t="s">
        <v>56</v>
      </c>
      <c r="AA282" t="s">
        <v>464</v>
      </c>
      <c r="AB282">
        <v>12</v>
      </c>
      <c r="AC282" t="str">
        <f t="shared" si="13"/>
        <v>Afternoon</v>
      </c>
      <c r="AD282">
        <v>3</v>
      </c>
      <c r="AE282" t="s">
        <v>84</v>
      </c>
      <c r="AF282">
        <v>1</v>
      </c>
      <c r="AG282">
        <v>3</v>
      </c>
      <c r="AH282" t="s">
        <v>67</v>
      </c>
      <c r="AI282">
        <v>46560</v>
      </c>
      <c r="AJ282">
        <v>7760</v>
      </c>
      <c r="AK282">
        <v>7760</v>
      </c>
      <c r="AL282">
        <v>31040</v>
      </c>
      <c r="AM282" t="s">
        <v>109</v>
      </c>
      <c r="AN282" t="s">
        <v>292</v>
      </c>
      <c r="AO282">
        <v>2015</v>
      </c>
      <c r="AP282">
        <v>2012</v>
      </c>
      <c r="AQ282">
        <f t="shared" si="14"/>
        <v>3</v>
      </c>
      <c r="AR282" t="s">
        <v>87</v>
      </c>
    </row>
    <row r="283" spans="1:44" x14ac:dyDescent="0.25">
      <c r="A283">
        <v>186</v>
      </c>
      <c r="B283" t="str">
        <f t="shared" si="12"/>
        <v>10+ years</v>
      </c>
      <c r="C283">
        <v>33</v>
      </c>
      <c r="D283" t="str" cm="1">
        <f t="array" ref="D283">_xlfn.IFS(C283&lt;26, "19-25", C283&lt;33, "26-32", C283&lt;40, "33-39", C283&lt;47, "40-46",C283&lt;54, "47-53", TRUE, "54+")</f>
        <v>33-39</v>
      </c>
      <c r="E283">
        <v>779075</v>
      </c>
      <c r="F283" s="1">
        <v>40236</v>
      </c>
      <c r="G283" t="s">
        <v>62</v>
      </c>
      <c r="H283" t="s">
        <v>74</v>
      </c>
      <c r="I283">
        <v>1000</v>
      </c>
      <c r="J283">
        <v>1348.32</v>
      </c>
      <c r="K283">
        <v>0</v>
      </c>
      <c r="L283">
        <v>469429</v>
      </c>
      <c r="M283" t="s">
        <v>75</v>
      </c>
      <c r="N283" t="s">
        <v>97</v>
      </c>
      <c r="O283" t="s">
        <v>48</v>
      </c>
      <c r="P283" t="s">
        <v>247</v>
      </c>
      <c r="Q283" t="s">
        <v>124</v>
      </c>
      <c r="R283">
        <v>37600</v>
      </c>
      <c r="S283">
        <v>-37600</v>
      </c>
      <c r="T283" s="1">
        <v>42018</v>
      </c>
      <c r="U283" t="s">
        <v>66</v>
      </c>
      <c r="V283" t="s">
        <v>67</v>
      </c>
      <c r="W283" t="s">
        <v>217</v>
      </c>
      <c r="X283" t="s">
        <v>54</v>
      </c>
      <c r="Y283" t="s">
        <v>82</v>
      </c>
      <c r="Z283" t="s">
        <v>92</v>
      </c>
      <c r="AA283" t="s">
        <v>465</v>
      </c>
      <c r="AB283">
        <v>3</v>
      </c>
      <c r="AC283" t="str">
        <f t="shared" si="13"/>
        <v>Night</v>
      </c>
      <c r="AD283">
        <v>1</v>
      </c>
      <c r="AE283" t="s">
        <v>84</v>
      </c>
      <c r="AF283">
        <v>2</v>
      </c>
      <c r="AG283">
        <v>1</v>
      </c>
      <c r="AH283" t="s">
        <v>67</v>
      </c>
      <c r="AI283">
        <v>4730</v>
      </c>
      <c r="AJ283">
        <v>860</v>
      </c>
      <c r="AK283">
        <v>860</v>
      </c>
      <c r="AL283">
        <v>3010</v>
      </c>
      <c r="AM283" t="s">
        <v>94</v>
      </c>
      <c r="AN283" t="s">
        <v>250</v>
      </c>
      <c r="AO283">
        <v>2015</v>
      </c>
      <c r="AP283">
        <v>2013</v>
      </c>
      <c r="AQ283">
        <f t="shared" si="14"/>
        <v>2</v>
      </c>
      <c r="AR283" t="s">
        <v>61</v>
      </c>
    </row>
    <row r="284" spans="1:44" x14ac:dyDescent="0.25">
      <c r="A284">
        <v>201</v>
      </c>
      <c r="B284" t="str">
        <f t="shared" si="12"/>
        <v>10+ years</v>
      </c>
      <c r="C284">
        <v>40</v>
      </c>
      <c r="D284" t="str" cm="1">
        <f t="array" ref="D284">_xlfn.IFS(C284&lt;26, "19-25", C284&lt;33, "26-32", C284&lt;40, "33-39", C284&lt;47, "40-46",C284&lt;54, "47-53", TRUE, "54+")</f>
        <v>40-46</v>
      </c>
      <c r="E284">
        <v>799501</v>
      </c>
      <c r="F284" s="1">
        <v>33600</v>
      </c>
      <c r="G284" t="s">
        <v>44</v>
      </c>
      <c r="H284" t="s">
        <v>45</v>
      </c>
      <c r="I284">
        <v>2000</v>
      </c>
      <c r="J284">
        <v>1315.56</v>
      </c>
      <c r="K284">
        <v>0</v>
      </c>
      <c r="L284">
        <v>471806</v>
      </c>
      <c r="M284" t="s">
        <v>75</v>
      </c>
      <c r="N284" t="s">
        <v>76</v>
      </c>
      <c r="O284" t="s">
        <v>150</v>
      </c>
      <c r="P284" t="s">
        <v>186</v>
      </c>
      <c r="Q284" t="s">
        <v>147</v>
      </c>
      <c r="R284">
        <v>0</v>
      </c>
      <c r="S284">
        <v>0</v>
      </c>
      <c r="T284" s="1">
        <v>42053</v>
      </c>
      <c r="U284" t="s">
        <v>66</v>
      </c>
      <c r="V284" t="s">
        <v>67</v>
      </c>
      <c r="W284" t="s">
        <v>68</v>
      </c>
      <c r="X284" t="s">
        <v>54</v>
      </c>
      <c r="Y284" t="s">
        <v>55</v>
      </c>
      <c r="Z284" t="s">
        <v>161</v>
      </c>
      <c r="AA284" t="s">
        <v>466</v>
      </c>
      <c r="AB284">
        <v>14</v>
      </c>
      <c r="AC284" t="str">
        <f t="shared" si="13"/>
        <v>Afternoon</v>
      </c>
      <c r="AD284">
        <v>1</v>
      </c>
      <c r="AE284" t="s">
        <v>58</v>
      </c>
      <c r="AF284">
        <v>0</v>
      </c>
      <c r="AG284">
        <v>0</v>
      </c>
      <c r="AH284" t="s">
        <v>58</v>
      </c>
      <c r="AI284">
        <v>6820</v>
      </c>
      <c r="AJ284">
        <v>1240</v>
      </c>
      <c r="AK284">
        <v>1240</v>
      </c>
      <c r="AL284">
        <v>4340</v>
      </c>
      <c r="AM284" t="s">
        <v>202</v>
      </c>
      <c r="AN284" t="s">
        <v>380</v>
      </c>
      <c r="AO284">
        <v>2015</v>
      </c>
      <c r="AP284">
        <v>2003</v>
      </c>
      <c r="AQ284">
        <f t="shared" si="14"/>
        <v>12</v>
      </c>
      <c r="AR284" t="s">
        <v>87</v>
      </c>
    </row>
    <row r="285" spans="1:44" x14ac:dyDescent="0.25">
      <c r="A285">
        <v>436</v>
      </c>
      <c r="B285" t="str">
        <f t="shared" si="12"/>
        <v>10+ years</v>
      </c>
      <c r="C285">
        <v>58</v>
      </c>
      <c r="D285" t="str" cm="1">
        <f t="array" ref="D285">_xlfn.IFS(C285&lt;26, "19-25", C285&lt;33, "26-32", C285&lt;40, "33-39", C285&lt;47, "40-46",C285&lt;54, "47-53", TRUE, "54+")</f>
        <v>54+</v>
      </c>
      <c r="E285">
        <v>987905</v>
      </c>
      <c r="F285" s="1">
        <v>37376</v>
      </c>
      <c r="G285" t="s">
        <v>44</v>
      </c>
      <c r="H285" t="s">
        <v>45</v>
      </c>
      <c r="I285">
        <v>2000</v>
      </c>
      <c r="J285">
        <v>1407.01</v>
      </c>
      <c r="K285">
        <v>5000000</v>
      </c>
      <c r="L285">
        <v>475705</v>
      </c>
      <c r="M285" t="s">
        <v>46</v>
      </c>
      <c r="N285" t="s">
        <v>76</v>
      </c>
      <c r="O285" t="s">
        <v>102</v>
      </c>
      <c r="P285" t="s">
        <v>49</v>
      </c>
      <c r="Q285" t="s">
        <v>65</v>
      </c>
      <c r="R285">
        <v>47400</v>
      </c>
      <c r="S285">
        <v>-27600</v>
      </c>
      <c r="T285" s="1">
        <v>42014</v>
      </c>
      <c r="U285" t="s">
        <v>51</v>
      </c>
      <c r="V285" t="s">
        <v>81</v>
      </c>
      <c r="W285" t="s">
        <v>53</v>
      </c>
      <c r="X285" t="s">
        <v>54</v>
      </c>
      <c r="Y285" t="s">
        <v>118</v>
      </c>
      <c r="Z285" t="s">
        <v>70</v>
      </c>
      <c r="AA285" t="s">
        <v>467</v>
      </c>
      <c r="AB285">
        <v>10</v>
      </c>
      <c r="AC285" t="str">
        <f t="shared" si="13"/>
        <v>Morning</v>
      </c>
      <c r="AD285">
        <v>1</v>
      </c>
      <c r="AE285" t="s">
        <v>67</v>
      </c>
      <c r="AF285">
        <v>0</v>
      </c>
      <c r="AG285">
        <v>2</v>
      </c>
      <c r="AH285" t="s">
        <v>67</v>
      </c>
      <c r="AI285">
        <v>59900</v>
      </c>
      <c r="AJ285">
        <v>11980</v>
      </c>
      <c r="AK285">
        <v>5990</v>
      </c>
      <c r="AL285">
        <v>41930</v>
      </c>
      <c r="AM285" t="s">
        <v>192</v>
      </c>
      <c r="AN285" t="s">
        <v>208</v>
      </c>
      <c r="AO285">
        <v>2015</v>
      </c>
      <c r="AP285">
        <v>1997</v>
      </c>
      <c r="AQ285">
        <f t="shared" si="14"/>
        <v>18</v>
      </c>
      <c r="AR285" t="s">
        <v>61</v>
      </c>
    </row>
    <row r="286" spans="1:44" x14ac:dyDescent="0.25">
      <c r="A286">
        <v>189</v>
      </c>
      <c r="B286" t="str">
        <f t="shared" si="12"/>
        <v>10+ years</v>
      </c>
      <c r="C286">
        <v>36</v>
      </c>
      <c r="D286" t="str" cm="1">
        <f t="array" ref="D286">_xlfn.IFS(C286&lt;26, "19-25", C286&lt;33, "26-32", C286&lt;40, "33-39", C286&lt;47, "40-46",C286&lt;54, "47-53", TRUE, "54+")</f>
        <v>33-39</v>
      </c>
      <c r="E286">
        <v>967756</v>
      </c>
      <c r="F286" s="1">
        <v>39200</v>
      </c>
      <c r="G286" t="s">
        <v>44</v>
      </c>
      <c r="H286" t="s">
        <v>45</v>
      </c>
      <c r="I286">
        <v>2000</v>
      </c>
      <c r="J286">
        <v>1388.58</v>
      </c>
      <c r="K286">
        <v>0</v>
      </c>
      <c r="L286">
        <v>459122</v>
      </c>
      <c r="M286" t="s">
        <v>75</v>
      </c>
      <c r="N286" t="s">
        <v>47</v>
      </c>
      <c r="O286" t="s">
        <v>122</v>
      </c>
      <c r="P286" t="s">
        <v>184</v>
      </c>
      <c r="Q286" t="s">
        <v>79</v>
      </c>
      <c r="R286">
        <v>0</v>
      </c>
      <c r="S286">
        <v>-49400</v>
      </c>
      <c r="T286" s="1">
        <v>42048</v>
      </c>
      <c r="U286" t="s">
        <v>80</v>
      </c>
      <c r="V286" t="s">
        <v>52</v>
      </c>
      <c r="W286" t="s">
        <v>53</v>
      </c>
      <c r="X286" t="s">
        <v>54</v>
      </c>
      <c r="Y286" t="s">
        <v>118</v>
      </c>
      <c r="Z286" t="s">
        <v>70</v>
      </c>
      <c r="AA286" t="s">
        <v>468</v>
      </c>
      <c r="AB286">
        <v>17</v>
      </c>
      <c r="AC286" t="str">
        <f t="shared" si="13"/>
        <v>Afternoon</v>
      </c>
      <c r="AD286">
        <v>3</v>
      </c>
      <c r="AE286" t="s">
        <v>67</v>
      </c>
      <c r="AF286">
        <v>1</v>
      </c>
      <c r="AG286">
        <v>3</v>
      </c>
      <c r="AH286" t="s">
        <v>58</v>
      </c>
      <c r="AI286">
        <v>79560</v>
      </c>
      <c r="AJ286">
        <v>13260</v>
      </c>
      <c r="AK286">
        <v>13260</v>
      </c>
      <c r="AL286">
        <v>53040</v>
      </c>
      <c r="AM286" t="s">
        <v>134</v>
      </c>
      <c r="AN286" t="s">
        <v>177</v>
      </c>
      <c r="AO286">
        <v>2015</v>
      </c>
      <c r="AP286">
        <v>2009</v>
      </c>
      <c r="AQ286">
        <f t="shared" si="14"/>
        <v>6</v>
      </c>
      <c r="AR286" t="s">
        <v>87</v>
      </c>
    </row>
    <row r="287" spans="1:44" x14ac:dyDescent="0.25">
      <c r="A287">
        <v>105</v>
      </c>
      <c r="B287" t="str">
        <f t="shared" si="12"/>
        <v>5-10 years</v>
      </c>
      <c r="C287">
        <v>33</v>
      </c>
      <c r="D287" t="str" cm="1">
        <f t="array" ref="D287">_xlfn.IFS(C287&lt;26, "19-25", C287&lt;33, "26-32", C287&lt;40, "33-39", C287&lt;47, "40-46",C287&lt;54, "47-53", TRUE, "54+")</f>
        <v>33-39</v>
      </c>
      <c r="E287">
        <v>830414</v>
      </c>
      <c r="F287" s="1">
        <v>35254</v>
      </c>
      <c r="G287" t="s">
        <v>88</v>
      </c>
      <c r="H287" t="s">
        <v>96</v>
      </c>
      <c r="I287">
        <v>500</v>
      </c>
      <c r="J287">
        <v>1310.76</v>
      </c>
      <c r="K287">
        <v>0</v>
      </c>
      <c r="L287">
        <v>476737</v>
      </c>
      <c r="M287" t="s">
        <v>75</v>
      </c>
      <c r="N287" t="s">
        <v>136</v>
      </c>
      <c r="O287" t="s">
        <v>190</v>
      </c>
      <c r="P287" t="s">
        <v>175</v>
      </c>
      <c r="Q287" t="s">
        <v>147</v>
      </c>
      <c r="R287">
        <v>0</v>
      </c>
      <c r="S287">
        <v>-40900</v>
      </c>
      <c r="T287" s="1">
        <v>42052</v>
      </c>
      <c r="U287" t="s">
        <v>51</v>
      </c>
      <c r="V287" t="s">
        <v>91</v>
      </c>
      <c r="W287" t="s">
        <v>112</v>
      </c>
      <c r="X287" t="s">
        <v>125</v>
      </c>
      <c r="Y287" t="s">
        <v>69</v>
      </c>
      <c r="Z287" t="s">
        <v>161</v>
      </c>
      <c r="AA287" t="s">
        <v>469</v>
      </c>
      <c r="AB287">
        <v>8</v>
      </c>
      <c r="AC287" t="str">
        <f t="shared" si="13"/>
        <v>Morning</v>
      </c>
      <c r="AD287">
        <v>1</v>
      </c>
      <c r="AE287" t="s">
        <v>58</v>
      </c>
      <c r="AF287">
        <v>0</v>
      </c>
      <c r="AG287">
        <v>1</v>
      </c>
      <c r="AH287" t="s">
        <v>67</v>
      </c>
      <c r="AI287">
        <v>70290</v>
      </c>
      <c r="AJ287">
        <v>12780</v>
      </c>
      <c r="AK287">
        <v>6390</v>
      </c>
      <c r="AL287">
        <v>51120</v>
      </c>
      <c r="AM287" t="s">
        <v>100</v>
      </c>
      <c r="AN287" t="s">
        <v>153</v>
      </c>
      <c r="AO287">
        <v>2015</v>
      </c>
      <c r="AP287">
        <v>2008</v>
      </c>
      <c r="AQ287">
        <f t="shared" si="14"/>
        <v>7</v>
      </c>
      <c r="AR287" t="s">
        <v>87</v>
      </c>
    </row>
    <row r="288" spans="1:44" x14ac:dyDescent="0.25">
      <c r="A288">
        <v>163</v>
      </c>
      <c r="B288" t="str">
        <f t="shared" si="12"/>
        <v>10+ years</v>
      </c>
      <c r="C288">
        <v>31</v>
      </c>
      <c r="D288" t="str" cm="1">
        <f t="array" ref="D288">_xlfn.IFS(C288&lt;26, "19-25", C288&lt;33, "26-32", C288&lt;40, "33-39", C288&lt;47, "40-46",C288&lt;54, "47-53", TRUE, "54+")</f>
        <v>26-32</v>
      </c>
      <c r="E288">
        <v>127313</v>
      </c>
      <c r="F288" s="1">
        <v>37347</v>
      </c>
      <c r="G288" t="s">
        <v>62</v>
      </c>
      <c r="H288" t="s">
        <v>74</v>
      </c>
      <c r="I288">
        <v>1000</v>
      </c>
      <c r="J288">
        <v>1004.63</v>
      </c>
      <c r="K288">
        <v>6000000</v>
      </c>
      <c r="L288">
        <v>460359</v>
      </c>
      <c r="M288" t="s">
        <v>46</v>
      </c>
      <c r="N288" t="s">
        <v>166</v>
      </c>
      <c r="O288" t="s">
        <v>122</v>
      </c>
      <c r="P288" t="s">
        <v>154</v>
      </c>
      <c r="Q288" t="s">
        <v>147</v>
      </c>
      <c r="R288">
        <v>26900</v>
      </c>
      <c r="S288">
        <v>0</v>
      </c>
      <c r="T288" s="1">
        <v>42011</v>
      </c>
      <c r="U288" t="s">
        <v>80</v>
      </c>
      <c r="V288" t="s">
        <v>81</v>
      </c>
      <c r="W288" t="s">
        <v>112</v>
      </c>
      <c r="X288" t="s">
        <v>141</v>
      </c>
      <c r="Y288" t="s">
        <v>55</v>
      </c>
      <c r="Z288" t="s">
        <v>127</v>
      </c>
      <c r="AA288" t="s">
        <v>470</v>
      </c>
      <c r="AB288">
        <v>14</v>
      </c>
      <c r="AC288" t="str">
        <f t="shared" si="13"/>
        <v>Afternoon</v>
      </c>
      <c r="AD288">
        <v>3</v>
      </c>
      <c r="AE288" t="s">
        <v>58</v>
      </c>
      <c r="AF288">
        <v>2</v>
      </c>
      <c r="AG288">
        <v>0</v>
      </c>
      <c r="AH288" t="s">
        <v>84</v>
      </c>
      <c r="AI288">
        <v>63910</v>
      </c>
      <c r="AJ288">
        <v>5810</v>
      </c>
      <c r="AK288">
        <v>11620</v>
      </c>
      <c r="AL288">
        <v>46480</v>
      </c>
      <c r="AM288" t="s">
        <v>158</v>
      </c>
      <c r="AN288" t="s">
        <v>172</v>
      </c>
      <c r="AO288">
        <v>2015</v>
      </c>
      <c r="AP288">
        <v>1999</v>
      </c>
      <c r="AQ288">
        <f t="shared" si="14"/>
        <v>16</v>
      </c>
      <c r="AR288" t="s">
        <v>87</v>
      </c>
    </row>
    <row r="289" spans="1:44" x14ac:dyDescent="0.25">
      <c r="A289">
        <v>219</v>
      </c>
      <c r="B289" t="str">
        <f t="shared" si="12"/>
        <v>10+ years</v>
      </c>
      <c r="C289">
        <v>40</v>
      </c>
      <c r="D289" t="str" cm="1">
        <f t="array" ref="D289">_xlfn.IFS(C289&lt;26, "19-25", C289&lt;33, "26-32", C289&lt;40, "33-39", C289&lt;47, "40-46",C289&lt;54, "47-53", TRUE, "54+")</f>
        <v>40-46</v>
      </c>
      <c r="E289">
        <v>786957</v>
      </c>
      <c r="F289" s="1">
        <v>39019</v>
      </c>
      <c r="G289" t="s">
        <v>44</v>
      </c>
      <c r="H289" t="s">
        <v>74</v>
      </c>
      <c r="I289">
        <v>500</v>
      </c>
      <c r="J289">
        <v>1134.9100000000001</v>
      </c>
      <c r="K289">
        <v>0</v>
      </c>
      <c r="L289">
        <v>452735</v>
      </c>
      <c r="M289" t="s">
        <v>75</v>
      </c>
      <c r="N289" t="s">
        <v>97</v>
      </c>
      <c r="O289" t="s">
        <v>150</v>
      </c>
      <c r="P289" t="s">
        <v>117</v>
      </c>
      <c r="Q289" t="s">
        <v>147</v>
      </c>
      <c r="R289">
        <v>68700</v>
      </c>
      <c r="S289">
        <v>0</v>
      </c>
      <c r="T289" s="1">
        <v>42033</v>
      </c>
      <c r="U289" t="s">
        <v>66</v>
      </c>
      <c r="V289" t="s">
        <v>67</v>
      </c>
      <c r="W289" t="s">
        <v>217</v>
      </c>
      <c r="X289" t="s">
        <v>98</v>
      </c>
      <c r="Y289" t="s">
        <v>55</v>
      </c>
      <c r="Z289" t="s">
        <v>70</v>
      </c>
      <c r="AA289" t="s">
        <v>471</v>
      </c>
      <c r="AB289">
        <v>6</v>
      </c>
      <c r="AC289" t="str">
        <f t="shared" si="13"/>
        <v>Morning</v>
      </c>
      <c r="AD289">
        <v>1</v>
      </c>
      <c r="AE289" t="s">
        <v>67</v>
      </c>
      <c r="AF289">
        <v>1</v>
      </c>
      <c r="AG289">
        <v>0</v>
      </c>
      <c r="AH289" t="s">
        <v>84</v>
      </c>
      <c r="AI289">
        <v>6400</v>
      </c>
      <c r="AJ289">
        <v>640</v>
      </c>
      <c r="AK289">
        <v>640</v>
      </c>
      <c r="AL289">
        <v>5120</v>
      </c>
      <c r="AM289" t="s">
        <v>120</v>
      </c>
      <c r="AN289" t="s">
        <v>121</v>
      </c>
      <c r="AO289">
        <v>2015</v>
      </c>
      <c r="AP289">
        <v>1997</v>
      </c>
      <c r="AQ289">
        <f t="shared" si="14"/>
        <v>18</v>
      </c>
      <c r="AR289" t="s">
        <v>87</v>
      </c>
    </row>
    <row r="290" spans="1:44" x14ac:dyDescent="0.25">
      <c r="A290">
        <v>88</v>
      </c>
      <c r="B290" t="str">
        <f t="shared" si="12"/>
        <v>5-10 years</v>
      </c>
      <c r="C290">
        <v>25</v>
      </c>
      <c r="D290" t="str" cm="1">
        <f t="array" ref="D290">_xlfn.IFS(C290&lt;26, "19-25", C290&lt;33, "26-32", C290&lt;40, "33-39", C290&lt;47, "40-46",C290&lt;54, "47-53", TRUE, "54+")</f>
        <v>19-25</v>
      </c>
      <c r="E290">
        <v>332892</v>
      </c>
      <c r="F290" s="1">
        <v>39380</v>
      </c>
      <c r="G290" t="s">
        <v>62</v>
      </c>
      <c r="H290" t="s">
        <v>45</v>
      </c>
      <c r="I290">
        <v>1000</v>
      </c>
      <c r="J290">
        <v>1194</v>
      </c>
      <c r="K290">
        <v>0</v>
      </c>
      <c r="L290">
        <v>613583</v>
      </c>
      <c r="M290" t="s">
        <v>75</v>
      </c>
      <c r="N290" t="s">
        <v>166</v>
      </c>
      <c r="O290" t="s">
        <v>164</v>
      </c>
      <c r="P290" t="s">
        <v>151</v>
      </c>
      <c r="Q290" t="s">
        <v>50</v>
      </c>
      <c r="R290">
        <v>0</v>
      </c>
      <c r="S290">
        <v>0</v>
      </c>
      <c r="T290" s="1">
        <v>42048</v>
      </c>
      <c r="U290" t="s">
        <v>51</v>
      </c>
      <c r="V290" t="s">
        <v>81</v>
      </c>
      <c r="W290" t="s">
        <v>53</v>
      </c>
      <c r="X290" t="s">
        <v>141</v>
      </c>
      <c r="Y290" t="s">
        <v>55</v>
      </c>
      <c r="Z290" t="s">
        <v>161</v>
      </c>
      <c r="AA290" t="s">
        <v>472</v>
      </c>
      <c r="AB290">
        <v>6</v>
      </c>
      <c r="AC290" t="str">
        <f t="shared" si="13"/>
        <v>Morning</v>
      </c>
      <c r="AD290">
        <v>1</v>
      </c>
      <c r="AE290" t="s">
        <v>58</v>
      </c>
      <c r="AF290">
        <v>1</v>
      </c>
      <c r="AG290">
        <v>2</v>
      </c>
      <c r="AH290" t="s">
        <v>58</v>
      </c>
      <c r="AI290">
        <v>66780</v>
      </c>
      <c r="AJ290">
        <v>7420</v>
      </c>
      <c r="AK290">
        <v>7420</v>
      </c>
      <c r="AL290">
        <v>51940</v>
      </c>
      <c r="AM290" t="s">
        <v>134</v>
      </c>
      <c r="AN290" t="s">
        <v>177</v>
      </c>
      <c r="AO290">
        <v>2015</v>
      </c>
      <c r="AP290">
        <v>2013</v>
      </c>
      <c r="AQ290">
        <f t="shared" si="14"/>
        <v>2</v>
      </c>
      <c r="AR290" t="s">
        <v>61</v>
      </c>
    </row>
    <row r="291" spans="1:44" x14ac:dyDescent="0.25">
      <c r="A291">
        <v>40</v>
      </c>
      <c r="B291" t="str">
        <f t="shared" si="12"/>
        <v>2-5 years</v>
      </c>
      <c r="C291">
        <v>39</v>
      </c>
      <c r="D291" t="str" cm="1">
        <f t="array" ref="D291">_xlfn.IFS(C291&lt;26, "19-25", C291&lt;33, "26-32", C291&lt;40, "33-39", C291&lt;47, "40-46",C291&lt;54, "47-53", TRUE, "54+")</f>
        <v>33-39</v>
      </c>
      <c r="E291">
        <v>448642</v>
      </c>
      <c r="F291" s="1">
        <v>36978</v>
      </c>
      <c r="G291" t="s">
        <v>62</v>
      </c>
      <c r="H291" t="s">
        <v>96</v>
      </c>
      <c r="I291">
        <v>1000</v>
      </c>
      <c r="J291">
        <v>1248.25</v>
      </c>
      <c r="K291">
        <v>4000000</v>
      </c>
      <c r="L291">
        <v>605692</v>
      </c>
      <c r="M291" t="s">
        <v>75</v>
      </c>
      <c r="N291" t="s">
        <v>146</v>
      </c>
      <c r="O291" t="s">
        <v>77</v>
      </c>
      <c r="P291" t="s">
        <v>154</v>
      </c>
      <c r="Q291" t="s">
        <v>79</v>
      </c>
      <c r="R291">
        <v>0</v>
      </c>
      <c r="S291">
        <v>-33300</v>
      </c>
      <c r="T291" s="1">
        <v>42036</v>
      </c>
      <c r="U291" t="s">
        <v>143</v>
      </c>
      <c r="V291" t="s">
        <v>67</v>
      </c>
      <c r="W291" t="s">
        <v>68</v>
      </c>
      <c r="X291" t="s">
        <v>54</v>
      </c>
      <c r="Y291" t="s">
        <v>69</v>
      </c>
      <c r="Z291" t="s">
        <v>161</v>
      </c>
      <c r="AA291" t="s">
        <v>473</v>
      </c>
      <c r="AB291">
        <v>8</v>
      </c>
      <c r="AC291" t="str">
        <f t="shared" si="13"/>
        <v>Morning</v>
      </c>
      <c r="AD291">
        <v>1</v>
      </c>
      <c r="AE291" t="s">
        <v>84</v>
      </c>
      <c r="AF291">
        <v>0</v>
      </c>
      <c r="AG291">
        <v>2</v>
      </c>
      <c r="AH291" t="s">
        <v>67</v>
      </c>
      <c r="AI291">
        <v>8760</v>
      </c>
      <c r="AJ291">
        <v>1460</v>
      </c>
      <c r="AK291">
        <v>1460</v>
      </c>
      <c r="AL291">
        <v>5840</v>
      </c>
      <c r="AM291" t="s">
        <v>192</v>
      </c>
      <c r="AN291" t="s">
        <v>193</v>
      </c>
      <c r="AO291">
        <v>2015</v>
      </c>
      <c r="AP291">
        <v>2013</v>
      </c>
      <c r="AQ291">
        <f t="shared" si="14"/>
        <v>2</v>
      </c>
      <c r="AR291" t="s">
        <v>87</v>
      </c>
    </row>
    <row r="292" spans="1:44" x14ac:dyDescent="0.25">
      <c r="A292">
        <v>284</v>
      </c>
      <c r="B292" t="str">
        <f t="shared" si="12"/>
        <v>10+ years</v>
      </c>
      <c r="C292">
        <v>42</v>
      </c>
      <c r="D292" t="str" cm="1">
        <f t="array" ref="D292">_xlfn.IFS(C292&lt;26, "19-25", C292&lt;33, "26-32", C292&lt;40, "33-39", C292&lt;47, "40-46",C292&lt;54, "47-53", TRUE, "54+")</f>
        <v>40-46</v>
      </c>
      <c r="E292">
        <v>526039</v>
      </c>
      <c r="F292" s="1">
        <v>34823</v>
      </c>
      <c r="G292" t="s">
        <v>44</v>
      </c>
      <c r="H292" t="s">
        <v>74</v>
      </c>
      <c r="I292">
        <v>500</v>
      </c>
      <c r="J292">
        <v>1338.54</v>
      </c>
      <c r="K292">
        <v>-1000000</v>
      </c>
      <c r="L292">
        <v>438178</v>
      </c>
      <c r="M292" t="s">
        <v>46</v>
      </c>
      <c r="N292" t="s">
        <v>97</v>
      </c>
      <c r="O292" t="s">
        <v>63</v>
      </c>
      <c r="P292" t="s">
        <v>175</v>
      </c>
      <c r="Q292" t="s">
        <v>124</v>
      </c>
      <c r="R292">
        <v>0</v>
      </c>
      <c r="S292">
        <v>0</v>
      </c>
      <c r="T292" s="1">
        <v>42033</v>
      </c>
      <c r="U292" t="s">
        <v>51</v>
      </c>
      <c r="V292" t="s">
        <v>52</v>
      </c>
      <c r="W292" t="s">
        <v>53</v>
      </c>
      <c r="X292" t="s">
        <v>141</v>
      </c>
      <c r="Y292" t="s">
        <v>126</v>
      </c>
      <c r="Z292" t="s">
        <v>92</v>
      </c>
      <c r="AA292" t="s">
        <v>474</v>
      </c>
      <c r="AB292">
        <v>13</v>
      </c>
      <c r="AC292" t="str">
        <f t="shared" si="13"/>
        <v>Afternoon</v>
      </c>
      <c r="AD292">
        <v>1</v>
      </c>
      <c r="AE292" t="s">
        <v>58</v>
      </c>
      <c r="AF292">
        <v>0</v>
      </c>
      <c r="AG292">
        <v>1</v>
      </c>
      <c r="AH292" t="s">
        <v>67</v>
      </c>
      <c r="AI292">
        <v>94160</v>
      </c>
      <c r="AJ292">
        <v>8560</v>
      </c>
      <c r="AK292">
        <v>17120</v>
      </c>
      <c r="AL292">
        <v>68480</v>
      </c>
      <c r="AM292" t="s">
        <v>94</v>
      </c>
      <c r="AN292" t="s">
        <v>250</v>
      </c>
      <c r="AO292">
        <v>2015</v>
      </c>
      <c r="AP292">
        <v>1996</v>
      </c>
      <c r="AQ292">
        <f t="shared" si="14"/>
        <v>19</v>
      </c>
      <c r="AR292" t="s">
        <v>87</v>
      </c>
    </row>
    <row r="293" spans="1:44" x14ac:dyDescent="0.25">
      <c r="A293">
        <v>59</v>
      </c>
      <c r="B293" t="str">
        <f t="shared" si="12"/>
        <v>2-5 years</v>
      </c>
      <c r="C293">
        <v>40</v>
      </c>
      <c r="D293" t="str" cm="1">
        <f t="array" ref="D293">_xlfn.IFS(C293&lt;26, "19-25", C293&lt;33, "26-32", C293&lt;40, "33-39", C293&lt;47, "40-46",C293&lt;54, "47-53", TRUE, "54+")</f>
        <v>40-46</v>
      </c>
      <c r="E293">
        <v>444422</v>
      </c>
      <c r="F293" s="1">
        <v>40814</v>
      </c>
      <c r="G293" t="s">
        <v>88</v>
      </c>
      <c r="H293" t="s">
        <v>45</v>
      </c>
      <c r="I293">
        <v>2000</v>
      </c>
      <c r="J293">
        <v>782.23</v>
      </c>
      <c r="K293">
        <v>0</v>
      </c>
      <c r="L293">
        <v>449221</v>
      </c>
      <c r="M293" t="s">
        <v>46</v>
      </c>
      <c r="N293" t="s">
        <v>146</v>
      </c>
      <c r="O293" t="s">
        <v>140</v>
      </c>
      <c r="P293" t="s">
        <v>117</v>
      </c>
      <c r="Q293" t="s">
        <v>65</v>
      </c>
      <c r="R293">
        <v>64200</v>
      </c>
      <c r="S293">
        <v>-32300</v>
      </c>
      <c r="T293" s="1">
        <v>42041</v>
      </c>
      <c r="U293" t="s">
        <v>80</v>
      </c>
      <c r="V293" t="s">
        <v>91</v>
      </c>
      <c r="W293" t="s">
        <v>112</v>
      </c>
      <c r="X293" t="s">
        <v>141</v>
      </c>
      <c r="Y293" t="s">
        <v>44</v>
      </c>
      <c r="Z293" t="s">
        <v>107</v>
      </c>
      <c r="AA293" t="s">
        <v>475</v>
      </c>
      <c r="AB293">
        <v>0</v>
      </c>
      <c r="AC293" t="str">
        <f t="shared" si="13"/>
        <v>Night</v>
      </c>
      <c r="AD293">
        <v>3</v>
      </c>
      <c r="AE293" t="s">
        <v>67</v>
      </c>
      <c r="AF293">
        <v>0</v>
      </c>
      <c r="AG293">
        <v>2</v>
      </c>
      <c r="AH293" t="s">
        <v>84</v>
      </c>
      <c r="AI293">
        <v>51570</v>
      </c>
      <c r="AJ293">
        <v>5730</v>
      </c>
      <c r="AK293">
        <v>11460</v>
      </c>
      <c r="AL293">
        <v>34380</v>
      </c>
      <c r="AM293" t="s">
        <v>192</v>
      </c>
      <c r="AN293" t="s">
        <v>208</v>
      </c>
      <c r="AO293">
        <v>2015</v>
      </c>
      <c r="AP293">
        <v>2010</v>
      </c>
      <c r="AQ293">
        <f t="shared" si="14"/>
        <v>5</v>
      </c>
      <c r="AR293" t="s">
        <v>87</v>
      </c>
    </row>
    <row r="294" spans="1:44" x14ac:dyDescent="0.25">
      <c r="A294">
        <v>39</v>
      </c>
      <c r="B294" t="str">
        <f t="shared" si="12"/>
        <v>2-5 years</v>
      </c>
      <c r="C294">
        <v>31</v>
      </c>
      <c r="D294" t="str" cm="1">
        <f t="array" ref="D294">_xlfn.IFS(C294&lt;26, "19-25", C294&lt;33, "26-32", C294&lt;40, "33-39", C294&lt;47, "40-46",C294&lt;54, "47-53", TRUE, "54+")</f>
        <v>26-32</v>
      </c>
      <c r="E294">
        <v>689500</v>
      </c>
      <c r="F294" s="1">
        <v>37649</v>
      </c>
      <c r="G294" t="s">
        <v>88</v>
      </c>
      <c r="H294" t="s">
        <v>45</v>
      </c>
      <c r="I294">
        <v>2000</v>
      </c>
      <c r="J294">
        <v>1366.9</v>
      </c>
      <c r="K294">
        <v>0</v>
      </c>
      <c r="L294">
        <v>459322</v>
      </c>
      <c r="M294" t="s">
        <v>75</v>
      </c>
      <c r="N294" t="s">
        <v>136</v>
      </c>
      <c r="O294" t="s">
        <v>164</v>
      </c>
      <c r="P294" t="s">
        <v>178</v>
      </c>
      <c r="Q294" t="s">
        <v>50</v>
      </c>
      <c r="R294">
        <v>0</v>
      </c>
      <c r="S294">
        <v>-15700</v>
      </c>
      <c r="T294" s="1">
        <v>42032</v>
      </c>
      <c r="U294" t="s">
        <v>80</v>
      </c>
      <c r="V294" t="s">
        <v>81</v>
      </c>
      <c r="W294" t="s">
        <v>53</v>
      </c>
      <c r="X294" t="s">
        <v>104</v>
      </c>
      <c r="Y294" t="s">
        <v>126</v>
      </c>
      <c r="Z294" t="s">
        <v>132</v>
      </c>
      <c r="AA294" t="s">
        <v>476</v>
      </c>
      <c r="AB294">
        <v>14</v>
      </c>
      <c r="AC294" t="str">
        <f t="shared" si="13"/>
        <v>Afternoon</v>
      </c>
      <c r="AD294">
        <v>3</v>
      </c>
      <c r="AE294" t="s">
        <v>67</v>
      </c>
      <c r="AF294">
        <v>1</v>
      </c>
      <c r="AG294">
        <v>0</v>
      </c>
      <c r="AH294" t="s">
        <v>84</v>
      </c>
      <c r="AI294">
        <v>52700</v>
      </c>
      <c r="AJ294">
        <v>10540</v>
      </c>
      <c r="AK294">
        <v>10540</v>
      </c>
      <c r="AL294">
        <v>31620</v>
      </c>
      <c r="AM294" t="s">
        <v>192</v>
      </c>
      <c r="AN294" t="s">
        <v>243</v>
      </c>
      <c r="AO294">
        <v>2015</v>
      </c>
      <c r="AP294">
        <v>2014</v>
      </c>
      <c r="AQ294">
        <f t="shared" si="14"/>
        <v>1</v>
      </c>
      <c r="AR294" t="s">
        <v>61</v>
      </c>
    </row>
    <row r="295" spans="1:44" x14ac:dyDescent="0.25">
      <c r="A295">
        <v>147</v>
      </c>
      <c r="B295" t="str">
        <f t="shared" si="12"/>
        <v>10+ years</v>
      </c>
      <c r="C295">
        <v>34</v>
      </c>
      <c r="D295" t="str" cm="1">
        <f t="array" ref="D295">_xlfn.IFS(C295&lt;26, "19-25", C295&lt;33, "26-32", C295&lt;40, "33-39", C295&lt;47, "40-46",C295&lt;54, "47-53", TRUE, "54+")</f>
        <v>33-39</v>
      </c>
      <c r="E295">
        <v>806081</v>
      </c>
      <c r="F295" s="1">
        <v>40575</v>
      </c>
      <c r="G295" t="s">
        <v>88</v>
      </c>
      <c r="H295" t="s">
        <v>96</v>
      </c>
      <c r="I295">
        <v>1000</v>
      </c>
      <c r="J295">
        <v>1275.81</v>
      </c>
      <c r="K295">
        <v>0</v>
      </c>
      <c r="L295">
        <v>472657</v>
      </c>
      <c r="M295" t="s">
        <v>46</v>
      </c>
      <c r="N295" t="s">
        <v>136</v>
      </c>
      <c r="O295" t="s">
        <v>77</v>
      </c>
      <c r="P295" t="s">
        <v>131</v>
      </c>
      <c r="Q295" t="s">
        <v>124</v>
      </c>
      <c r="R295">
        <v>0</v>
      </c>
      <c r="S295">
        <v>-48300</v>
      </c>
      <c r="T295" s="1">
        <v>42025</v>
      </c>
      <c r="U295" t="s">
        <v>51</v>
      </c>
      <c r="V295" t="s">
        <v>52</v>
      </c>
      <c r="W295" t="s">
        <v>68</v>
      </c>
      <c r="X295" t="s">
        <v>104</v>
      </c>
      <c r="Y295" t="s">
        <v>82</v>
      </c>
      <c r="Z295" t="s">
        <v>56</v>
      </c>
      <c r="AA295" t="s">
        <v>477</v>
      </c>
      <c r="AB295">
        <v>13</v>
      </c>
      <c r="AC295" t="str">
        <f t="shared" si="13"/>
        <v>Afternoon</v>
      </c>
      <c r="AD295">
        <v>1</v>
      </c>
      <c r="AE295" t="s">
        <v>58</v>
      </c>
      <c r="AF295">
        <v>2</v>
      </c>
      <c r="AG295">
        <v>2</v>
      </c>
      <c r="AH295" t="s">
        <v>67</v>
      </c>
      <c r="AI295">
        <v>101010</v>
      </c>
      <c r="AJ295">
        <v>15540</v>
      </c>
      <c r="AK295">
        <v>15540</v>
      </c>
      <c r="AL295">
        <v>69930</v>
      </c>
      <c r="AM295" t="s">
        <v>72</v>
      </c>
      <c r="AN295" t="s">
        <v>276</v>
      </c>
      <c r="AO295">
        <v>2015</v>
      </c>
      <c r="AP295">
        <v>1998</v>
      </c>
      <c r="AQ295">
        <f t="shared" si="14"/>
        <v>17</v>
      </c>
      <c r="AR295" t="s">
        <v>87</v>
      </c>
    </row>
    <row r="296" spans="1:44" x14ac:dyDescent="0.25">
      <c r="A296">
        <v>156</v>
      </c>
      <c r="B296" t="str">
        <f t="shared" si="12"/>
        <v>10+ years</v>
      </c>
      <c r="C296">
        <v>37</v>
      </c>
      <c r="D296" t="str" cm="1">
        <f t="array" ref="D296">_xlfn.IFS(C296&lt;26, "19-25", C296&lt;33, "26-32", C296&lt;40, "33-39", C296&lt;47, "40-46",C296&lt;54, "47-53", TRUE, "54+")</f>
        <v>33-39</v>
      </c>
      <c r="E296">
        <v>384618</v>
      </c>
      <c r="F296" s="1">
        <v>34009</v>
      </c>
      <c r="G296" t="s">
        <v>62</v>
      </c>
      <c r="H296" t="s">
        <v>45</v>
      </c>
      <c r="I296">
        <v>500</v>
      </c>
      <c r="J296">
        <v>1090.6500000000001</v>
      </c>
      <c r="K296">
        <v>0</v>
      </c>
      <c r="L296">
        <v>608331</v>
      </c>
      <c r="M296" t="s">
        <v>46</v>
      </c>
      <c r="N296" t="s">
        <v>136</v>
      </c>
      <c r="O296" t="s">
        <v>130</v>
      </c>
      <c r="P296" t="s">
        <v>117</v>
      </c>
      <c r="Q296" t="s">
        <v>90</v>
      </c>
      <c r="R296">
        <v>0</v>
      </c>
      <c r="S296">
        <v>-51800</v>
      </c>
      <c r="T296" s="1">
        <v>42020</v>
      </c>
      <c r="U296" t="s">
        <v>80</v>
      </c>
      <c r="V296" t="s">
        <v>81</v>
      </c>
      <c r="W296" t="s">
        <v>68</v>
      </c>
      <c r="X296" t="s">
        <v>54</v>
      </c>
      <c r="Y296" t="s">
        <v>126</v>
      </c>
      <c r="Z296" t="s">
        <v>56</v>
      </c>
      <c r="AA296" t="s">
        <v>478</v>
      </c>
      <c r="AB296">
        <v>16</v>
      </c>
      <c r="AC296" t="str">
        <f t="shared" si="13"/>
        <v>Afternoon</v>
      </c>
      <c r="AD296">
        <v>4</v>
      </c>
      <c r="AE296" t="s">
        <v>67</v>
      </c>
      <c r="AF296">
        <v>1</v>
      </c>
      <c r="AG296">
        <v>2</v>
      </c>
      <c r="AH296" t="s">
        <v>58</v>
      </c>
      <c r="AI296">
        <v>53400</v>
      </c>
      <c r="AJ296">
        <v>5340</v>
      </c>
      <c r="AK296">
        <v>5340</v>
      </c>
      <c r="AL296">
        <v>42720</v>
      </c>
      <c r="AM296" t="s">
        <v>214</v>
      </c>
      <c r="AN296" t="s">
        <v>215</v>
      </c>
      <c r="AO296">
        <v>2015</v>
      </c>
      <c r="AP296">
        <v>2010</v>
      </c>
      <c r="AQ296">
        <f t="shared" si="14"/>
        <v>5</v>
      </c>
      <c r="AR296" t="s">
        <v>61</v>
      </c>
    </row>
    <row r="297" spans="1:44" x14ac:dyDescent="0.25">
      <c r="A297">
        <v>123</v>
      </c>
      <c r="B297" t="str">
        <f t="shared" si="12"/>
        <v>10+ years</v>
      </c>
      <c r="C297">
        <v>31</v>
      </c>
      <c r="D297" t="str" cm="1">
        <f t="array" ref="D297">_xlfn.IFS(C297&lt;26, "19-25", C297&lt;33, "26-32", C297&lt;40, "33-39", C297&lt;47, "40-46",C297&lt;54, "47-53", TRUE, "54+")</f>
        <v>26-32</v>
      </c>
      <c r="E297">
        <v>756459</v>
      </c>
      <c r="F297" s="1">
        <v>38569</v>
      </c>
      <c r="G297" t="s">
        <v>62</v>
      </c>
      <c r="H297" t="s">
        <v>45</v>
      </c>
      <c r="I297">
        <v>500</v>
      </c>
      <c r="J297">
        <v>1326</v>
      </c>
      <c r="K297">
        <v>0</v>
      </c>
      <c r="L297">
        <v>438546</v>
      </c>
      <c r="M297" t="s">
        <v>75</v>
      </c>
      <c r="N297" t="s">
        <v>97</v>
      </c>
      <c r="O297" t="s">
        <v>106</v>
      </c>
      <c r="P297" t="s">
        <v>184</v>
      </c>
      <c r="Q297" t="s">
        <v>124</v>
      </c>
      <c r="R297">
        <v>0</v>
      </c>
      <c r="S297">
        <v>-54600</v>
      </c>
      <c r="T297" s="1">
        <v>42052</v>
      </c>
      <c r="U297" t="s">
        <v>51</v>
      </c>
      <c r="V297" t="s">
        <v>52</v>
      </c>
      <c r="W297" t="s">
        <v>112</v>
      </c>
      <c r="X297" t="s">
        <v>104</v>
      </c>
      <c r="Y297" t="s">
        <v>55</v>
      </c>
      <c r="Z297" t="s">
        <v>161</v>
      </c>
      <c r="AA297" t="s">
        <v>479</v>
      </c>
      <c r="AB297">
        <v>13</v>
      </c>
      <c r="AC297" t="str">
        <f t="shared" si="13"/>
        <v>Afternoon</v>
      </c>
      <c r="AD297">
        <v>1</v>
      </c>
      <c r="AE297" t="s">
        <v>67</v>
      </c>
      <c r="AF297">
        <v>1</v>
      </c>
      <c r="AG297">
        <v>2</v>
      </c>
      <c r="AH297" t="s">
        <v>84</v>
      </c>
      <c r="AI297">
        <v>72120</v>
      </c>
      <c r="AJ297">
        <v>12020</v>
      </c>
      <c r="AK297">
        <v>12020</v>
      </c>
      <c r="AL297">
        <v>48080</v>
      </c>
      <c r="AM297" t="s">
        <v>72</v>
      </c>
      <c r="AN297" t="s">
        <v>276</v>
      </c>
      <c r="AO297">
        <v>2015</v>
      </c>
      <c r="AP297">
        <v>2009</v>
      </c>
      <c r="AQ297">
        <f t="shared" si="14"/>
        <v>6</v>
      </c>
      <c r="AR297" t="s">
        <v>87</v>
      </c>
    </row>
    <row r="298" spans="1:44" x14ac:dyDescent="0.25">
      <c r="A298">
        <v>231</v>
      </c>
      <c r="B298" t="str">
        <f t="shared" si="12"/>
        <v>10+ years</v>
      </c>
      <c r="C298">
        <v>43</v>
      </c>
      <c r="D298" t="str" cm="1">
        <f t="array" ref="D298">_xlfn.IFS(C298&lt;26, "19-25", C298&lt;33, "26-32", C298&lt;40, "33-39", C298&lt;47, "40-46",C298&lt;54, "47-53", TRUE, "54+")</f>
        <v>40-46</v>
      </c>
      <c r="E298">
        <v>655787</v>
      </c>
      <c r="F298" s="1">
        <v>38885</v>
      </c>
      <c r="G298" t="s">
        <v>88</v>
      </c>
      <c r="H298" t="s">
        <v>45</v>
      </c>
      <c r="I298">
        <v>2000</v>
      </c>
      <c r="J298">
        <v>972.47</v>
      </c>
      <c r="K298">
        <v>0</v>
      </c>
      <c r="L298">
        <v>441981</v>
      </c>
      <c r="M298" t="s">
        <v>46</v>
      </c>
      <c r="N298" t="s">
        <v>146</v>
      </c>
      <c r="O298" t="s">
        <v>140</v>
      </c>
      <c r="P298" t="s">
        <v>64</v>
      </c>
      <c r="Q298" t="s">
        <v>124</v>
      </c>
      <c r="R298">
        <v>0</v>
      </c>
      <c r="S298">
        <v>-58100</v>
      </c>
      <c r="T298" s="1">
        <v>42036</v>
      </c>
      <c r="U298" t="s">
        <v>80</v>
      </c>
      <c r="V298" t="s">
        <v>91</v>
      </c>
      <c r="W298" t="s">
        <v>68</v>
      </c>
      <c r="X298" t="s">
        <v>54</v>
      </c>
      <c r="Y298" t="s">
        <v>180</v>
      </c>
      <c r="Z298" t="s">
        <v>127</v>
      </c>
      <c r="AA298" t="s">
        <v>480</v>
      </c>
      <c r="AB298">
        <v>15</v>
      </c>
      <c r="AC298" t="str">
        <f t="shared" si="13"/>
        <v>Afternoon</v>
      </c>
      <c r="AD298">
        <v>3</v>
      </c>
      <c r="AE298" t="s">
        <v>58</v>
      </c>
      <c r="AF298">
        <v>2</v>
      </c>
      <c r="AG298">
        <v>2</v>
      </c>
      <c r="AH298" t="s">
        <v>58</v>
      </c>
      <c r="AI298">
        <v>77100</v>
      </c>
      <c r="AJ298">
        <v>7710</v>
      </c>
      <c r="AK298">
        <v>15420</v>
      </c>
      <c r="AL298">
        <v>53970</v>
      </c>
      <c r="AM298" t="s">
        <v>114</v>
      </c>
      <c r="AN298" t="s">
        <v>139</v>
      </c>
      <c r="AO298">
        <v>2015</v>
      </c>
      <c r="AP298">
        <v>2010</v>
      </c>
      <c r="AQ298">
        <f t="shared" si="14"/>
        <v>5</v>
      </c>
      <c r="AR298" t="s">
        <v>87</v>
      </c>
    </row>
    <row r="299" spans="1:44" x14ac:dyDescent="0.25">
      <c r="A299">
        <v>247</v>
      </c>
      <c r="B299" t="str">
        <f t="shared" si="12"/>
        <v>10+ years</v>
      </c>
      <c r="C299">
        <v>39</v>
      </c>
      <c r="D299" t="str" cm="1">
        <f t="array" ref="D299">_xlfn.IFS(C299&lt;26, "19-25", C299&lt;33, "26-32", C299&lt;40, "33-39", C299&lt;47, "40-46",C299&lt;54, "47-53", TRUE, "54+")</f>
        <v>33-39</v>
      </c>
      <c r="E299">
        <v>419954</v>
      </c>
      <c r="F299" s="1">
        <v>34310</v>
      </c>
      <c r="G299" t="s">
        <v>88</v>
      </c>
      <c r="H299" t="s">
        <v>74</v>
      </c>
      <c r="I299">
        <v>500</v>
      </c>
      <c r="J299">
        <v>806.31</v>
      </c>
      <c r="K299">
        <v>0</v>
      </c>
      <c r="L299">
        <v>602177</v>
      </c>
      <c r="M299" t="s">
        <v>75</v>
      </c>
      <c r="N299" t="s">
        <v>146</v>
      </c>
      <c r="O299" t="s">
        <v>164</v>
      </c>
      <c r="P299" t="s">
        <v>131</v>
      </c>
      <c r="Q299" t="s">
        <v>124</v>
      </c>
      <c r="R299">
        <v>0</v>
      </c>
      <c r="S299">
        <v>0</v>
      </c>
      <c r="T299" s="1">
        <v>42060</v>
      </c>
      <c r="U299" t="s">
        <v>143</v>
      </c>
      <c r="V299" t="s">
        <v>67</v>
      </c>
      <c r="W299" t="s">
        <v>217</v>
      </c>
      <c r="X299" t="s">
        <v>54</v>
      </c>
      <c r="Y299" t="s">
        <v>55</v>
      </c>
      <c r="Z299" t="s">
        <v>132</v>
      </c>
      <c r="AA299" t="s">
        <v>481</v>
      </c>
      <c r="AB299">
        <v>3</v>
      </c>
      <c r="AC299" t="str">
        <f t="shared" si="13"/>
        <v>Night</v>
      </c>
      <c r="AD299">
        <v>1</v>
      </c>
      <c r="AE299" t="s">
        <v>67</v>
      </c>
      <c r="AF299">
        <v>2</v>
      </c>
      <c r="AG299">
        <v>3</v>
      </c>
      <c r="AH299" t="s">
        <v>67</v>
      </c>
      <c r="AI299">
        <v>3300</v>
      </c>
      <c r="AJ299">
        <v>600</v>
      </c>
      <c r="AK299">
        <v>0</v>
      </c>
      <c r="AL299">
        <v>2700</v>
      </c>
      <c r="AM299" t="s">
        <v>85</v>
      </c>
      <c r="AN299" t="s">
        <v>86</v>
      </c>
      <c r="AO299">
        <v>2015</v>
      </c>
      <c r="AP299">
        <v>2003</v>
      </c>
      <c r="AQ299">
        <f t="shared" si="14"/>
        <v>12</v>
      </c>
      <c r="AR299" t="s">
        <v>87</v>
      </c>
    </row>
    <row r="300" spans="1:44" x14ac:dyDescent="0.25">
      <c r="A300">
        <v>194</v>
      </c>
      <c r="B300" t="str">
        <f t="shared" si="12"/>
        <v>10+ years</v>
      </c>
      <c r="C300">
        <v>35</v>
      </c>
      <c r="D300" t="str" cm="1">
        <f t="array" ref="D300">_xlfn.IFS(C300&lt;26, "19-25", C300&lt;33, "26-32", C300&lt;40, "33-39", C300&lt;47, "40-46",C300&lt;54, "47-53", TRUE, "54+")</f>
        <v>33-39</v>
      </c>
      <c r="E300">
        <v>275092</v>
      </c>
      <c r="F300" s="1">
        <v>40982</v>
      </c>
      <c r="G300" t="s">
        <v>88</v>
      </c>
      <c r="H300" t="s">
        <v>96</v>
      </c>
      <c r="I300">
        <v>500</v>
      </c>
      <c r="J300">
        <v>1416.24</v>
      </c>
      <c r="K300">
        <v>0</v>
      </c>
      <c r="L300">
        <v>441659</v>
      </c>
      <c r="M300" t="s">
        <v>75</v>
      </c>
      <c r="N300" t="s">
        <v>47</v>
      </c>
      <c r="O300" t="s">
        <v>190</v>
      </c>
      <c r="P300" t="s">
        <v>117</v>
      </c>
      <c r="Q300" t="s">
        <v>147</v>
      </c>
      <c r="R300">
        <v>0</v>
      </c>
      <c r="S300">
        <v>0</v>
      </c>
      <c r="T300" s="1">
        <v>42061</v>
      </c>
      <c r="U300" t="s">
        <v>143</v>
      </c>
      <c r="V300" t="s">
        <v>67</v>
      </c>
      <c r="W300" t="s">
        <v>68</v>
      </c>
      <c r="X300" t="s">
        <v>98</v>
      </c>
      <c r="Y300" t="s">
        <v>118</v>
      </c>
      <c r="Z300" t="s">
        <v>132</v>
      </c>
      <c r="AA300" t="s">
        <v>482</v>
      </c>
      <c r="AB300">
        <v>7</v>
      </c>
      <c r="AC300" t="str">
        <f t="shared" si="13"/>
        <v>Morning</v>
      </c>
      <c r="AD300">
        <v>1</v>
      </c>
      <c r="AE300" t="s">
        <v>58</v>
      </c>
      <c r="AF300">
        <v>1</v>
      </c>
      <c r="AG300">
        <v>0</v>
      </c>
      <c r="AH300" t="s">
        <v>67</v>
      </c>
      <c r="AI300">
        <v>5940</v>
      </c>
      <c r="AJ300">
        <v>1080</v>
      </c>
      <c r="AK300">
        <v>540</v>
      </c>
      <c r="AL300">
        <v>4320</v>
      </c>
      <c r="AM300" t="s">
        <v>109</v>
      </c>
      <c r="AN300" t="s">
        <v>110</v>
      </c>
      <c r="AO300">
        <v>2015</v>
      </c>
      <c r="AP300">
        <v>2003</v>
      </c>
      <c r="AQ300">
        <f t="shared" si="14"/>
        <v>12</v>
      </c>
      <c r="AR300" t="s">
        <v>87</v>
      </c>
    </row>
    <row r="301" spans="1:44" x14ac:dyDescent="0.25">
      <c r="A301">
        <v>119</v>
      </c>
      <c r="B301" t="str">
        <f t="shared" si="12"/>
        <v>5-10 years</v>
      </c>
      <c r="C301">
        <v>27</v>
      </c>
      <c r="D301" t="str" cm="1">
        <f t="array" ref="D301">_xlfn.IFS(C301&lt;26, "19-25", C301&lt;33, "26-32", C301&lt;40, "33-39", C301&lt;47, "40-46",C301&lt;54, "47-53", TRUE, "54+")</f>
        <v>26-32</v>
      </c>
      <c r="E301">
        <v>515698</v>
      </c>
      <c r="F301" s="1">
        <v>35647</v>
      </c>
      <c r="G301" t="s">
        <v>62</v>
      </c>
      <c r="H301" t="s">
        <v>45</v>
      </c>
      <c r="I301">
        <v>2000</v>
      </c>
      <c r="J301">
        <v>1097.6400000000001</v>
      </c>
      <c r="K301">
        <v>0</v>
      </c>
      <c r="L301">
        <v>614812</v>
      </c>
      <c r="M301" t="s">
        <v>46</v>
      </c>
      <c r="N301" t="s">
        <v>136</v>
      </c>
      <c r="O301" t="s">
        <v>150</v>
      </c>
      <c r="P301" t="s">
        <v>186</v>
      </c>
      <c r="Q301" t="s">
        <v>65</v>
      </c>
      <c r="R301">
        <v>27100</v>
      </c>
      <c r="S301">
        <v>0</v>
      </c>
      <c r="T301" s="1">
        <v>42041</v>
      </c>
      <c r="U301" t="s">
        <v>80</v>
      </c>
      <c r="V301" t="s">
        <v>81</v>
      </c>
      <c r="W301" t="s">
        <v>53</v>
      </c>
      <c r="X301" t="s">
        <v>125</v>
      </c>
      <c r="Y301" t="s">
        <v>180</v>
      </c>
      <c r="Z301" t="s">
        <v>132</v>
      </c>
      <c r="AA301" t="s">
        <v>483</v>
      </c>
      <c r="AB301">
        <v>16</v>
      </c>
      <c r="AC301" t="str">
        <f t="shared" si="13"/>
        <v>Afternoon</v>
      </c>
      <c r="AD301">
        <v>2</v>
      </c>
      <c r="AE301" t="s">
        <v>84</v>
      </c>
      <c r="AF301">
        <v>1</v>
      </c>
      <c r="AG301">
        <v>0</v>
      </c>
      <c r="AH301" t="s">
        <v>67</v>
      </c>
      <c r="AI301">
        <v>63720</v>
      </c>
      <c r="AJ301">
        <v>7080</v>
      </c>
      <c r="AK301">
        <v>21240</v>
      </c>
      <c r="AL301">
        <v>35400</v>
      </c>
      <c r="AM301" t="s">
        <v>100</v>
      </c>
      <c r="AN301" t="s">
        <v>163</v>
      </c>
      <c r="AO301">
        <v>2015</v>
      </c>
      <c r="AP301">
        <v>2006</v>
      </c>
      <c r="AQ301">
        <f t="shared" si="14"/>
        <v>9</v>
      </c>
      <c r="AR301" t="s">
        <v>87</v>
      </c>
    </row>
    <row r="302" spans="1:44" x14ac:dyDescent="0.25">
      <c r="A302">
        <v>259</v>
      </c>
      <c r="B302" t="str">
        <f t="shared" si="12"/>
        <v>10+ years</v>
      </c>
      <c r="C302">
        <v>43</v>
      </c>
      <c r="D302" t="str" cm="1">
        <f t="array" ref="D302">_xlfn.IFS(C302&lt;26, "19-25", C302&lt;33, "26-32", C302&lt;40, "33-39", C302&lt;47, "40-46",C302&lt;54, "47-53", TRUE, "54+")</f>
        <v>40-46</v>
      </c>
      <c r="E302">
        <v>132871</v>
      </c>
      <c r="F302" s="1">
        <v>39999</v>
      </c>
      <c r="G302" t="s">
        <v>88</v>
      </c>
      <c r="H302" t="s">
        <v>74</v>
      </c>
      <c r="I302">
        <v>500</v>
      </c>
      <c r="J302">
        <v>947.75</v>
      </c>
      <c r="K302">
        <v>0</v>
      </c>
      <c r="L302">
        <v>458470</v>
      </c>
      <c r="M302" t="s">
        <v>75</v>
      </c>
      <c r="N302" t="s">
        <v>129</v>
      </c>
      <c r="O302" t="s">
        <v>194</v>
      </c>
      <c r="P302" t="s">
        <v>111</v>
      </c>
      <c r="Q302" t="s">
        <v>147</v>
      </c>
      <c r="R302">
        <v>0</v>
      </c>
      <c r="S302">
        <v>-39300</v>
      </c>
      <c r="T302" s="1">
        <v>42038</v>
      </c>
      <c r="U302" t="s">
        <v>66</v>
      </c>
      <c r="V302" t="s">
        <v>67</v>
      </c>
      <c r="W302" t="s">
        <v>217</v>
      </c>
      <c r="X302" t="s">
        <v>54</v>
      </c>
      <c r="Y302" t="s">
        <v>55</v>
      </c>
      <c r="Z302" t="s">
        <v>70</v>
      </c>
      <c r="AA302" t="s">
        <v>484</v>
      </c>
      <c r="AB302">
        <v>15</v>
      </c>
      <c r="AC302" t="str">
        <f t="shared" si="13"/>
        <v>Afternoon</v>
      </c>
      <c r="AD302">
        <v>1</v>
      </c>
      <c r="AE302" t="s">
        <v>84</v>
      </c>
      <c r="AF302">
        <v>1</v>
      </c>
      <c r="AG302">
        <v>3</v>
      </c>
      <c r="AH302" t="s">
        <v>84</v>
      </c>
      <c r="AI302">
        <v>7680</v>
      </c>
      <c r="AJ302">
        <v>1280</v>
      </c>
      <c r="AK302">
        <v>640</v>
      </c>
      <c r="AL302">
        <v>5760</v>
      </c>
      <c r="AM302" t="s">
        <v>114</v>
      </c>
      <c r="AN302" t="s">
        <v>115</v>
      </c>
      <c r="AO302">
        <v>2015</v>
      </c>
      <c r="AP302">
        <v>2008</v>
      </c>
      <c r="AQ302">
        <f t="shared" si="14"/>
        <v>7</v>
      </c>
      <c r="AR302" t="s">
        <v>87</v>
      </c>
    </row>
    <row r="303" spans="1:44" x14ac:dyDescent="0.25">
      <c r="A303">
        <v>107</v>
      </c>
      <c r="B303" t="str">
        <f t="shared" si="12"/>
        <v>5-10 years</v>
      </c>
      <c r="C303">
        <v>31</v>
      </c>
      <c r="D303" t="str" cm="1">
        <f t="array" ref="D303">_xlfn.IFS(C303&lt;26, "19-25", C303&lt;33, "26-32", C303&lt;40, "33-39", C303&lt;47, "40-46",C303&lt;54, "47-53", TRUE, "54+")</f>
        <v>26-32</v>
      </c>
      <c r="E303">
        <v>714929</v>
      </c>
      <c r="F303" s="1">
        <v>34663</v>
      </c>
      <c r="G303" t="s">
        <v>88</v>
      </c>
      <c r="H303" t="s">
        <v>74</v>
      </c>
      <c r="I303">
        <v>2000</v>
      </c>
      <c r="J303">
        <v>1018.73</v>
      </c>
      <c r="K303">
        <v>5000000</v>
      </c>
      <c r="L303">
        <v>469646</v>
      </c>
      <c r="M303" t="s">
        <v>46</v>
      </c>
      <c r="N303" t="s">
        <v>97</v>
      </c>
      <c r="O303" t="s">
        <v>164</v>
      </c>
      <c r="P303" t="s">
        <v>160</v>
      </c>
      <c r="Q303" t="s">
        <v>79</v>
      </c>
      <c r="R303">
        <v>20000</v>
      </c>
      <c r="S303">
        <v>-82700</v>
      </c>
      <c r="T303" s="1">
        <v>42031</v>
      </c>
      <c r="U303" t="s">
        <v>80</v>
      </c>
      <c r="V303" t="s">
        <v>52</v>
      </c>
      <c r="W303" t="s">
        <v>112</v>
      </c>
      <c r="X303" t="s">
        <v>54</v>
      </c>
      <c r="Y303" t="s">
        <v>82</v>
      </c>
      <c r="Z303" t="s">
        <v>70</v>
      </c>
      <c r="AA303" t="s">
        <v>485</v>
      </c>
      <c r="AB303">
        <v>21</v>
      </c>
      <c r="AC303" t="str">
        <f t="shared" si="13"/>
        <v>Evening</v>
      </c>
      <c r="AD303">
        <v>3</v>
      </c>
      <c r="AE303" t="s">
        <v>58</v>
      </c>
      <c r="AF303">
        <v>1</v>
      </c>
      <c r="AG303">
        <v>2</v>
      </c>
      <c r="AH303" t="s">
        <v>67</v>
      </c>
      <c r="AI303">
        <v>93730</v>
      </c>
      <c r="AJ303">
        <v>14420</v>
      </c>
      <c r="AK303">
        <v>21630</v>
      </c>
      <c r="AL303">
        <v>57680</v>
      </c>
      <c r="AM303" t="s">
        <v>214</v>
      </c>
      <c r="AN303" t="s">
        <v>230</v>
      </c>
      <c r="AO303">
        <v>2015</v>
      </c>
      <c r="AP303">
        <v>2001</v>
      </c>
      <c r="AQ303">
        <f t="shared" si="14"/>
        <v>14</v>
      </c>
      <c r="AR303" t="s">
        <v>87</v>
      </c>
    </row>
    <row r="304" spans="1:44" x14ac:dyDescent="0.25">
      <c r="A304">
        <v>48</v>
      </c>
      <c r="B304" t="str">
        <f t="shared" si="12"/>
        <v>2-5 years</v>
      </c>
      <c r="C304">
        <v>44</v>
      </c>
      <c r="D304" t="str" cm="1">
        <f t="array" ref="D304">_xlfn.IFS(C304&lt;26, "19-25", C304&lt;33, "26-32", C304&lt;40, "33-39", C304&lt;47, "40-46",C304&lt;54, "47-53", TRUE, "54+")</f>
        <v>40-46</v>
      </c>
      <c r="E304">
        <v>297816</v>
      </c>
      <c r="F304" s="1">
        <v>35464</v>
      </c>
      <c r="G304" t="s">
        <v>88</v>
      </c>
      <c r="H304" t="s">
        <v>74</v>
      </c>
      <c r="I304">
        <v>2000</v>
      </c>
      <c r="J304">
        <v>1400.74</v>
      </c>
      <c r="K304">
        <v>0</v>
      </c>
      <c r="L304">
        <v>611118</v>
      </c>
      <c r="M304" t="s">
        <v>46</v>
      </c>
      <c r="N304" t="s">
        <v>146</v>
      </c>
      <c r="O304" t="s">
        <v>77</v>
      </c>
      <c r="P304" t="s">
        <v>111</v>
      </c>
      <c r="Q304" t="s">
        <v>65</v>
      </c>
      <c r="R304">
        <v>34000</v>
      </c>
      <c r="S304">
        <v>-55600</v>
      </c>
      <c r="T304" s="1">
        <v>42025</v>
      </c>
      <c r="U304" t="s">
        <v>80</v>
      </c>
      <c r="V304" t="s">
        <v>81</v>
      </c>
      <c r="W304" t="s">
        <v>53</v>
      </c>
      <c r="X304" t="s">
        <v>54</v>
      </c>
      <c r="Y304" t="s">
        <v>126</v>
      </c>
      <c r="Z304" t="s">
        <v>92</v>
      </c>
      <c r="AA304" t="s">
        <v>486</v>
      </c>
      <c r="AB304">
        <v>23</v>
      </c>
      <c r="AC304" t="str">
        <f t="shared" si="13"/>
        <v>Evening</v>
      </c>
      <c r="AD304">
        <v>3</v>
      </c>
      <c r="AE304" t="s">
        <v>58</v>
      </c>
      <c r="AF304">
        <v>0</v>
      </c>
      <c r="AG304">
        <v>2</v>
      </c>
      <c r="AH304" t="s">
        <v>67</v>
      </c>
      <c r="AI304">
        <v>87300</v>
      </c>
      <c r="AJ304">
        <v>17460</v>
      </c>
      <c r="AK304">
        <v>17460</v>
      </c>
      <c r="AL304">
        <v>52380</v>
      </c>
      <c r="AM304" t="s">
        <v>202</v>
      </c>
      <c r="AN304" t="s">
        <v>203</v>
      </c>
      <c r="AO304">
        <v>2015</v>
      </c>
      <c r="AP304">
        <v>2013</v>
      </c>
      <c r="AQ304">
        <f t="shared" si="14"/>
        <v>2</v>
      </c>
      <c r="AR304" t="s">
        <v>87</v>
      </c>
    </row>
    <row r="305" spans="1:44" x14ac:dyDescent="0.25">
      <c r="A305">
        <v>267</v>
      </c>
      <c r="B305" t="str">
        <f t="shared" si="12"/>
        <v>10+ years</v>
      </c>
      <c r="C305">
        <v>40</v>
      </c>
      <c r="D305" t="str" cm="1">
        <f t="array" ref="D305">_xlfn.IFS(C305&lt;26, "19-25", C305&lt;33, "26-32", C305&lt;40, "33-39", C305&lt;47, "40-46",C305&lt;54, "47-53", TRUE, "54+")</f>
        <v>40-46</v>
      </c>
      <c r="E305">
        <v>426708</v>
      </c>
      <c r="F305" s="1">
        <v>40095</v>
      </c>
      <c r="G305" t="s">
        <v>88</v>
      </c>
      <c r="H305" t="s">
        <v>45</v>
      </c>
      <c r="I305">
        <v>500</v>
      </c>
      <c r="J305">
        <v>1155.53</v>
      </c>
      <c r="K305">
        <v>5000000</v>
      </c>
      <c r="L305">
        <v>465158</v>
      </c>
      <c r="M305" t="s">
        <v>46</v>
      </c>
      <c r="N305" t="s">
        <v>166</v>
      </c>
      <c r="O305" t="s">
        <v>150</v>
      </c>
      <c r="P305" t="s">
        <v>123</v>
      </c>
      <c r="Q305" t="s">
        <v>124</v>
      </c>
      <c r="R305">
        <v>0</v>
      </c>
      <c r="S305">
        <v>-35200</v>
      </c>
      <c r="T305" s="1">
        <v>42028</v>
      </c>
      <c r="U305" t="s">
        <v>143</v>
      </c>
      <c r="V305" t="s">
        <v>67</v>
      </c>
      <c r="W305" t="s">
        <v>217</v>
      </c>
      <c r="X305" t="s">
        <v>54</v>
      </c>
      <c r="Y305" t="s">
        <v>82</v>
      </c>
      <c r="Z305" t="s">
        <v>56</v>
      </c>
      <c r="AA305" t="s">
        <v>487</v>
      </c>
      <c r="AB305">
        <v>5</v>
      </c>
      <c r="AC305" t="str">
        <f t="shared" si="13"/>
        <v>Night</v>
      </c>
      <c r="AD305">
        <v>1</v>
      </c>
      <c r="AE305" t="s">
        <v>67</v>
      </c>
      <c r="AF305">
        <v>0</v>
      </c>
      <c r="AG305">
        <v>2</v>
      </c>
      <c r="AH305" t="s">
        <v>84</v>
      </c>
      <c r="AI305">
        <v>5670</v>
      </c>
      <c r="AJ305">
        <v>1260</v>
      </c>
      <c r="AK305">
        <v>630</v>
      </c>
      <c r="AL305">
        <v>3780</v>
      </c>
      <c r="AM305" t="s">
        <v>134</v>
      </c>
      <c r="AN305" t="s">
        <v>135</v>
      </c>
      <c r="AO305">
        <v>2015</v>
      </c>
      <c r="AP305">
        <v>1997</v>
      </c>
      <c r="AQ305">
        <f t="shared" si="14"/>
        <v>18</v>
      </c>
      <c r="AR305" t="s">
        <v>87</v>
      </c>
    </row>
    <row r="306" spans="1:44" x14ac:dyDescent="0.25">
      <c r="A306">
        <v>286</v>
      </c>
      <c r="B306" t="str">
        <f t="shared" si="12"/>
        <v>10+ years</v>
      </c>
      <c r="C306">
        <v>47</v>
      </c>
      <c r="D306" t="str" cm="1">
        <f t="array" ref="D306">_xlfn.IFS(C306&lt;26, "19-25", C306&lt;33, "26-32", C306&lt;40, "33-39", C306&lt;47, "40-46",C306&lt;54, "47-53", TRUE, "54+")</f>
        <v>47-53</v>
      </c>
      <c r="E306">
        <v>615047</v>
      </c>
      <c r="F306" s="1">
        <v>37580</v>
      </c>
      <c r="G306" t="s">
        <v>62</v>
      </c>
      <c r="H306" t="s">
        <v>45</v>
      </c>
      <c r="I306">
        <v>500</v>
      </c>
      <c r="J306">
        <v>1386.93</v>
      </c>
      <c r="K306">
        <v>0</v>
      </c>
      <c r="L306">
        <v>457130</v>
      </c>
      <c r="M306" t="s">
        <v>46</v>
      </c>
      <c r="N306" t="s">
        <v>136</v>
      </c>
      <c r="O306" t="s">
        <v>122</v>
      </c>
      <c r="P306" t="s">
        <v>103</v>
      </c>
      <c r="Q306" t="s">
        <v>50</v>
      </c>
      <c r="R306">
        <v>54100</v>
      </c>
      <c r="S306">
        <v>-77600</v>
      </c>
      <c r="T306" s="1">
        <v>42021</v>
      </c>
      <c r="U306" t="s">
        <v>80</v>
      </c>
      <c r="V306" t="s">
        <v>81</v>
      </c>
      <c r="W306" t="s">
        <v>68</v>
      </c>
      <c r="X306" t="s">
        <v>125</v>
      </c>
      <c r="Y306" t="s">
        <v>82</v>
      </c>
      <c r="Z306" t="s">
        <v>107</v>
      </c>
      <c r="AA306" t="s">
        <v>488</v>
      </c>
      <c r="AB306">
        <v>15</v>
      </c>
      <c r="AC306" t="str">
        <f t="shared" si="13"/>
        <v>Afternoon</v>
      </c>
      <c r="AD306">
        <v>3</v>
      </c>
      <c r="AE306" t="s">
        <v>58</v>
      </c>
      <c r="AF306">
        <v>0</v>
      </c>
      <c r="AG306">
        <v>0</v>
      </c>
      <c r="AH306" t="s">
        <v>84</v>
      </c>
      <c r="AI306">
        <v>65800</v>
      </c>
      <c r="AJ306">
        <v>13160</v>
      </c>
      <c r="AK306">
        <v>6580</v>
      </c>
      <c r="AL306">
        <v>46060</v>
      </c>
      <c r="AM306" t="s">
        <v>100</v>
      </c>
      <c r="AN306" t="s">
        <v>163</v>
      </c>
      <c r="AO306">
        <v>2015</v>
      </c>
      <c r="AP306">
        <v>2001</v>
      </c>
      <c r="AQ306">
        <f t="shared" si="14"/>
        <v>14</v>
      </c>
      <c r="AR306" t="s">
        <v>87</v>
      </c>
    </row>
    <row r="307" spans="1:44" x14ac:dyDescent="0.25">
      <c r="A307">
        <v>175</v>
      </c>
      <c r="B307" t="str">
        <f t="shared" si="12"/>
        <v>10+ years</v>
      </c>
      <c r="C307">
        <v>34</v>
      </c>
      <c r="D307" t="str" cm="1">
        <f t="array" ref="D307">_xlfn.IFS(C307&lt;26, "19-25", C307&lt;33, "26-32", C307&lt;40, "33-39", C307&lt;47, "40-46",C307&lt;54, "47-53", TRUE, "54+")</f>
        <v>33-39</v>
      </c>
      <c r="E307">
        <v>771236</v>
      </c>
      <c r="F307" s="1">
        <v>34848</v>
      </c>
      <c r="G307" t="s">
        <v>44</v>
      </c>
      <c r="H307" t="s">
        <v>74</v>
      </c>
      <c r="I307">
        <v>500</v>
      </c>
      <c r="J307">
        <v>915.29</v>
      </c>
      <c r="K307">
        <v>0</v>
      </c>
      <c r="L307">
        <v>607893</v>
      </c>
      <c r="M307" t="s">
        <v>75</v>
      </c>
      <c r="N307" t="s">
        <v>166</v>
      </c>
      <c r="O307" t="s">
        <v>164</v>
      </c>
      <c r="P307" t="s">
        <v>111</v>
      </c>
      <c r="Q307" t="s">
        <v>124</v>
      </c>
      <c r="R307">
        <v>82400</v>
      </c>
      <c r="S307">
        <v>-57100</v>
      </c>
      <c r="T307" s="1">
        <v>42058</v>
      </c>
      <c r="U307" t="s">
        <v>51</v>
      </c>
      <c r="V307" t="s">
        <v>91</v>
      </c>
      <c r="W307" t="s">
        <v>53</v>
      </c>
      <c r="X307" t="s">
        <v>125</v>
      </c>
      <c r="Y307" t="s">
        <v>82</v>
      </c>
      <c r="Z307" t="s">
        <v>92</v>
      </c>
      <c r="AA307" t="s">
        <v>489</v>
      </c>
      <c r="AB307">
        <v>14</v>
      </c>
      <c r="AC307" t="str">
        <f t="shared" si="13"/>
        <v>Afternoon</v>
      </c>
      <c r="AD307">
        <v>1</v>
      </c>
      <c r="AE307" t="s">
        <v>67</v>
      </c>
      <c r="AF307">
        <v>2</v>
      </c>
      <c r="AG307">
        <v>1</v>
      </c>
      <c r="AH307" t="s">
        <v>58</v>
      </c>
      <c r="AI307">
        <v>36720</v>
      </c>
      <c r="AJ307">
        <v>4080</v>
      </c>
      <c r="AK307">
        <v>4080</v>
      </c>
      <c r="AL307">
        <v>28560</v>
      </c>
      <c r="AM307" t="s">
        <v>214</v>
      </c>
      <c r="AN307" t="s">
        <v>236</v>
      </c>
      <c r="AO307">
        <v>2015</v>
      </c>
      <c r="AP307">
        <v>2009</v>
      </c>
      <c r="AQ307">
        <f t="shared" si="14"/>
        <v>6</v>
      </c>
      <c r="AR307" t="s">
        <v>61</v>
      </c>
    </row>
    <row r="308" spans="1:44" x14ac:dyDescent="0.25">
      <c r="A308">
        <v>111</v>
      </c>
      <c r="B308" t="str">
        <f t="shared" si="12"/>
        <v>5-10 years</v>
      </c>
      <c r="C308">
        <v>29</v>
      </c>
      <c r="D308" t="str" cm="1">
        <f t="array" ref="D308">_xlfn.IFS(C308&lt;26, "19-25", C308&lt;33, "26-32", C308&lt;40, "33-39", C308&lt;47, "40-46",C308&lt;54, "47-53", TRUE, "54+")</f>
        <v>26-32</v>
      </c>
      <c r="E308">
        <v>235869</v>
      </c>
      <c r="F308" s="1">
        <v>40565</v>
      </c>
      <c r="G308" t="s">
        <v>88</v>
      </c>
      <c r="H308" t="s">
        <v>45</v>
      </c>
      <c r="I308">
        <v>500</v>
      </c>
      <c r="J308">
        <v>1239.55</v>
      </c>
      <c r="K308">
        <v>2000000</v>
      </c>
      <c r="L308">
        <v>464736</v>
      </c>
      <c r="M308" t="s">
        <v>75</v>
      </c>
      <c r="N308" t="s">
        <v>76</v>
      </c>
      <c r="O308" t="s">
        <v>194</v>
      </c>
      <c r="P308" t="s">
        <v>175</v>
      </c>
      <c r="Q308" t="s">
        <v>79</v>
      </c>
      <c r="R308">
        <v>0</v>
      </c>
      <c r="S308">
        <v>0</v>
      </c>
      <c r="T308" s="1">
        <v>42013</v>
      </c>
      <c r="U308" t="s">
        <v>51</v>
      </c>
      <c r="V308" t="s">
        <v>52</v>
      </c>
      <c r="W308" t="s">
        <v>53</v>
      </c>
      <c r="X308" t="s">
        <v>104</v>
      </c>
      <c r="Y308" t="s">
        <v>55</v>
      </c>
      <c r="Z308" t="s">
        <v>70</v>
      </c>
      <c r="AA308" t="s">
        <v>490</v>
      </c>
      <c r="AB308">
        <v>1</v>
      </c>
      <c r="AC308" t="str">
        <f t="shared" si="13"/>
        <v>Night</v>
      </c>
      <c r="AD308">
        <v>1</v>
      </c>
      <c r="AE308" t="s">
        <v>67</v>
      </c>
      <c r="AF308">
        <v>1</v>
      </c>
      <c r="AG308">
        <v>1</v>
      </c>
      <c r="AH308" t="s">
        <v>58</v>
      </c>
      <c r="AI308">
        <v>52800</v>
      </c>
      <c r="AJ308">
        <v>4800</v>
      </c>
      <c r="AK308">
        <v>9600</v>
      </c>
      <c r="AL308">
        <v>38400</v>
      </c>
      <c r="AM308" t="s">
        <v>72</v>
      </c>
      <c r="AN308" t="s">
        <v>276</v>
      </c>
      <c r="AO308">
        <v>2015</v>
      </c>
      <c r="AP308">
        <v>1996</v>
      </c>
      <c r="AQ308">
        <f t="shared" si="14"/>
        <v>19</v>
      </c>
      <c r="AR308" t="s">
        <v>61</v>
      </c>
    </row>
    <row r="309" spans="1:44" x14ac:dyDescent="0.25">
      <c r="A309">
        <v>151</v>
      </c>
      <c r="B309" t="str">
        <f t="shared" si="12"/>
        <v>10+ years</v>
      </c>
      <c r="C309">
        <v>37</v>
      </c>
      <c r="D309" t="str" cm="1">
        <f t="array" ref="D309">_xlfn.IFS(C309&lt;26, "19-25", C309&lt;33, "26-32", C309&lt;40, "33-39", C309&lt;47, "40-46",C309&lt;54, "47-53", TRUE, "54+")</f>
        <v>33-39</v>
      </c>
      <c r="E309">
        <v>931625</v>
      </c>
      <c r="F309" s="1">
        <v>41200</v>
      </c>
      <c r="G309" t="s">
        <v>62</v>
      </c>
      <c r="H309" t="s">
        <v>45</v>
      </c>
      <c r="I309">
        <v>500</v>
      </c>
      <c r="J309">
        <v>1366.42</v>
      </c>
      <c r="K309">
        <v>0</v>
      </c>
      <c r="L309">
        <v>476198</v>
      </c>
      <c r="M309" t="s">
        <v>75</v>
      </c>
      <c r="N309" t="s">
        <v>97</v>
      </c>
      <c r="O309" t="s">
        <v>140</v>
      </c>
      <c r="P309" t="s">
        <v>247</v>
      </c>
      <c r="Q309" t="s">
        <v>90</v>
      </c>
      <c r="R309">
        <v>44000</v>
      </c>
      <c r="S309">
        <v>0</v>
      </c>
      <c r="T309" s="1">
        <v>42050</v>
      </c>
      <c r="U309" t="s">
        <v>80</v>
      </c>
      <c r="V309" t="s">
        <v>81</v>
      </c>
      <c r="W309" t="s">
        <v>112</v>
      </c>
      <c r="X309" t="s">
        <v>104</v>
      </c>
      <c r="Y309" t="s">
        <v>55</v>
      </c>
      <c r="Z309" t="s">
        <v>92</v>
      </c>
      <c r="AA309" t="s">
        <v>491</v>
      </c>
      <c r="AB309">
        <v>14</v>
      </c>
      <c r="AC309" t="str">
        <f t="shared" si="13"/>
        <v>Afternoon</v>
      </c>
      <c r="AD309">
        <v>3</v>
      </c>
      <c r="AE309" t="s">
        <v>84</v>
      </c>
      <c r="AF309">
        <v>1</v>
      </c>
      <c r="AG309">
        <v>2</v>
      </c>
      <c r="AH309" t="s">
        <v>58</v>
      </c>
      <c r="AI309">
        <v>59100</v>
      </c>
      <c r="AJ309">
        <v>5910</v>
      </c>
      <c r="AK309">
        <v>5910</v>
      </c>
      <c r="AL309">
        <v>47280</v>
      </c>
      <c r="AM309" t="s">
        <v>109</v>
      </c>
      <c r="AN309" t="s">
        <v>156</v>
      </c>
      <c r="AO309">
        <v>2015</v>
      </c>
      <c r="AP309">
        <v>1998</v>
      </c>
      <c r="AQ309">
        <f t="shared" si="14"/>
        <v>17</v>
      </c>
      <c r="AR309" t="s">
        <v>61</v>
      </c>
    </row>
    <row r="310" spans="1:44" x14ac:dyDescent="0.25">
      <c r="A310">
        <v>156</v>
      </c>
      <c r="B310" t="str">
        <f t="shared" si="12"/>
        <v>10+ years</v>
      </c>
      <c r="C310">
        <v>37</v>
      </c>
      <c r="D310" t="str" cm="1">
        <f t="array" ref="D310">_xlfn.IFS(C310&lt;26, "19-25", C310&lt;33, "26-32", C310&lt;40, "33-39", C310&lt;47, "40-46",C310&lt;54, "47-53", TRUE, "54+")</f>
        <v>33-39</v>
      </c>
      <c r="E310">
        <v>371635</v>
      </c>
      <c r="F310" s="1">
        <v>33524</v>
      </c>
      <c r="G310" t="s">
        <v>44</v>
      </c>
      <c r="H310" t="s">
        <v>96</v>
      </c>
      <c r="I310">
        <v>1000</v>
      </c>
      <c r="J310">
        <v>1086.48</v>
      </c>
      <c r="K310">
        <v>6000000</v>
      </c>
      <c r="L310">
        <v>444903</v>
      </c>
      <c r="M310" t="s">
        <v>46</v>
      </c>
      <c r="N310" t="s">
        <v>97</v>
      </c>
      <c r="O310" t="s">
        <v>63</v>
      </c>
      <c r="P310" t="s">
        <v>154</v>
      </c>
      <c r="Q310" t="s">
        <v>90</v>
      </c>
      <c r="R310">
        <v>0</v>
      </c>
      <c r="S310">
        <v>-53800</v>
      </c>
      <c r="T310" s="1">
        <v>42020</v>
      </c>
      <c r="U310" t="s">
        <v>80</v>
      </c>
      <c r="V310" t="s">
        <v>81</v>
      </c>
      <c r="W310" t="s">
        <v>112</v>
      </c>
      <c r="X310" t="s">
        <v>125</v>
      </c>
      <c r="Y310" t="s">
        <v>82</v>
      </c>
      <c r="Z310" t="s">
        <v>161</v>
      </c>
      <c r="AA310" t="s">
        <v>492</v>
      </c>
      <c r="AB310">
        <v>17</v>
      </c>
      <c r="AC310" t="str">
        <f t="shared" si="13"/>
        <v>Afternoon</v>
      </c>
      <c r="AD310">
        <v>3</v>
      </c>
      <c r="AE310" t="s">
        <v>67</v>
      </c>
      <c r="AF310">
        <v>1</v>
      </c>
      <c r="AG310">
        <v>1</v>
      </c>
      <c r="AH310" t="s">
        <v>58</v>
      </c>
      <c r="AI310">
        <v>77440</v>
      </c>
      <c r="AJ310">
        <v>14080</v>
      </c>
      <c r="AK310">
        <v>7040</v>
      </c>
      <c r="AL310">
        <v>56320</v>
      </c>
      <c r="AM310" t="s">
        <v>158</v>
      </c>
      <c r="AN310" t="s">
        <v>159</v>
      </c>
      <c r="AO310">
        <v>2015</v>
      </c>
      <c r="AP310">
        <v>1999</v>
      </c>
      <c r="AQ310">
        <f t="shared" si="14"/>
        <v>16</v>
      </c>
      <c r="AR310" t="s">
        <v>87</v>
      </c>
    </row>
    <row r="311" spans="1:44" x14ac:dyDescent="0.25">
      <c r="A311">
        <v>165</v>
      </c>
      <c r="B311" t="str">
        <f t="shared" si="12"/>
        <v>10+ years</v>
      </c>
      <c r="C311">
        <v>36</v>
      </c>
      <c r="D311" t="str" cm="1">
        <f t="array" ref="D311">_xlfn.IFS(C311&lt;26, "19-25", C311&lt;33, "26-32", C311&lt;40, "33-39", C311&lt;47, "40-46",C311&lt;54, "47-53", TRUE, "54+")</f>
        <v>33-39</v>
      </c>
      <c r="E311">
        <v>427199</v>
      </c>
      <c r="F311" s="1">
        <v>40452</v>
      </c>
      <c r="G311" t="s">
        <v>88</v>
      </c>
      <c r="H311" t="s">
        <v>45</v>
      </c>
      <c r="I311">
        <v>2000</v>
      </c>
      <c r="J311">
        <v>1247.8699999999999</v>
      </c>
      <c r="K311">
        <v>0</v>
      </c>
      <c r="L311">
        <v>464336</v>
      </c>
      <c r="M311" t="s">
        <v>46</v>
      </c>
      <c r="N311" t="s">
        <v>129</v>
      </c>
      <c r="O311" t="s">
        <v>89</v>
      </c>
      <c r="P311" t="s">
        <v>117</v>
      </c>
      <c r="Q311" t="s">
        <v>50</v>
      </c>
      <c r="R311">
        <v>0</v>
      </c>
      <c r="S311">
        <v>-39700</v>
      </c>
      <c r="T311" s="1">
        <v>42018</v>
      </c>
      <c r="U311" t="s">
        <v>80</v>
      </c>
      <c r="V311" t="s">
        <v>52</v>
      </c>
      <c r="W311" t="s">
        <v>112</v>
      </c>
      <c r="X311" t="s">
        <v>104</v>
      </c>
      <c r="Y311" t="s">
        <v>82</v>
      </c>
      <c r="Z311" t="s">
        <v>132</v>
      </c>
      <c r="AA311" t="s">
        <v>493</v>
      </c>
      <c r="AB311">
        <v>20</v>
      </c>
      <c r="AC311" t="str">
        <f t="shared" si="13"/>
        <v>Evening</v>
      </c>
      <c r="AD311">
        <v>3</v>
      </c>
      <c r="AE311" t="s">
        <v>84</v>
      </c>
      <c r="AF311">
        <v>2</v>
      </c>
      <c r="AG311">
        <v>2</v>
      </c>
      <c r="AH311" t="s">
        <v>84</v>
      </c>
      <c r="AI311">
        <v>45700</v>
      </c>
      <c r="AJ311">
        <v>4570</v>
      </c>
      <c r="AK311">
        <v>4570</v>
      </c>
      <c r="AL311">
        <v>36560</v>
      </c>
      <c r="AM311" t="s">
        <v>192</v>
      </c>
      <c r="AN311" t="s">
        <v>193</v>
      </c>
      <c r="AO311">
        <v>2015</v>
      </c>
      <c r="AP311">
        <v>2008</v>
      </c>
      <c r="AQ311">
        <f t="shared" si="14"/>
        <v>7</v>
      </c>
      <c r="AR311" t="s">
        <v>87</v>
      </c>
    </row>
    <row r="312" spans="1:44" x14ac:dyDescent="0.25">
      <c r="A312">
        <v>253</v>
      </c>
      <c r="B312" t="str">
        <f t="shared" si="12"/>
        <v>10+ years</v>
      </c>
      <c r="C312">
        <v>41</v>
      </c>
      <c r="D312" t="str" cm="1">
        <f t="array" ref="D312">_xlfn.IFS(C312&lt;26, "19-25", C312&lt;33, "26-32", C312&lt;40, "33-39", C312&lt;47, "40-46",C312&lt;54, "47-53", TRUE, "54+")</f>
        <v>40-46</v>
      </c>
      <c r="E312">
        <v>261315</v>
      </c>
      <c r="F312" s="1">
        <v>41374</v>
      </c>
      <c r="G312" t="s">
        <v>44</v>
      </c>
      <c r="H312" t="s">
        <v>74</v>
      </c>
      <c r="I312">
        <v>2000</v>
      </c>
      <c r="J312">
        <v>1312.75</v>
      </c>
      <c r="K312">
        <v>0</v>
      </c>
      <c r="L312">
        <v>471453</v>
      </c>
      <c r="M312" t="s">
        <v>75</v>
      </c>
      <c r="N312" t="s">
        <v>76</v>
      </c>
      <c r="O312" t="s">
        <v>77</v>
      </c>
      <c r="P312" t="s">
        <v>131</v>
      </c>
      <c r="Q312" t="s">
        <v>65</v>
      </c>
      <c r="R312">
        <v>81300</v>
      </c>
      <c r="S312">
        <v>0</v>
      </c>
      <c r="T312" s="1">
        <v>42005</v>
      </c>
      <c r="U312" t="s">
        <v>80</v>
      </c>
      <c r="V312" t="s">
        <v>81</v>
      </c>
      <c r="W312" t="s">
        <v>53</v>
      </c>
      <c r="X312" t="s">
        <v>125</v>
      </c>
      <c r="Y312" t="s">
        <v>55</v>
      </c>
      <c r="Z312" t="s">
        <v>107</v>
      </c>
      <c r="AA312" t="s">
        <v>494</v>
      </c>
      <c r="AB312">
        <v>10</v>
      </c>
      <c r="AC312" t="str">
        <f t="shared" si="13"/>
        <v>Morning</v>
      </c>
      <c r="AD312">
        <v>3</v>
      </c>
      <c r="AE312" t="s">
        <v>84</v>
      </c>
      <c r="AF312">
        <v>2</v>
      </c>
      <c r="AG312">
        <v>2</v>
      </c>
      <c r="AH312" t="s">
        <v>58</v>
      </c>
      <c r="AI312">
        <v>80740</v>
      </c>
      <c r="AJ312">
        <v>7340</v>
      </c>
      <c r="AK312">
        <v>14680</v>
      </c>
      <c r="AL312">
        <v>58720</v>
      </c>
      <c r="AM312" t="s">
        <v>120</v>
      </c>
      <c r="AN312" t="s">
        <v>121</v>
      </c>
      <c r="AO312">
        <v>2015</v>
      </c>
      <c r="AP312">
        <v>2014</v>
      </c>
      <c r="AQ312">
        <f t="shared" si="14"/>
        <v>1</v>
      </c>
      <c r="AR312" t="s">
        <v>61</v>
      </c>
    </row>
    <row r="313" spans="1:44" x14ac:dyDescent="0.25">
      <c r="A313">
        <v>10</v>
      </c>
      <c r="B313" t="str">
        <f t="shared" si="12"/>
        <v>0-2 years</v>
      </c>
      <c r="C313">
        <v>26</v>
      </c>
      <c r="D313" t="str" cm="1">
        <f t="array" ref="D313">_xlfn.IFS(C313&lt;26, "19-25", C313&lt;33, "26-32", C313&lt;40, "33-39", C313&lt;47, "40-46",C313&lt;54, "47-53", TRUE, "54+")</f>
        <v>26-32</v>
      </c>
      <c r="E313">
        <v>582973</v>
      </c>
      <c r="F313" s="1">
        <v>39610</v>
      </c>
      <c r="G313" t="s">
        <v>62</v>
      </c>
      <c r="H313" t="s">
        <v>74</v>
      </c>
      <c r="I313">
        <v>2000</v>
      </c>
      <c r="J313">
        <v>765.64</v>
      </c>
      <c r="K313">
        <v>0</v>
      </c>
      <c r="L313">
        <v>466191</v>
      </c>
      <c r="M313" t="s">
        <v>46</v>
      </c>
      <c r="N313" t="s">
        <v>47</v>
      </c>
      <c r="O313" t="s">
        <v>77</v>
      </c>
      <c r="P313" t="s">
        <v>111</v>
      </c>
      <c r="Q313" t="s">
        <v>147</v>
      </c>
      <c r="R313">
        <v>0</v>
      </c>
      <c r="S313">
        <v>-22200</v>
      </c>
      <c r="T313" s="1">
        <v>42051</v>
      </c>
      <c r="U313" t="s">
        <v>80</v>
      </c>
      <c r="V313" t="s">
        <v>91</v>
      </c>
      <c r="W313" t="s">
        <v>53</v>
      </c>
      <c r="X313" t="s">
        <v>141</v>
      </c>
      <c r="Y313" t="s">
        <v>55</v>
      </c>
      <c r="Z313" t="s">
        <v>161</v>
      </c>
      <c r="AA313" t="s">
        <v>495</v>
      </c>
      <c r="AB313">
        <v>3</v>
      </c>
      <c r="AC313" t="str">
        <f t="shared" si="13"/>
        <v>Night</v>
      </c>
      <c r="AD313">
        <v>3</v>
      </c>
      <c r="AE313" t="s">
        <v>67</v>
      </c>
      <c r="AF313">
        <v>0</v>
      </c>
      <c r="AG313">
        <v>3</v>
      </c>
      <c r="AH313" t="s">
        <v>67</v>
      </c>
      <c r="AI313">
        <v>31350</v>
      </c>
      <c r="AJ313">
        <v>2850</v>
      </c>
      <c r="AK313">
        <v>5700</v>
      </c>
      <c r="AL313">
        <v>22800</v>
      </c>
      <c r="AM313" t="s">
        <v>214</v>
      </c>
      <c r="AN313" t="s">
        <v>236</v>
      </c>
      <c r="AO313">
        <v>2015</v>
      </c>
      <c r="AP313">
        <v>2001</v>
      </c>
      <c r="AQ313">
        <f t="shared" si="14"/>
        <v>14</v>
      </c>
      <c r="AR313" t="s">
        <v>61</v>
      </c>
    </row>
    <row r="314" spans="1:44" x14ac:dyDescent="0.25">
      <c r="A314">
        <v>158</v>
      </c>
      <c r="B314" t="str">
        <f t="shared" si="12"/>
        <v>10+ years</v>
      </c>
      <c r="C314">
        <v>33</v>
      </c>
      <c r="D314" t="str" cm="1">
        <f t="array" ref="D314">_xlfn.IFS(C314&lt;26, "19-25", C314&lt;33, "26-32", C314&lt;40, "33-39", C314&lt;47, "40-46",C314&lt;54, "47-53", TRUE, "54+")</f>
        <v>33-39</v>
      </c>
      <c r="E314">
        <v>278091</v>
      </c>
      <c r="F314" s="1">
        <v>41612</v>
      </c>
      <c r="G314" t="s">
        <v>44</v>
      </c>
      <c r="H314" t="s">
        <v>74</v>
      </c>
      <c r="I314">
        <v>2000</v>
      </c>
      <c r="J314">
        <v>1327.41</v>
      </c>
      <c r="K314">
        <v>0</v>
      </c>
      <c r="L314">
        <v>440930</v>
      </c>
      <c r="M314" t="s">
        <v>75</v>
      </c>
      <c r="N314" t="s">
        <v>97</v>
      </c>
      <c r="O314" t="s">
        <v>164</v>
      </c>
      <c r="P314" t="s">
        <v>137</v>
      </c>
      <c r="Q314" t="s">
        <v>65</v>
      </c>
      <c r="R314">
        <v>0</v>
      </c>
      <c r="S314">
        <v>-38600</v>
      </c>
      <c r="T314" s="1">
        <v>42008</v>
      </c>
      <c r="U314" t="s">
        <v>51</v>
      </c>
      <c r="V314" t="s">
        <v>52</v>
      </c>
      <c r="W314" t="s">
        <v>112</v>
      </c>
      <c r="X314" t="s">
        <v>125</v>
      </c>
      <c r="Y314" t="s">
        <v>55</v>
      </c>
      <c r="Z314" t="s">
        <v>127</v>
      </c>
      <c r="AA314" t="s">
        <v>496</v>
      </c>
      <c r="AB314">
        <v>0</v>
      </c>
      <c r="AC314" t="str">
        <f t="shared" si="13"/>
        <v>Night</v>
      </c>
      <c r="AD314">
        <v>1</v>
      </c>
      <c r="AE314" t="s">
        <v>67</v>
      </c>
      <c r="AF314">
        <v>0</v>
      </c>
      <c r="AG314">
        <v>0</v>
      </c>
      <c r="AH314" t="s">
        <v>67</v>
      </c>
      <c r="AI314">
        <v>35000</v>
      </c>
      <c r="AJ314">
        <v>3500</v>
      </c>
      <c r="AK314">
        <v>7000</v>
      </c>
      <c r="AL314">
        <v>24500</v>
      </c>
      <c r="AM314" t="s">
        <v>158</v>
      </c>
      <c r="AN314" t="s">
        <v>159</v>
      </c>
      <c r="AO314">
        <v>2015</v>
      </c>
      <c r="AP314">
        <v>2012</v>
      </c>
      <c r="AQ314">
        <f t="shared" si="14"/>
        <v>3</v>
      </c>
      <c r="AR314" t="s">
        <v>87</v>
      </c>
    </row>
    <row r="315" spans="1:44" x14ac:dyDescent="0.25">
      <c r="A315">
        <v>436</v>
      </c>
      <c r="B315" t="str">
        <f t="shared" si="12"/>
        <v>10+ years</v>
      </c>
      <c r="C315">
        <v>59</v>
      </c>
      <c r="D315" t="str" cm="1">
        <f t="array" ref="D315">_xlfn.IFS(C315&lt;26, "19-25", C315&lt;33, "26-32", C315&lt;40, "33-39", C315&lt;47, "40-46",C315&lt;54, "47-53", TRUE, "54+")</f>
        <v>54+</v>
      </c>
      <c r="E315">
        <v>153154</v>
      </c>
      <c r="F315" s="1">
        <v>40411</v>
      </c>
      <c r="G315" t="s">
        <v>44</v>
      </c>
      <c r="H315" t="s">
        <v>96</v>
      </c>
      <c r="I315">
        <v>1000</v>
      </c>
      <c r="J315">
        <v>1338.55</v>
      </c>
      <c r="K315">
        <v>0</v>
      </c>
      <c r="L315">
        <v>430380</v>
      </c>
      <c r="M315" t="s">
        <v>46</v>
      </c>
      <c r="N315" t="s">
        <v>76</v>
      </c>
      <c r="O315" t="s">
        <v>140</v>
      </c>
      <c r="P315" t="s">
        <v>78</v>
      </c>
      <c r="Q315" t="s">
        <v>79</v>
      </c>
      <c r="R315">
        <v>39000</v>
      </c>
      <c r="S315">
        <v>0</v>
      </c>
      <c r="T315" s="1">
        <v>42016</v>
      </c>
      <c r="U315" t="s">
        <v>80</v>
      </c>
      <c r="V315" t="s">
        <v>52</v>
      </c>
      <c r="W315" t="s">
        <v>112</v>
      </c>
      <c r="X315" t="s">
        <v>54</v>
      </c>
      <c r="Y315" t="s">
        <v>118</v>
      </c>
      <c r="Z315" t="s">
        <v>127</v>
      </c>
      <c r="AA315" t="s">
        <v>497</v>
      </c>
      <c r="AB315">
        <v>10</v>
      </c>
      <c r="AC315" t="str">
        <f t="shared" si="13"/>
        <v>Morning</v>
      </c>
      <c r="AD315">
        <v>3</v>
      </c>
      <c r="AE315" t="s">
        <v>67</v>
      </c>
      <c r="AF315">
        <v>2</v>
      </c>
      <c r="AG315">
        <v>2</v>
      </c>
      <c r="AH315" t="s">
        <v>84</v>
      </c>
      <c r="AI315">
        <v>68000</v>
      </c>
      <c r="AJ315">
        <v>13600</v>
      </c>
      <c r="AK315">
        <v>6800</v>
      </c>
      <c r="AL315">
        <v>47600</v>
      </c>
      <c r="AM315" t="s">
        <v>120</v>
      </c>
      <c r="AN315" t="s">
        <v>188</v>
      </c>
      <c r="AO315">
        <v>2015</v>
      </c>
      <c r="AP315">
        <v>2014</v>
      </c>
      <c r="AQ315">
        <f t="shared" si="14"/>
        <v>1</v>
      </c>
      <c r="AR315" t="s">
        <v>87</v>
      </c>
    </row>
    <row r="316" spans="1:44" x14ac:dyDescent="0.25">
      <c r="A316">
        <v>91</v>
      </c>
      <c r="B316" t="str">
        <f t="shared" si="12"/>
        <v>5-10 years</v>
      </c>
      <c r="C316">
        <v>30</v>
      </c>
      <c r="D316" t="str" cm="1">
        <f t="array" ref="D316">_xlfn.IFS(C316&lt;26, "19-25", C316&lt;33, "26-32", C316&lt;40, "33-39", C316&lt;47, "40-46",C316&lt;54, "47-53", TRUE, "54+")</f>
        <v>26-32</v>
      </c>
      <c r="E316">
        <v>515217</v>
      </c>
      <c r="F316" s="1">
        <v>40347</v>
      </c>
      <c r="G316" t="s">
        <v>88</v>
      </c>
      <c r="H316" t="s">
        <v>45</v>
      </c>
      <c r="I316">
        <v>2000</v>
      </c>
      <c r="J316">
        <v>1316.63</v>
      </c>
      <c r="K316">
        <v>8000000</v>
      </c>
      <c r="L316">
        <v>613178</v>
      </c>
      <c r="M316" t="s">
        <v>75</v>
      </c>
      <c r="N316" t="s">
        <v>129</v>
      </c>
      <c r="O316" t="s">
        <v>63</v>
      </c>
      <c r="P316" t="s">
        <v>117</v>
      </c>
      <c r="Q316" t="s">
        <v>90</v>
      </c>
      <c r="R316">
        <v>43900</v>
      </c>
      <c r="S316">
        <v>0</v>
      </c>
      <c r="T316" s="1">
        <v>42012</v>
      </c>
      <c r="U316" t="s">
        <v>80</v>
      </c>
      <c r="V316" t="s">
        <v>52</v>
      </c>
      <c r="W316" t="s">
        <v>68</v>
      </c>
      <c r="X316" t="s">
        <v>125</v>
      </c>
      <c r="Y316" t="s">
        <v>55</v>
      </c>
      <c r="Z316" t="s">
        <v>132</v>
      </c>
      <c r="AA316" t="s">
        <v>498</v>
      </c>
      <c r="AB316">
        <v>13</v>
      </c>
      <c r="AC316" t="str">
        <f t="shared" si="13"/>
        <v>Afternoon</v>
      </c>
      <c r="AD316">
        <v>3</v>
      </c>
      <c r="AE316" t="s">
        <v>58</v>
      </c>
      <c r="AF316">
        <v>2</v>
      </c>
      <c r="AG316">
        <v>0</v>
      </c>
      <c r="AH316" t="s">
        <v>67</v>
      </c>
      <c r="AI316">
        <v>84500</v>
      </c>
      <c r="AJ316">
        <v>13000</v>
      </c>
      <c r="AK316">
        <v>13000</v>
      </c>
      <c r="AL316">
        <v>58500</v>
      </c>
      <c r="AM316" t="s">
        <v>192</v>
      </c>
      <c r="AN316" t="s">
        <v>243</v>
      </c>
      <c r="AO316">
        <v>2015</v>
      </c>
      <c r="AP316">
        <v>2009</v>
      </c>
      <c r="AQ316">
        <f t="shared" si="14"/>
        <v>6</v>
      </c>
      <c r="AR316" t="s">
        <v>87</v>
      </c>
    </row>
    <row r="317" spans="1:44" x14ac:dyDescent="0.25">
      <c r="A317">
        <v>256</v>
      </c>
      <c r="B317" t="str">
        <f t="shared" si="12"/>
        <v>10+ years</v>
      </c>
      <c r="C317">
        <v>42</v>
      </c>
      <c r="D317" t="str" cm="1">
        <f t="array" ref="D317">_xlfn.IFS(C317&lt;26, "19-25", C317&lt;33, "26-32", C317&lt;40, "33-39", C317&lt;47, "40-46",C317&lt;54, "47-53", TRUE, "54+")</f>
        <v>40-46</v>
      </c>
      <c r="E317">
        <v>860497</v>
      </c>
      <c r="F317" s="1">
        <v>33704</v>
      </c>
      <c r="G317" t="s">
        <v>88</v>
      </c>
      <c r="H317" t="s">
        <v>96</v>
      </c>
      <c r="I317">
        <v>1000</v>
      </c>
      <c r="J317">
        <v>1286.44</v>
      </c>
      <c r="K317">
        <v>0</v>
      </c>
      <c r="L317">
        <v>460564</v>
      </c>
      <c r="M317" t="s">
        <v>75</v>
      </c>
      <c r="N317" t="s">
        <v>47</v>
      </c>
      <c r="O317" t="s">
        <v>150</v>
      </c>
      <c r="P317" t="s">
        <v>103</v>
      </c>
      <c r="Q317" t="s">
        <v>124</v>
      </c>
      <c r="R317">
        <v>0</v>
      </c>
      <c r="S317">
        <v>-39500</v>
      </c>
      <c r="T317" s="1">
        <v>42026</v>
      </c>
      <c r="U317" t="s">
        <v>51</v>
      </c>
      <c r="V317" t="s">
        <v>81</v>
      </c>
      <c r="W317" t="s">
        <v>68</v>
      </c>
      <c r="X317" t="s">
        <v>54</v>
      </c>
      <c r="Y317" t="s">
        <v>118</v>
      </c>
      <c r="Z317" t="s">
        <v>132</v>
      </c>
      <c r="AA317" t="s">
        <v>499</v>
      </c>
      <c r="AB317">
        <v>14</v>
      </c>
      <c r="AC317" t="str">
        <f t="shared" si="13"/>
        <v>Afternoon</v>
      </c>
      <c r="AD317">
        <v>1</v>
      </c>
      <c r="AE317" t="s">
        <v>84</v>
      </c>
      <c r="AF317">
        <v>2</v>
      </c>
      <c r="AG317">
        <v>1</v>
      </c>
      <c r="AH317" t="s">
        <v>67</v>
      </c>
      <c r="AI317">
        <v>75500</v>
      </c>
      <c r="AJ317">
        <v>7550</v>
      </c>
      <c r="AK317">
        <v>15100</v>
      </c>
      <c r="AL317">
        <v>52850</v>
      </c>
      <c r="AM317" t="s">
        <v>109</v>
      </c>
      <c r="AN317" t="s">
        <v>292</v>
      </c>
      <c r="AO317">
        <v>2015</v>
      </c>
      <c r="AP317">
        <v>1998</v>
      </c>
      <c r="AQ317">
        <f t="shared" si="14"/>
        <v>17</v>
      </c>
      <c r="AR317" t="s">
        <v>87</v>
      </c>
    </row>
    <row r="318" spans="1:44" x14ac:dyDescent="0.25">
      <c r="A318">
        <v>274</v>
      </c>
      <c r="B318" t="str">
        <f t="shared" si="12"/>
        <v>10+ years</v>
      </c>
      <c r="C318">
        <v>46</v>
      </c>
      <c r="D318" t="str" cm="1">
        <f t="array" ref="D318">_xlfn.IFS(C318&lt;26, "19-25", C318&lt;33, "26-32", C318&lt;40, "33-39", C318&lt;47, "40-46",C318&lt;54, "47-53", TRUE, "54+")</f>
        <v>40-46</v>
      </c>
      <c r="E318">
        <v>351741</v>
      </c>
      <c r="F318" s="1">
        <v>35464</v>
      </c>
      <c r="G318" t="s">
        <v>44</v>
      </c>
      <c r="H318" t="s">
        <v>96</v>
      </c>
      <c r="I318">
        <v>1000</v>
      </c>
      <c r="J318">
        <v>1372.18</v>
      </c>
      <c r="K318">
        <v>0</v>
      </c>
      <c r="L318">
        <v>439929</v>
      </c>
      <c r="M318" t="s">
        <v>46</v>
      </c>
      <c r="N318" t="s">
        <v>136</v>
      </c>
      <c r="O318" t="s">
        <v>130</v>
      </c>
      <c r="P318" t="s">
        <v>103</v>
      </c>
      <c r="Q318" t="s">
        <v>147</v>
      </c>
      <c r="R318">
        <v>0</v>
      </c>
      <c r="S318">
        <v>0</v>
      </c>
      <c r="T318" s="1">
        <v>42017</v>
      </c>
      <c r="U318" t="s">
        <v>80</v>
      </c>
      <c r="V318" t="s">
        <v>52</v>
      </c>
      <c r="W318" t="s">
        <v>112</v>
      </c>
      <c r="X318" t="s">
        <v>125</v>
      </c>
      <c r="Y318" t="s">
        <v>118</v>
      </c>
      <c r="Z318" t="s">
        <v>70</v>
      </c>
      <c r="AA318" t="s">
        <v>500</v>
      </c>
      <c r="AB318">
        <v>22</v>
      </c>
      <c r="AC318" t="str">
        <f t="shared" si="13"/>
        <v>Evening</v>
      </c>
      <c r="AD318">
        <v>3</v>
      </c>
      <c r="AE318" t="s">
        <v>84</v>
      </c>
      <c r="AF318">
        <v>1</v>
      </c>
      <c r="AG318">
        <v>3</v>
      </c>
      <c r="AH318" t="s">
        <v>67</v>
      </c>
      <c r="AI318">
        <v>90600</v>
      </c>
      <c r="AJ318">
        <v>15100</v>
      </c>
      <c r="AK318">
        <v>15100</v>
      </c>
      <c r="AL318">
        <v>60400</v>
      </c>
      <c r="AM318" t="s">
        <v>192</v>
      </c>
      <c r="AN318" t="s">
        <v>208</v>
      </c>
      <c r="AO318">
        <v>2015</v>
      </c>
      <c r="AP318">
        <v>2009</v>
      </c>
      <c r="AQ318">
        <f t="shared" si="14"/>
        <v>6</v>
      </c>
      <c r="AR318" t="s">
        <v>87</v>
      </c>
    </row>
    <row r="319" spans="1:44" x14ac:dyDescent="0.25">
      <c r="A319">
        <v>275</v>
      </c>
      <c r="B319" t="str">
        <f t="shared" si="12"/>
        <v>10+ years</v>
      </c>
      <c r="C319">
        <v>45</v>
      </c>
      <c r="D319" t="str" cm="1">
        <f t="array" ref="D319">_xlfn.IFS(C319&lt;26, "19-25", C319&lt;33, "26-32", C319&lt;40, "33-39", C319&lt;47, "40-46",C319&lt;54, "47-53", TRUE, "54+")</f>
        <v>40-46</v>
      </c>
      <c r="E319">
        <v>403737</v>
      </c>
      <c r="F319" s="1">
        <v>33578</v>
      </c>
      <c r="G319" t="s">
        <v>62</v>
      </c>
      <c r="H319" t="s">
        <v>96</v>
      </c>
      <c r="I319">
        <v>2000</v>
      </c>
      <c r="J319">
        <v>1447.77</v>
      </c>
      <c r="K319">
        <v>0</v>
      </c>
      <c r="L319">
        <v>605756</v>
      </c>
      <c r="M319" t="s">
        <v>75</v>
      </c>
      <c r="N319" t="s">
        <v>97</v>
      </c>
      <c r="O319" t="s">
        <v>190</v>
      </c>
      <c r="P319" t="s">
        <v>123</v>
      </c>
      <c r="Q319" t="s">
        <v>124</v>
      </c>
      <c r="R319">
        <v>39400</v>
      </c>
      <c r="S319">
        <v>-63900</v>
      </c>
      <c r="T319" s="1">
        <v>42022</v>
      </c>
      <c r="U319" t="s">
        <v>80</v>
      </c>
      <c r="V319" t="s">
        <v>52</v>
      </c>
      <c r="W319" t="s">
        <v>112</v>
      </c>
      <c r="X319" t="s">
        <v>141</v>
      </c>
      <c r="Y319" t="s">
        <v>69</v>
      </c>
      <c r="Z319" t="s">
        <v>132</v>
      </c>
      <c r="AA319" t="s">
        <v>501</v>
      </c>
      <c r="AB319">
        <v>8</v>
      </c>
      <c r="AC319" t="str">
        <f t="shared" si="13"/>
        <v>Morning</v>
      </c>
      <c r="AD319">
        <v>3</v>
      </c>
      <c r="AE319" t="s">
        <v>58</v>
      </c>
      <c r="AF319">
        <v>1</v>
      </c>
      <c r="AG319">
        <v>1</v>
      </c>
      <c r="AH319" t="s">
        <v>67</v>
      </c>
      <c r="AI319">
        <v>64320</v>
      </c>
      <c r="AJ319">
        <v>5360</v>
      </c>
      <c r="AK319">
        <v>10720</v>
      </c>
      <c r="AL319">
        <v>48240</v>
      </c>
      <c r="AM319" t="s">
        <v>100</v>
      </c>
      <c r="AN319" t="s">
        <v>153</v>
      </c>
      <c r="AO319">
        <v>2015</v>
      </c>
      <c r="AP319">
        <v>1998</v>
      </c>
      <c r="AQ319">
        <f t="shared" si="14"/>
        <v>17</v>
      </c>
      <c r="AR319" t="s">
        <v>87</v>
      </c>
    </row>
    <row r="320" spans="1:44" x14ac:dyDescent="0.25">
      <c r="A320">
        <v>1</v>
      </c>
      <c r="B320" t="str">
        <f t="shared" si="12"/>
        <v>0-2 years</v>
      </c>
      <c r="C320">
        <v>33</v>
      </c>
      <c r="D320" t="str" cm="1">
        <f t="array" ref="D320">_xlfn.IFS(C320&lt;26, "19-25", C320&lt;33, "26-32", C320&lt;40, "33-39", C320&lt;47, "40-46",C320&lt;54, "47-53", TRUE, "54+")</f>
        <v>33-39</v>
      </c>
      <c r="E320">
        <v>162004</v>
      </c>
      <c r="F320" s="1">
        <v>34961</v>
      </c>
      <c r="G320" t="s">
        <v>88</v>
      </c>
      <c r="H320" t="s">
        <v>45</v>
      </c>
      <c r="I320">
        <v>500</v>
      </c>
      <c r="J320">
        <v>903.32</v>
      </c>
      <c r="K320">
        <v>0</v>
      </c>
      <c r="L320">
        <v>451184</v>
      </c>
      <c r="M320" t="s">
        <v>75</v>
      </c>
      <c r="N320" t="s">
        <v>136</v>
      </c>
      <c r="O320" t="s">
        <v>150</v>
      </c>
      <c r="P320" t="s">
        <v>160</v>
      </c>
      <c r="Q320" t="s">
        <v>147</v>
      </c>
      <c r="R320">
        <v>0</v>
      </c>
      <c r="S320">
        <v>0</v>
      </c>
      <c r="T320" s="1">
        <v>42023</v>
      </c>
      <c r="U320" t="s">
        <v>80</v>
      </c>
      <c r="V320" t="s">
        <v>81</v>
      </c>
      <c r="W320" t="s">
        <v>68</v>
      </c>
      <c r="X320" t="s">
        <v>54</v>
      </c>
      <c r="Y320" t="s">
        <v>82</v>
      </c>
      <c r="Z320" t="s">
        <v>132</v>
      </c>
      <c r="AA320" t="s">
        <v>502</v>
      </c>
      <c r="AB320">
        <v>1</v>
      </c>
      <c r="AC320" t="str">
        <f t="shared" si="13"/>
        <v>Night</v>
      </c>
      <c r="AD320">
        <v>3</v>
      </c>
      <c r="AE320" t="s">
        <v>67</v>
      </c>
      <c r="AF320">
        <v>1</v>
      </c>
      <c r="AG320">
        <v>0</v>
      </c>
      <c r="AH320" t="s">
        <v>67</v>
      </c>
      <c r="AI320">
        <v>31700</v>
      </c>
      <c r="AJ320">
        <v>6340</v>
      </c>
      <c r="AK320">
        <v>3170</v>
      </c>
      <c r="AL320">
        <v>22190</v>
      </c>
      <c r="AM320" t="s">
        <v>120</v>
      </c>
      <c r="AN320" t="s">
        <v>145</v>
      </c>
      <c r="AO320">
        <v>2015</v>
      </c>
      <c r="AP320">
        <v>2006</v>
      </c>
      <c r="AQ320">
        <f t="shared" si="14"/>
        <v>9</v>
      </c>
      <c r="AR320" t="s">
        <v>87</v>
      </c>
    </row>
    <row r="321" spans="1:44" x14ac:dyDescent="0.25">
      <c r="A321">
        <v>85</v>
      </c>
      <c r="B321" t="str">
        <f t="shared" si="12"/>
        <v>5-10 years</v>
      </c>
      <c r="C321">
        <v>30</v>
      </c>
      <c r="D321" t="str" cm="1">
        <f t="array" ref="D321">_xlfn.IFS(C321&lt;26, "19-25", C321&lt;33, "26-32", C321&lt;40, "33-39", C321&lt;47, "40-46",C321&lt;54, "47-53", TRUE, "54+")</f>
        <v>26-32</v>
      </c>
      <c r="E321">
        <v>740384</v>
      </c>
      <c r="F321" s="1">
        <v>34271</v>
      </c>
      <c r="G321" t="s">
        <v>62</v>
      </c>
      <c r="H321" t="s">
        <v>96</v>
      </c>
      <c r="I321">
        <v>1000</v>
      </c>
      <c r="J321">
        <v>1454.42</v>
      </c>
      <c r="K321">
        <v>0</v>
      </c>
      <c r="L321">
        <v>459588</v>
      </c>
      <c r="M321" t="s">
        <v>46</v>
      </c>
      <c r="N321" t="s">
        <v>97</v>
      </c>
      <c r="O321" t="s">
        <v>140</v>
      </c>
      <c r="P321" t="s">
        <v>64</v>
      </c>
      <c r="Q321" t="s">
        <v>65</v>
      </c>
      <c r="R321">
        <v>51600</v>
      </c>
      <c r="S321">
        <v>-73900</v>
      </c>
      <c r="T321" s="1">
        <v>42035</v>
      </c>
      <c r="U321" t="s">
        <v>51</v>
      </c>
      <c r="V321" t="s">
        <v>52</v>
      </c>
      <c r="W321" t="s">
        <v>53</v>
      </c>
      <c r="X321" t="s">
        <v>125</v>
      </c>
      <c r="Y321" t="s">
        <v>82</v>
      </c>
      <c r="Z321" t="s">
        <v>107</v>
      </c>
      <c r="AA321" t="s">
        <v>503</v>
      </c>
      <c r="AB321">
        <v>19</v>
      </c>
      <c r="AC321" t="str">
        <f t="shared" si="13"/>
        <v>Evening</v>
      </c>
      <c r="AD321">
        <v>1</v>
      </c>
      <c r="AE321" t="s">
        <v>58</v>
      </c>
      <c r="AF321">
        <v>0</v>
      </c>
      <c r="AG321">
        <v>1</v>
      </c>
      <c r="AH321" t="s">
        <v>58</v>
      </c>
      <c r="AI321">
        <v>74280</v>
      </c>
      <c r="AJ321">
        <v>12380</v>
      </c>
      <c r="AK321">
        <v>12380</v>
      </c>
      <c r="AL321">
        <v>49520</v>
      </c>
      <c r="AM321" t="s">
        <v>158</v>
      </c>
      <c r="AN321" t="s">
        <v>172</v>
      </c>
      <c r="AO321">
        <v>2015</v>
      </c>
      <c r="AP321">
        <v>2006</v>
      </c>
      <c r="AQ321">
        <f t="shared" si="14"/>
        <v>9</v>
      </c>
      <c r="AR321" t="s">
        <v>61</v>
      </c>
    </row>
    <row r="322" spans="1:44" x14ac:dyDescent="0.25">
      <c r="A322">
        <v>233</v>
      </c>
      <c r="B322" t="str">
        <f t="shared" si="12"/>
        <v>10+ years</v>
      </c>
      <c r="C322">
        <v>37</v>
      </c>
      <c r="D322" t="str" cm="1">
        <f t="array" ref="D322">_xlfn.IFS(C322&lt;26, "19-25", C322&lt;33, "26-32", C322&lt;40, "33-39", C322&lt;47, "40-46",C322&lt;54, "47-53", TRUE, "54+")</f>
        <v>33-39</v>
      </c>
      <c r="E322">
        <v>876714</v>
      </c>
      <c r="F322" s="1">
        <v>33545</v>
      </c>
      <c r="G322" t="s">
        <v>88</v>
      </c>
      <c r="H322" t="s">
        <v>74</v>
      </c>
      <c r="I322">
        <v>2000</v>
      </c>
      <c r="J322">
        <v>1603.42</v>
      </c>
      <c r="K322">
        <v>0</v>
      </c>
      <c r="L322">
        <v>616637</v>
      </c>
      <c r="M322" t="s">
        <v>75</v>
      </c>
      <c r="N322" t="s">
        <v>136</v>
      </c>
      <c r="O322" t="s">
        <v>77</v>
      </c>
      <c r="P322" t="s">
        <v>186</v>
      </c>
      <c r="Q322" t="s">
        <v>124</v>
      </c>
      <c r="R322">
        <v>61600</v>
      </c>
      <c r="S322">
        <v>-30200</v>
      </c>
      <c r="T322" s="1">
        <v>42041</v>
      </c>
      <c r="U322" t="s">
        <v>51</v>
      </c>
      <c r="V322" t="s">
        <v>91</v>
      </c>
      <c r="W322" t="s">
        <v>112</v>
      </c>
      <c r="X322" t="s">
        <v>104</v>
      </c>
      <c r="Y322" t="s">
        <v>82</v>
      </c>
      <c r="Z322" t="s">
        <v>56</v>
      </c>
      <c r="AA322" t="s">
        <v>504</v>
      </c>
      <c r="AB322">
        <v>17</v>
      </c>
      <c r="AC322" t="str">
        <f t="shared" si="13"/>
        <v>Afternoon</v>
      </c>
      <c r="AD322">
        <v>1</v>
      </c>
      <c r="AE322" t="s">
        <v>58</v>
      </c>
      <c r="AF322">
        <v>0</v>
      </c>
      <c r="AG322">
        <v>2</v>
      </c>
      <c r="AH322" t="s">
        <v>58</v>
      </c>
      <c r="AI322">
        <v>80520</v>
      </c>
      <c r="AJ322">
        <v>13420</v>
      </c>
      <c r="AK322">
        <v>6710</v>
      </c>
      <c r="AL322">
        <v>60390</v>
      </c>
      <c r="AM322" t="s">
        <v>120</v>
      </c>
      <c r="AN322" t="s">
        <v>188</v>
      </c>
      <c r="AO322">
        <v>2015</v>
      </c>
      <c r="AP322">
        <v>2005</v>
      </c>
      <c r="AQ322">
        <f t="shared" si="14"/>
        <v>10</v>
      </c>
      <c r="AR322" t="s">
        <v>87</v>
      </c>
    </row>
    <row r="323" spans="1:44" x14ac:dyDescent="0.25">
      <c r="A323">
        <v>142</v>
      </c>
      <c r="B323" t="str">
        <f t="shared" ref="B323:B386" si="15">IF(A323&lt;=24, "0-2 years", IF(A323&lt;=60, "2-5 years", IF(A323&lt;=120, "5-10 years", "10+ years")))</f>
        <v>10+ years</v>
      </c>
      <c r="C323">
        <v>30</v>
      </c>
      <c r="D323" t="str" cm="1">
        <f t="array" ref="D323">_xlfn.IFS(C323&lt;26, "19-25", C323&lt;33, "26-32", C323&lt;40, "33-39", C323&lt;47, "40-46",C323&lt;54, "47-53", TRUE, "54+")</f>
        <v>26-32</v>
      </c>
      <c r="E323">
        <v>951543</v>
      </c>
      <c r="F323" s="1">
        <v>37446</v>
      </c>
      <c r="G323" t="s">
        <v>62</v>
      </c>
      <c r="H323" t="s">
        <v>45</v>
      </c>
      <c r="I323">
        <v>2000</v>
      </c>
      <c r="J323">
        <v>1616.58</v>
      </c>
      <c r="K323">
        <v>0</v>
      </c>
      <c r="L323">
        <v>447979</v>
      </c>
      <c r="M323" t="s">
        <v>46</v>
      </c>
      <c r="N323" t="s">
        <v>166</v>
      </c>
      <c r="O323" t="s">
        <v>190</v>
      </c>
      <c r="P323" t="s">
        <v>178</v>
      </c>
      <c r="Q323" t="s">
        <v>50</v>
      </c>
      <c r="R323">
        <v>58500</v>
      </c>
      <c r="S323">
        <v>-46800</v>
      </c>
      <c r="T323" s="1">
        <v>42039</v>
      </c>
      <c r="U323" t="s">
        <v>80</v>
      </c>
      <c r="V323" t="s">
        <v>81</v>
      </c>
      <c r="W323" t="s">
        <v>53</v>
      </c>
      <c r="X323" t="s">
        <v>125</v>
      </c>
      <c r="Y323" t="s">
        <v>55</v>
      </c>
      <c r="Z323" t="s">
        <v>127</v>
      </c>
      <c r="AA323" t="s">
        <v>505</v>
      </c>
      <c r="AB323">
        <v>13</v>
      </c>
      <c r="AC323" t="str">
        <f t="shared" ref="AC323:AC386" si="16">IF(AB323&lt;6, "Night", IF(AB323&lt;12, "Morning", IF(AB323&lt;18, "Afternoon", "Evening")))</f>
        <v>Afternoon</v>
      </c>
      <c r="AD323">
        <v>3</v>
      </c>
      <c r="AE323" t="s">
        <v>58</v>
      </c>
      <c r="AF323">
        <v>0</v>
      </c>
      <c r="AG323">
        <v>3</v>
      </c>
      <c r="AH323" t="s">
        <v>58</v>
      </c>
      <c r="AI323">
        <v>63600</v>
      </c>
      <c r="AJ323">
        <v>6360</v>
      </c>
      <c r="AK323">
        <v>12720</v>
      </c>
      <c r="AL323">
        <v>44520</v>
      </c>
      <c r="AM323" t="s">
        <v>85</v>
      </c>
      <c r="AN323" t="s">
        <v>86</v>
      </c>
      <c r="AO323">
        <v>2015</v>
      </c>
      <c r="AP323">
        <v>2010</v>
      </c>
      <c r="AQ323">
        <f t="shared" ref="AQ323:AQ386" si="17">AO323-AP323</f>
        <v>5</v>
      </c>
      <c r="AR323" t="s">
        <v>87</v>
      </c>
    </row>
    <row r="324" spans="1:44" x14ac:dyDescent="0.25">
      <c r="A324">
        <v>266</v>
      </c>
      <c r="B324" t="str">
        <f t="shared" si="15"/>
        <v>10+ years</v>
      </c>
      <c r="C324">
        <v>44</v>
      </c>
      <c r="D324" t="str" cm="1">
        <f t="array" ref="D324">_xlfn.IFS(C324&lt;26, "19-25", C324&lt;33, "26-32", C324&lt;40, "33-39", C324&lt;47, "40-46",C324&lt;54, "47-53", TRUE, "54+")</f>
        <v>40-46</v>
      </c>
      <c r="E324">
        <v>576723</v>
      </c>
      <c r="F324" s="1">
        <v>36501</v>
      </c>
      <c r="G324" t="s">
        <v>88</v>
      </c>
      <c r="H324" t="s">
        <v>45</v>
      </c>
      <c r="I324">
        <v>500</v>
      </c>
      <c r="J324">
        <v>1611.83</v>
      </c>
      <c r="K324">
        <v>0</v>
      </c>
      <c r="L324">
        <v>460176</v>
      </c>
      <c r="M324" t="s">
        <v>46</v>
      </c>
      <c r="N324" t="s">
        <v>136</v>
      </c>
      <c r="O324" t="s">
        <v>164</v>
      </c>
      <c r="P324" t="s">
        <v>151</v>
      </c>
      <c r="Q324" t="s">
        <v>50</v>
      </c>
      <c r="R324">
        <v>0</v>
      </c>
      <c r="S324">
        <v>0</v>
      </c>
      <c r="T324" s="1">
        <v>42006</v>
      </c>
      <c r="U324" t="s">
        <v>51</v>
      </c>
      <c r="V324" t="s">
        <v>91</v>
      </c>
      <c r="W324" t="s">
        <v>112</v>
      </c>
      <c r="X324" t="s">
        <v>54</v>
      </c>
      <c r="Y324" t="s">
        <v>118</v>
      </c>
      <c r="Z324" t="s">
        <v>70</v>
      </c>
      <c r="AA324" t="s">
        <v>506</v>
      </c>
      <c r="AB324">
        <v>4</v>
      </c>
      <c r="AC324" t="str">
        <f t="shared" si="16"/>
        <v>Night</v>
      </c>
      <c r="AD324">
        <v>1</v>
      </c>
      <c r="AE324" t="s">
        <v>67</v>
      </c>
      <c r="AF324">
        <v>1</v>
      </c>
      <c r="AG324">
        <v>2</v>
      </c>
      <c r="AH324" t="s">
        <v>58</v>
      </c>
      <c r="AI324">
        <v>32800</v>
      </c>
      <c r="AJ324">
        <v>3280</v>
      </c>
      <c r="AK324">
        <v>3280</v>
      </c>
      <c r="AL324">
        <v>26240</v>
      </c>
      <c r="AM324" t="s">
        <v>192</v>
      </c>
      <c r="AN324" t="s">
        <v>193</v>
      </c>
      <c r="AO324">
        <v>2015</v>
      </c>
      <c r="AP324">
        <v>2012</v>
      </c>
      <c r="AQ324">
        <f t="shared" si="17"/>
        <v>3</v>
      </c>
      <c r="AR324" t="s">
        <v>87</v>
      </c>
    </row>
    <row r="325" spans="1:44" x14ac:dyDescent="0.25">
      <c r="A325">
        <v>350</v>
      </c>
      <c r="B325" t="str">
        <f t="shared" si="15"/>
        <v>10+ years</v>
      </c>
      <c r="C325">
        <v>50</v>
      </c>
      <c r="D325" t="str" cm="1">
        <f t="array" ref="D325">_xlfn.IFS(C325&lt;26, "19-25", C325&lt;33, "26-32", C325&lt;40, "33-39", C325&lt;47, "40-46",C325&lt;54, "47-53", TRUE, "54+")</f>
        <v>47-53</v>
      </c>
      <c r="E325">
        <v>391003</v>
      </c>
      <c r="F325" s="1">
        <v>38534</v>
      </c>
      <c r="G325" t="s">
        <v>44</v>
      </c>
      <c r="H325" t="s">
        <v>96</v>
      </c>
      <c r="I325">
        <v>500</v>
      </c>
      <c r="J325">
        <v>889.13</v>
      </c>
      <c r="K325">
        <v>0</v>
      </c>
      <c r="L325">
        <v>459429</v>
      </c>
      <c r="M325" t="s">
        <v>75</v>
      </c>
      <c r="N325" t="s">
        <v>129</v>
      </c>
      <c r="O325" t="s">
        <v>122</v>
      </c>
      <c r="P325" t="s">
        <v>78</v>
      </c>
      <c r="Q325" t="s">
        <v>65</v>
      </c>
      <c r="R325">
        <v>0</v>
      </c>
      <c r="S325">
        <v>0</v>
      </c>
      <c r="T325" s="1">
        <v>42061</v>
      </c>
      <c r="U325" t="s">
        <v>80</v>
      </c>
      <c r="V325" t="s">
        <v>81</v>
      </c>
      <c r="W325" t="s">
        <v>112</v>
      </c>
      <c r="X325" t="s">
        <v>54</v>
      </c>
      <c r="Y325" t="s">
        <v>180</v>
      </c>
      <c r="Z325" t="s">
        <v>132</v>
      </c>
      <c r="AA325" t="s">
        <v>507</v>
      </c>
      <c r="AB325">
        <v>14</v>
      </c>
      <c r="AC325" t="str">
        <f t="shared" si="16"/>
        <v>Afternoon</v>
      </c>
      <c r="AD325">
        <v>3</v>
      </c>
      <c r="AE325" t="s">
        <v>84</v>
      </c>
      <c r="AF325">
        <v>0</v>
      </c>
      <c r="AG325">
        <v>2</v>
      </c>
      <c r="AH325" t="s">
        <v>84</v>
      </c>
      <c r="AI325">
        <v>44190</v>
      </c>
      <c r="AJ325">
        <v>9820</v>
      </c>
      <c r="AK325">
        <v>4910</v>
      </c>
      <c r="AL325">
        <v>29460</v>
      </c>
      <c r="AM325" t="s">
        <v>114</v>
      </c>
      <c r="AN325" t="s">
        <v>139</v>
      </c>
      <c r="AO325">
        <v>2015</v>
      </c>
      <c r="AP325">
        <v>2015</v>
      </c>
      <c r="AQ325">
        <f t="shared" si="17"/>
        <v>0</v>
      </c>
      <c r="AR325" t="s">
        <v>87</v>
      </c>
    </row>
    <row r="326" spans="1:44" x14ac:dyDescent="0.25">
      <c r="A326">
        <v>97</v>
      </c>
      <c r="B326" t="str">
        <f t="shared" si="15"/>
        <v>5-10 years</v>
      </c>
      <c r="C326">
        <v>26</v>
      </c>
      <c r="D326" t="str" cm="1">
        <f t="array" ref="D326">_xlfn.IFS(C326&lt;26, "19-25", C326&lt;33, "26-32", C326&lt;40, "33-39", C326&lt;47, "40-46",C326&lt;54, "47-53", TRUE, "54+")</f>
        <v>26-32</v>
      </c>
      <c r="E326">
        <v>225865</v>
      </c>
      <c r="F326" s="1">
        <v>33546</v>
      </c>
      <c r="G326" t="s">
        <v>88</v>
      </c>
      <c r="H326" t="s">
        <v>45</v>
      </c>
      <c r="I326">
        <v>1000</v>
      </c>
      <c r="J326">
        <v>1252.08</v>
      </c>
      <c r="K326">
        <v>0</v>
      </c>
      <c r="L326">
        <v>465456</v>
      </c>
      <c r="M326" t="s">
        <v>46</v>
      </c>
      <c r="N326" t="s">
        <v>146</v>
      </c>
      <c r="O326" t="s">
        <v>130</v>
      </c>
      <c r="P326" t="s">
        <v>49</v>
      </c>
      <c r="Q326" t="s">
        <v>147</v>
      </c>
      <c r="R326">
        <v>0</v>
      </c>
      <c r="S326">
        <v>0</v>
      </c>
      <c r="T326" s="1">
        <v>42043</v>
      </c>
      <c r="U326" t="s">
        <v>80</v>
      </c>
      <c r="V326" t="s">
        <v>81</v>
      </c>
      <c r="W326" t="s">
        <v>53</v>
      </c>
      <c r="X326" t="s">
        <v>125</v>
      </c>
      <c r="Y326" t="s">
        <v>69</v>
      </c>
      <c r="Z326" t="s">
        <v>107</v>
      </c>
      <c r="AA326" t="s">
        <v>508</v>
      </c>
      <c r="AB326">
        <v>4</v>
      </c>
      <c r="AC326" t="str">
        <f t="shared" si="16"/>
        <v>Night</v>
      </c>
      <c r="AD326">
        <v>2</v>
      </c>
      <c r="AE326" t="s">
        <v>58</v>
      </c>
      <c r="AF326">
        <v>2</v>
      </c>
      <c r="AG326">
        <v>2</v>
      </c>
      <c r="AH326" t="s">
        <v>84</v>
      </c>
      <c r="AI326">
        <v>50400</v>
      </c>
      <c r="AJ326">
        <v>10080</v>
      </c>
      <c r="AK326">
        <v>5040</v>
      </c>
      <c r="AL326">
        <v>35280</v>
      </c>
      <c r="AM326" t="s">
        <v>214</v>
      </c>
      <c r="AN326" t="s">
        <v>230</v>
      </c>
      <c r="AO326">
        <v>2015</v>
      </c>
      <c r="AP326">
        <v>2000</v>
      </c>
      <c r="AQ326">
        <f t="shared" si="17"/>
        <v>15</v>
      </c>
      <c r="AR326" t="s">
        <v>61</v>
      </c>
    </row>
    <row r="327" spans="1:44" x14ac:dyDescent="0.25">
      <c r="A327">
        <v>399</v>
      </c>
      <c r="B327" t="str">
        <f t="shared" si="15"/>
        <v>10+ years</v>
      </c>
      <c r="C327">
        <v>55</v>
      </c>
      <c r="D327" t="str" cm="1">
        <f t="array" ref="D327">_xlfn.IFS(C327&lt;26, "19-25", C327&lt;33, "26-32", C327&lt;40, "33-39", C327&lt;47, "40-46",C327&lt;54, "47-53", TRUE, "54+")</f>
        <v>54+</v>
      </c>
      <c r="E327">
        <v>984948</v>
      </c>
      <c r="F327" s="1">
        <v>34073</v>
      </c>
      <c r="G327" t="s">
        <v>88</v>
      </c>
      <c r="H327" t="s">
        <v>96</v>
      </c>
      <c r="I327">
        <v>2000</v>
      </c>
      <c r="J327">
        <v>995.56</v>
      </c>
      <c r="K327">
        <v>0</v>
      </c>
      <c r="L327">
        <v>464665</v>
      </c>
      <c r="M327" t="s">
        <v>46</v>
      </c>
      <c r="N327" t="s">
        <v>166</v>
      </c>
      <c r="O327" t="s">
        <v>102</v>
      </c>
      <c r="P327" t="s">
        <v>49</v>
      </c>
      <c r="Q327" t="s">
        <v>147</v>
      </c>
      <c r="R327">
        <v>0</v>
      </c>
      <c r="S327">
        <v>-65400</v>
      </c>
      <c r="T327" s="1">
        <v>42042</v>
      </c>
      <c r="U327" t="s">
        <v>80</v>
      </c>
      <c r="V327" t="s">
        <v>52</v>
      </c>
      <c r="W327" t="s">
        <v>112</v>
      </c>
      <c r="X327" t="s">
        <v>54</v>
      </c>
      <c r="Y327" t="s">
        <v>82</v>
      </c>
      <c r="Z327" t="s">
        <v>132</v>
      </c>
      <c r="AA327" t="s">
        <v>509</v>
      </c>
      <c r="AB327">
        <v>23</v>
      </c>
      <c r="AC327" t="str">
        <f t="shared" si="16"/>
        <v>Evening</v>
      </c>
      <c r="AD327">
        <v>3</v>
      </c>
      <c r="AE327" t="s">
        <v>58</v>
      </c>
      <c r="AF327">
        <v>1</v>
      </c>
      <c r="AG327">
        <v>1</v>
      </c>
      <c r="AH327" t="s">
        <v>58</v>
      </c>
      <c r="AI327">
        <v>88400</v>
      </c>
      <c r="AJ327">
        <v>17680</v>
      </c>
      <c r="AK327">
        <v>8840</v>
      </c>
      <c r="AL327">
        <v>61880</v>
      </c>
      <c r="AM327" t="s">
        <v>109</v>
      </c>
      <c r="AN327" t="s">
        <v>110</v>
      </c>
      <c r="AO327">
        <v>2015</v>
      </c>
      <c r="AP327">
        <v>2010</v>
      </c>
      <c r="AQ327">
        <f t="shared" si="17"/>
        <v>5</v>
      </c>
      <c r="AR327" t="s">
        <v>87</v>
      </c>
    </row>
    <row r="328" spans="1:44" x14ac:dyDescent="0.25">
      <c r="A328">
        <v>305</v>
      </c>
      <c r="B328" t="str">
        <f t="shared" si="15"/>
        <v>10+ years</v>
      </c>
      <c r="C328">
        <v>49</v>
      </c>
      <c r="D328" t="str" cm="1">
        <f t="array" ref="D328">_xlfn.IFS(C328&lt;26, "19-25", C328&lt;33, "26-32", C328&lt;40, "33-39", C328&lt;47, "40-46",C328&lt;54, "47-53", TRUE, "54+")</f>
        <v>47-53</v>
      </c>
      <c r="E328">
        <v>890328</v>
      </c>
      <c r="F328" s="1">
        <v>40048</v>
      </c>
      <c r="G328" t="s">
        <v>88</v>
      </c>
      <c r="H328" t="s">
        <v>74</v>
      </c>
      <c r="I328">
        <v>2000</v>
      </c>
      <c r="J328">
        <v>1347.92</v>
      </c>
      <c r="K328">
        <v>0</v>
      </c>
      <c r="L328">
        <v>430853</v>
      </c>
      <c r="M328" t="s">
        <v>75</v>
      </c>
      <c r="N328" t="s">
        <v>136</v>
      </c>
      <c r="O328" t="s">
        <v>194</v>
      </c>
      <c r="P328" t="s">
        <v>103</v>
      </c>
      <c r="Q328" t="s">
        <v>79</v>
      </c>
      <c r="R328">
        <v>0</v>
      </c>
      <c r="S328">
        <v>-42100</v>
      </c>
      <c r="T328" s="1">
        <v>42052</v>
      </c>
      <c r="U328" t="s">
        <v>80</v>
      </c>
      <c r="V328" t="s">
        <v>91</v>
      </c>
      <c r="W328" t="s">
        <v>112</v>
      </c>
      <c r="X328" t="s">
        <v>104</v>
      </c>
      <c r="Y328" t="s">
        <v>82</v>
      </c>
      <c r="Z328" t="s">
        <v>127</v>
      </c>
      <c r="AA328" t="s">
        <v>510</v>
      </c>
      <c r="AB328">
        <v>21</v>
      </c>
      <c r="AC328" t="str">
        <f t="shared" si="16"/>
        <v>Evening</v>
      </c>
      <c r="AD328">
        <v>3</v>
      </c>
      <c r="AE328" t="s">
        <v>58</v>
      </c>
      <c r="AF328">
        <v>0</v>
      </c>
      <c r="AG328">
        <v>2</v>
      </c>
      <c r="AH328" t="s">
        <v>67</v>
      </c>
      <c r="AI328">
        <v>66550</v>
      </c>
      <c r="AJ328">
        <v>12100</v>
      </c>
      <c r="AK328">
        <v>6050</v>
      </c>
      <c r="AL328">
        <v>48400</v>
      </c>
      <c r="AM328" t="s">
        <v>219</v>
      </c>
      <c r="AN328" t="s">
        <v>263</v>
      </c>
      <c r="AO328">
        <v>2015</v>
      </c>
      <c r="AP328">
        <v>2003</v>
      </c>
      <c r="AQ328">
        <f t="shared" si="17"/>
        <v>12</v>
      </c>
      <c r="AR328" t="s">
        <v>87</v>
      </c>
    </row>
    <row r="329" spans="1:44" x14ac:dyDescent="0.25">
      <c r="A329">
        <v>276</v>
      </c>
      <c r="B329" t="str">
        <f t="shared" si="15"/>
        <v>10+ years</v>
      </c>
      <c r="C329">
        <v>47</v>
      </c>
      <c r="D329" t="str" cm="1">
        <f t="array" ref="D329">_xlfn.IFS(C329&lt;26, "19-25", C329&lt;33, "26-32", C329&lt;40, "33-39", C329&lt;47, "40-46",C329&lt;54, "47-53", TRUE, "54+")</f>
        <v>47-53</v>
      </c>
      <c r="E329">
        <v>803294</v>
      </c>
      <c r="F329" s="1">
        <v>34138</v>
      </c>
      <c r="G329" t="s">
        <v>62</v>
      </c>
      <c r="H329" t="s">
        <v>74</v>
      </c>
      <c r="I329">
        <v>1000</v>
      </c>
      <c r="J329">
        <v>1724.09</v>
      </c>
      <c r="K329">
        <v>0</v>
      </c>
      <c r="L329">
        <v>615712</v>
      </c>
      <c r="M329" t="s">
        <v>46</v>
      </c>
      <c r="N329" t="s">
        <v>76</v>
      </c>
      <c r="O329" t="s">
        <v>48</v>
      </c>
      <c r="P329" t="s">
        <v>160</v>
      </c>
      <c r="Q329" t="s">
        <v>79</v>
      </c>
      <c r="R329">
        <v>0</v>
      </c>
      <c r="S329">
        <v>0</v>
      </c>
      <c r="T329" s="1">
        <v>42016</v>
      </c>
      <c r="U329" t="s">
        <v>80</v>
      </c>
      <c r="V329" t="s">
        <v>81</v>
      </c>
      <c r="W329" t="s">
        <v>68</v>
      </c>
      <c r="X329" t="s">
        <v>54</v>
      </c>
      <c r="Y329" t="s">
        <v>82</v>
      </c>
      <c r="Z329" t="s">
        <v>92</v>
      </c>
      <c r="AA329" t="s">
        <v>511</v>
      </c>
      <c r="AB329">
        <v>23</v>
      </c>
      <c r="AC329" t="str">
        <f t="shared" si="16"/>
        <v>Evening</v>
      </c>
      <c r="AD329">
        <v>3</v>
      </c>
      <c r="AE329" t="s">
        <v>58</v>
      </c>
      <c r="AF329">
        <v>0</v>
      </c>
      <c r="AG329">
        <v>0</v>
      </c>
      <c r="AH329" t="s">
        <v>67</v>
      </c>
      <c r="AI329">
        <v>65780</v>
      </c>
      <c r="AJ329">
        <v>5980</v>
      </c>
      <c r="AK329">
        <v>11960</v>
      </c>
      <c r="AL329">
        <v>47840</v>
      </c>
      <c r="AM329" t="s">
        <v>94</v>
      </c>
      <c r="AN329" t="s">
        <v>95</v>
      </c>
      <c r="AO329">
        <v>2015</v>
      </c>
      <c r="AP329">
        <v>2014</v>
      </c>
      <c r="AQ329">
        <f t="shared" si="17"/>
        <v>1</v>
      </c>
      <c r="AR329" t="s">
        <v>87</v>
      </c>
    </row>
    <row r="330" spans="1:44" x14ac:dyDescent="0.25">
      <c r="A330">
        <v>257</v>
      </c>
      <c r="B330" t="str">
        <f t="shared" si="15"/>
        <v>10+ years</v>
      </c>
      <c r="C330">
        <v>40</v>
      </c>
      <c r="D330" t="str" cm="1">
        <f t="array" ref="D330">_xlfn.IFS(C330&lt;26, "19-25", C330&lt;33, "26-32", C330&lt;40, "33-39", C330&lt;47, "40-46",C330&lt;54, "47-53", TRUE, "54+")</f>
        <v>40-46</v>
      </c>
      <c r="E330">
        <v>414913</v>
      </c>
      <c r="F330" s="1">
        <v>41107</v>
      </c>
      <c r="G330" t="s">
        <v>62</v>
      </c>
      <c r="H330" t="s">
        <v>45</v>
      </c>
      <c r="I330">
        <v>500</v>
      </c>
      <c r="J330">
        <v>1379.93</v>
      </c>
      <c r="K330">
        <v>0</v>
      </c>
      <c r="L330">
        <v>608228</v>
      </c>
      <c r="M330" t="s">
        <v>46</v>
      </c>
      <c r="N330" t="s">
        <v>47</v>
      </c>
      <c r="O330" t="s">
        <v>89</v>
      </c>
      <c r="P330" t="s">
        <v>111</v>
      </c>
      <c r="Q330" t="s">
        <v>50</v>
      </c>
      <c r="R330">
        <v>0</v>
      </c>
      <c r="S330">
        <v>0</v>
      </c>
      <c r="T330" s="1">
        <v>42036</v>
      </c>
      <c r="U330" t="s">
        <v>80</v>
      </c>
      <c r="V330" t="s">
        <v>52</v>
      </c>
      <c r="W330" t="s">
        <v>53</v>
      </c>
      <c r="X330" t="s">
        <v>125</v>
      </c>
      <c r="Y330" t="s">
        <v>82</v>
      </c>
      <c r="Z330" t="s">
        <v>56</v>
      </c>
      <c r="AA330" t="s">
        <v>512</v>
      </c>
      <c r="AB330">
        <v>6</v>
      </c>
      <c r="AC330" t="str">
        <f t="shared" si="16"/>
        <v>Morning</v>
      </c>
      <c r="AD330">
        <v>3</v>
      </c>
      <c r="AE330" t="s">
        <v>67</v>
      </c>
      <c r="AF330">
        <v>0</v>
      </c>
      <c r="AG330">
        <v>2</v>
      </c>
      <c r="AH330" t="s">
        <v>58</v>
      </c>
      <c r="AI330">
        <v>51810</v>
      </c>
      <c r="AJ330">
        <v>9420</v>
      </c>
      <c r="AK330">
        <v>4710</v>
      </c>
      <c r="AL330">
        <v>37680</v>
      </c>
      <c r="AM330" t="s">
        <v>114</v>
      </c>
      <c r="AN330" t="s">
        <v>139</v>
      </c>
      <c r="AO330">
        <v>2015</v>
      </c>
      <c r="AP330">
        <v>2002</v>
      </c>
      <c r="AQ330">
        <f t="shared" si="17"/>
        <v>13</v>
      </c>
      <c r="AR330" t="s">
        <v>61</v>
      </c>
    </row>
    <row r="331" spans="1:44" x14ac:dyDescent="0.25">
      <c r="A331">
        <v>78</v>
      </c>
      <c r="B331" t="str">
        <f t="shared" si="15"/>
        <v>5-10 years</v>
      </c>
      <c r="C331">
        <v>31</v>
      </c>
      <c r="D331" t="str" cm="1">
        <f t="array" ref="D331">_xlfn.IFS(C331&lt;26, "19-25", C331&lt;33, "26-32", C331&lt;40, "33-39", C331&lt;47, "40-46",C331&lt;54, "47-53", TRUE, "54+")</f>
        <v>26-32</v>
      </c>
      <c r="E331">
        <v>414519</v>
      </c>
      <c r="F331" s="1">
        <v>36185</v>
      </c>
      <c r="G331" t="s">
        <v>62</v>
      </c>
      <c r="H331" t="s">
        <v>45</v>
      </c>
      <c r="I331">
        <v>1000</v>
      </c>
      <c r="J331">
        <v>1554.64</v>
      </c>
      <c r="K331">
        <v>4000000</v>
      </c>
      <c r="L331">
        <v>457535</v>
      </c>
      <c r="M331" t="s">
        <v>46</v>
      </c>
      <c r="N331" t="s">
        <v>76</v>
      </c>
      <c r="O331" t="s">
        <v>140</v>
      </c>
      <c r="P331" t="s">
        <v>78</v>
      </c>
      <c r="Q331" t="s">
        <v>79</v>
      </c>
      <c r="R331">
        <v>0</v>
      </c>
      <c r="S331">
        <v>-27900</v>
      </c>
      <c r="T331" s="1">
        <v>42038</v>
      </c>
      <c r="U331" t="s">
        <v>51</v>
      </c>
      <c r="V331" t="s">
        <v>91</v>
      </c>
      <c r="W331" t="s">
        <v>53</v>
      </c>
      <c r="X331" t="s">
        <v>125</v>
      </c>
      <c r="Y331" t="s">
        <v>118</v>
      </c>
      <c r="Z331" t="s">
        <v>107</v>
      </c>
      <c r="AA331" t="s">
        <v>513</v>
      </c>
      <c r="AB331">
        <v>21</v>
      </c>
      <c r="AC331" t="str">
        <f t="shared" si="16"/>
        <v>Evening</v>
      </c>
      <c r="AD331">
        <v>1</v>
      </c>
      <c r="AE331" t="s">
        <v>84</v>
      </c>
      <c r="AF331">
        <v>1</v>
      </c>
      <c r="AG331">
        <v>0</v>
      </c>
      <c r="AH331" t="s">
        <v>84</v>
      </c>
      <c r="AI331">
        <v>55660</v>
      </c>
      <c r="AJ331">
        <v>5060</v>
      </c>
      <c r="AK331">
        <v>10120</v>
      </c>
      <c r="AL331">
        <v>40480</v>
      </c>
      <c r="AM331" t="s">
        <v>214</v>
      </c>
      <c r="AN331" t="s">
        <v>230</v>
      </c>
      <c r="AO331">
        <v>2015</v>
      </c>
      <c r="AP331">
        <v>2009</v>
      </c>
      <c r="AQ331">
        <f t="shared" si="17"/>
        <v>6</v>
      </c>
      <c r="AR331" t="s">
        <v>61</v>
      </c>
    </row>
    <row r="332" spans="1:44" x14ac:dyDescent="0.25">
      <c r="A332">
        <v>129</v>
      </c>
      <c r="B332" t="str">
        <f t="shared" si="15"/>
        <v>10+ years</v>
      </c>
      <c r="C332">
        <v>28</v>
      </c>
      <c r="D332" t="str" cm="1">
        <f t="array" ref="D332">_xlfn.IFS(C332&lt;26, "19-25", C332&lt;33, "26-32", C332&lt;40, "33-39", C332&lt;47, "40-46",C332&lt;54, "47-53", TRUE, "54+")</f>
        <v>26-32</v>
      </c>
      <c r="E332">
        <v>818413</v>
      </c>
      <c r="F332" s="1">
        <v>32927</v>
      </c>
      <c r="G332" t="s">
        <v>44</v>
      </c>
      <c r="H332" t="s">
        <v>96</v>
      </c>
      <c r="I332">
        <v>1000</v>
      </c>
      <c r="J332">
        <v>1377.94</v>
      </c>
      <c r="K332">
        <v>0</v>
      </c>
      <c r="L332">
        <v>442540</v>
      </c>
      <c r="M332" t="s">
        <v>46</v>
      </c>
      <c r="N332" t="s">
        <v>129</v>
      </c>
      <c r="O332" t="s">
        <v>63</v>
      </c>
      <c r="P332" t="s">
        <v>111</v>
      </c>
      <c r="Q332" t="s">
        <v>147</v>
      </c>
      <c r="R332">
        <v>0</v>
      </c>
      <c r="S332">
        <v>0</v>
      </c>
      <c r="T332" s="1">
        <v>42056</v>
      </c>
      <c r="U332" t="s">
        <v>51</v>
      </c>
      <c r="V332" t="s">
        <v>52</v>
      </c>
      <c r="W332" t="s">
        <v>53</v>
      </c>
      <c r="X332" t="s">
        <v>104</v>
      </c>
      <c r="Y332" t="s">
        <v>82</v>
      </c>
      <c r="Z332" t="s">
        <v>107</v>
      </c>
      <c r="AA332" t="s">
        <v>514</v>
      </c>
      <c r="AB332">
        <v>23</v>
      </c>
      <c r="AC332" t="str">
        <f t="shared" si="16"/>
        <v>Evening</v>
      </c>
      <c r="AD332">
        <v>1</v>
      </c>
      <c r="AE332" t="s">
        <v>67</v>
      </c>
      <c r="AF332">
        <v>2</v>
      </c>
      <c r="AG332">
        <v>3</v>
      </c>
      <c r="AH332" t="s">
        <v>67</v>
      </c>
      <c r="AI332">
        <v>44640</v>
      </c>
      <c r="AJ332">
        <v>9920</v>
      </c>
      <c r="AK332">
        <v>4960</v>
      </c>
      <c r="AL332">
        <v>29760</v>
      </c>
      <c r="AM332" t="s">
        <v>120</v>
      </c>
      <c r="AN332" t="s">
        <v>121</v>
      </c>
      <c r="AO332">
        <v>2015</v>
      </c>
      <c r="AP332">
        <v>2005</v>
      </c>
      <c r="AQ332">
        <f t="shared" si="17"/>
        <v>10</v>
      </c>
      <c r="AR332" t="s">
        <v>87</v>
      </c>
    </row>
    <row r="333" spans="1:44" x14ac:dyDescent="0.25">
      <c r="A333">
        <v>283</v>
      </c>
      <c r="B333" t="str">
        <f t="shared" si="15"/>
        <v>10+ years</v>
      </c>
      <c r="C333">
        <v>46</v>
      </c>
      <c r="D333" t="str" cm="1">
        <f t="array" ref="D333">_xlfn.IFS(C333&lt;26, "19-25", C333&lt;33, "26-32", C333&lt;40, "33-39", C333&lt;47, "40-46",C333&lt;54, "47-53", TRUE, "54+")</f>
        <v>40-46</v>
      </c>
      <c r="E333">
        <v>487356</v>
      </c>
      <c r="F333" s="1">
        <v>36768</v>
      </c>
      <c r="G333" t="s">
        <v>88</v>
      </c>
      <c r="H333" t="s">
        <v>96</v>
      </c>
      <c r="I333">
        <v>2000</v>
      </c>
      <c r="J333">
        <v>1313.33</v>
      </c>
      <c r="K333">
        <v>0</v>
      </c>
      <c r="L333">
        <v>455332</v>
      </c>
      <c r="M333" t="s">
        <v>75</v>
      </c>
      <c r="N333" t="s">
        <v>76</v>
      </c>
      <c r="O333" t="s">
        <v>150</v>
      </c>
      <c r="P333" t="s">
        <v>64</v>
      </c>
      <c r="Q333" t="s">
        <v>50</v>
      </c>
      <c r="R333">
        <v>53500</v>
      </c>
      <c r="S333">
        <v>-73600</v>
      </c>
      <c r="T333" s="1">
        <v>42013</v>
      </c>
      <c r="U333" t="s">
        <v>80</v>
      </c>
      <c r="V333" t="s">
        <v>91</v>
      </c>
      <c r="W333" t="s">
        <v>53</v>
      </c>
      <c r="X333" t="s">
        <v>141</v>
      </c>
      <c r="Y333" t="s">
        <v>82</v>
      </c>
      <c r="Z333" t="s">
        <v>70</v>
      </c>
      <c r="AA333" t="s">
        <v>515</v>
      </c>
      <c r="AB333">
        <v>3</v>
      </c>
      <c r="AC333" t="str">
        <f t="shared" si="16"/>
        <v>Night</v>
      </c>
      <c r="AD333">
        <v>3</v>
      </c>
      <c r="AE333" t="s">
        <v>67</v>
      </c>
      <c r="AF333">
        <v>1</v>
      </c>
      <c r="AG333">
        <v>3</v>
      </c>
      <c r="AH333" t="s">
        <v>84</v>
      </c>
      <c r="AI333">
        <v>77660</v>
      </c>
      <c r="AJ333">
        <v>7060</v>
      </c>
      <c r="AK333">
        <v>14120</v>
      </c>
      <c r="AL333">
        <v>56480</v>
      </c>
      <c r="AM333" t="s">
        <v>109</v>
      </c>
      <c r="AN333" t="s">
        <v>156</v>
      </c>
      <c r="AO333">
        <v>2015</v>
      </c>
      <c r="AP333">
        <v>2004</v>
      </c>
      <c r="AQ333">
        <f t="shared" si="17"/>
        <v>11</v>
      </c>
      <c r="AR333" t="s">
        <v>61</v>
      </c>
    </row>
    <row r="334" spans="1:44" x14ac:dyDescent="0.25">
      <c r="A334">
        <v>85</v>
      </c>
      <c r="B334" t="str">
        <f t="shared" si="15"/>
        <v>5-10 years</v>
      </c>
      <c r="C334">
        <v>25</v>
      </c>
      <c r="D334" t="str" cm="1">
        <f t="array" ref="D334">_xlfn.IFS(C334&lt;26, "19-25", C334&lt;33, "26-32", C334&lt;40, "33-39", C334&lt;47, "40-46",C334&lt;54, "47-53", TRUE, "54+")</f>
        <v>19-25</v>
      </c>
      <c r="E334">
        <v>159768</v>
      </c>
      <c r="F334" s="1">
        <v>39694</v>
      </c>
      <c r="G334" t="s">
        <v>62</v>
      </c>
      <c r="H334" t="s">
        <v>45</v>
      </c>
      <c r="I334">
        <v>500</v>
      </c>
      <c r="J334">
        <v>1259.02</v>
      </c>
      <c r="K334">
        <v>0</v>
      </c>
      <c r="L334">
        <v>439534</v>
      </c>
      <c r="M334" t="s">
        <v>75</v>
      </c>
      <c r="N334" t="s">
        <v>166</v>
      </c>
      <c r="O334" t="s">
        <v>102</v>
      </c>
      <c r="P334" t="s">
        <v>111</v>
      </c>
      <c r="Q334" t="s">
        <v>90</v>
      </c>
      <c r="R334">
        <v>67000</v>
      </c>
      <c r="S334">
        <v>-53600</v>
      </c>
      <c r="T334" s="1">
        <v>42051</v>
      </c>
      <c r="U334" t="s">
        <v>143</v>
      </c>
      <c r="V334" t="s">
        <v>67</v>
      </c>
      <c r="W334" t="s">
        <v>217</v>
      </c>
      <c r="X334" t="s">
        <v>98</v>
      </c>
      <c r="Y334" t="s">
        <v>55</v>
      </c>
      <c r="Z334" t="s">
        <v>132</v>
      </c>
      <c r="AA334" t="s">
        <v>516</v>
      </c>
      <c r="AB334">
        <v>8</v>
      </c>
      <c r="AC334" t="str">
        <f t="shared" si="16"/>
        <v>Morning</v>
      </c>
      <c r="AD334">
        <v>1</v>
      </c>
      <c r="AE334" t="s">
        <v>84</v>
      </c>
      <c r="AF334">
        <v>2</v>
      </c>
      <c r="AG334">
        <v>2</v>
      </c>
      <c r="AH334" t="s">
        <v>67</v>
      </c>
      <c r="AI334">
        <v>5640</v>
      </c>
      <c r="AJ334">
        <v>940</v>
      </c>
      <c r="AK334">
        <v>940</v>
      </c>
      <c r="AL334">
        <v>3760</v>
      </c>
      <c r="AM334" t="s">
        <v>109</v>
      </c>
      <c r="AN334" t="s">
        <v>292</v>
      </c>
      <c r="AO334">
        <v>2015</v>
      </c>
      <c r="AP334">
        <v>2005</v>
      </c>
      <c r="AQ334">
        <f t="shared" si="17"/>
        <v>10</v>
      </c>
      <c r="AR334" t="s">
        <v>87</v>
      </c>
    </row>
    <row r="335" spans="1:44" x14ac:dyDescent="0.25">
      <c r="A335">
        <v>101</v>
      </c>
      <c r="B335" t="str">
        <f t="shared" si="15"/>
        <v>5-10 years</v>
      </c>
      <c r="C335">
        <v>26</v>
      </c>
      <c r="D335" t="str" cm="1">
        <f t="array" ref="D335">_xlfn.IFS(C335&lt;26, "19-25", C335&lt;33, "26-32", C335&lt;40, "33-39", C335&lt;47, "40-46",C335&lt;54, "47-53", TRUE, "54+")</f>
        <v>26-32</v>
      </c>
      <c r="E335">
        <v>865839</v>
      </c>
      <c r="F335" s="1">
        <v>33452</v>
      </c>
      <c r="G335" t="s">
        <v>88</v>
      </c>
      <c r="H335" t="s">
        <v>96</v>
      </c>
      <c r="I335">
        <v>1000</v>
      </c>
      <c r="J335">
        <v>1371.88</v>
      </c>
      <c r="K335">
        <v>0</v>
      </c>
      <c r="L335">
        <v>462420</v>
      </c>
      <c r="M335" t="s">
        <v>75</v>
      </c>
      <c r="N335" t="s">
        <v>47</v>
      </c>
      <c r="O335" t="s">
        <v>106</v>
      </c>
      <c r="P335" t="s">
        <v>64</v>
      </c>
      <c r="Q335" t="s">
        <v>50</v>
      </c>
      <c r="R335">
        <v>0</v>
      </c>
      <c r="S335">
        <v>0</v>
      </c>
      <c r="T335" s="1">
        <v>42039</v>
      </c>
      <c r="U335" t="s">
        <v>143</v>
      </c>
      <c r="V335" t="s">
        <v>67</v>
      </c>
      <c r="W335" t="s">
        <v>217</v>
      </c>
      <c r="X335" t="s">
        <v>98</v>
      </c>
      <c r="Y335" t="s">
        <v>69</v>
      </c>
      <c r="Z335" t="s">
        <v>92</v>
      </c>
      <c r="AA335" t="s">
        <v>517</v>
      </c>
      <c r="AB335">
        <v>4</v>
      </c>
      <c r="AC335" t="str">
        <f t="shared" si="16"/>
        <v>Night</v>
      </c>
      <c r="AD335">
        <v>1</v>
      </c>
      <c r="AE335" t="s">
        <v>67</v>
      </c>
      <c r="AF335">
        <v>2</v>
      </c>
      <c r="AG335">
        <v>2</v>
      </c>
      <c r="AH335" t="s">
        <v>67</v>
      </c>
      <c r="AI335">
        <v>3190</v>
      </c>
      <c r="AJ335">
        <v>580</v>
      </c>
      <c r="AK335">
        <v>580</v>
      </c>
      <c r="AL335">
        <v>2030</v>
      </c>
      <c r="AM335" t="s">
        <v>158</v>
      </c>
      <c r="AN335" t="s">
        <v>159</v>
      </c>
      <c r="AO335">
        <v>2015</v>
      </c>
      <c r="AP335">
        <v>1995</v>
      </c>
      <c r="AQ335">
        <f t="shared" si="17"/>
        <v>20</v>
      </c>
      <c r="AR335" t="s">
        <v>87</v>
      </c>
    </row>
    <row r="336" spans="1:44" x14ac:dyDescent="0.25">
      <c r="A336">
        <v>96</v>
      </c>
      <c r="B336" t="str">
        <f t="shared" si="15"/>
        <v>5-10 years</v>
      </c>
      <c r="C336">
        <v>30</v>
      </c>
      <c r="D336" t="str" cm="1">
        <f t="array" ref="D336">_xlfn.IFS(C336&lt;26, "19-25", C336&lt;33, "26-32", C336&lt;40, "33-39", C336&lt;47, "40-46",C336&lt;54, "47-53", TRUE, "54+")</f>
        <v>26-32</v>
      </c>
      <c r="E336">
        <v>406567</v>
      </c>
      <c r="F336" s="1">
        <v>37159</v>
      </c>
      <c r="G336" t="s">
        <v>44</v>
      </c>
      <c r="H336" t="s">
        <v>74</v>
      </c>
      <c r="I336">
        <v>500</v>
      </c>
      <c r="J336">
        <v>1399.27</v>
      </c>
      <c r="K336">
        <v>6000000</v>
      </c>
      <c r="L336">
        <v>448913</v>
      </c>
      <c r="M336" t="s">
        <v>46</v>
      </c>
      <c r="N336" t="s">
        <v>146</v>
      </c>
      <c r="O336" t="s">
        <v>106</v>
      </c>
      <c r="P336" t="s">
        <v>154</v>
      </c>
      <c r="Q336" t="s">
        <v>124</v>
      </c>
      <c r="R336">
        <v>38900</v>
      </c>
      <c r="S336">
        <v>-48700</v>
      </c>
      <c r="T336" s="1">
        <v>42059</v>
      </c>
      <c r="U336" t="s">
        <v>51</v>
      </c>
      <c r="V336" t="s">
        <v>52</v>
      </c>
      <c r="W336" t="s">
        <v>112</v>
      </c>
      <c r="X336" t="s">
        <v>104</v>
      </c>
      <c r="Y336" t="s">
        <v>126</v>
      </c>
      <c r="Z336" t="s">
        <v>92</v>
      </c>
      <c r="AA336" t="s">
        <v>518</v>
      </c>
      <c r="AB336">
        <v>22</v>
      </c>
      <c r="AC336" t="str">
        <f t="shared" si="16"/>
        <v>Evening</v>
      </c>
      <c r="AD336">
        <v>1</v>
      </c>
      <c r="AE336" t="s">
        <v>67</v>
      </c>
      <c r="AF336">
        <v>0</v>
      </c>
      <c r="AG336">
        <v>0</v>
      </c>
      <c r="AH336" t="s">
        <v>58</v>
      </c>
      <c r="AI336">
        <v>53440</v>
      </c>
      <c r="AJ336">
        <v>0</v>
      </c>
      <c r="AK336">
        <v>6680</v>
      </c>
      <c r="AL336">
        <v>46760</v>
      </c>
      <c r="AM336" t="s">
        <v>134</v>
      </c>
      <c r="AN336" t="s">
        <v>177</v>
      </c>
      <c r="AO336">
        <v>2015</v>
      </c>
      <c r="AP336">
        <v>2004</v>
      </c>
      <c r="AQ336">
        <f t="shared" si="17"/>
        <v>11</v>
      </c>
      <c r="AR336" t="s">
        <v>87</v>
      </c>
    </row>
    <row r="337" spans="1:44" x14ac:dyDescent="0.25">
      <c r="A337">
        <v>121</v>
      </c>
      <c r="B337" t="str">
        <f t="shared" si="15"/>
        <v>10+ years</v>
      </c>
      <c r="C337">
        <v>31</v>
      </c>
      <c r="D337" t="str" cm="1">
        <f t="array" ref="D337">_xlfn.IFS(C337&lt;26, "19-25", C337&lt;33, "26-32", C337&lt;40, "33-39", C337&lt;47, "40-46",C337&lt;54, "47-53", TRUE, "54+")</f>
        <v>26-32</v>
      </c>
      <c r="E337">
        <v>623032</v>
      </c>
      <c r="F337" s="1">
        <v>39152</v>
      </c>
      <c r="G337" t="s">
        <v>88</v>
      </c>
      <c r="H337" t="s">
        <v>96</v>
      </c>
      <c r="I337">
        <v>1000</v>
      </c>
      <c r="J337">
        <v>1061.98</v>
      </c>
      <c r="K337">
        <v>6000000</v>
      </c>
      <c r="L337">
        <v>440837</v>
      </c>
      <c r="M337" t="s">
        <v>75</v>
      </c>
      <c r="N337" t="s">
        <v>166</v>
      </c>
      <c r="O337" t="s">
        <v>89</v>
      </c>
      <c r="P337" t="s">
        <v>123</v>
      </c>
      <c r="Q337" t="s">
        <v>90</v>
      </c>
      <c r="R337">
        <v>0</v>
      </c>
      <c r="S337">
        <v>0</v>
      </c>
      <c r="T337" s="1">
        <v>42036</v>
      </c>
      <c r="U337" t="s">
        <v>51</v>
      </c>
      <c r="V337" t="s">
        <v>81</v>
      </c>
      <c r="W337" t="s">
        <v>68</v>
      </c>
      <c r="X337" t="s">
        <v>54</v>
      </c>
      <c r="Y337" t="s">
        <v>118</v>
      </c>
      <c r="Z337" t="s">
        <v>127</v>
      </c>
      <c r="AA337" t="s">
        <v>519</v>
      </c>
      <c r="AB337">
        <v>16</v>
      </c>
      <c r="AC337" t="str">
        <f t="shared" si="16"/>
        <v>Afternoon</v>
      </c>
      <c r="AD337">
        <v>1</v>
      </c>
      <c r="AE337" t="s">
        <v>84</v>
      </c>
      <c r="AF337">
        <v>0</v>
      </c>
      <c r="AG337">
        <v>1</v>
      </c>
      <c r="AH337" t="s">
        <v>58</v>
      </c>
      <c r="AI337">
        <v>65250</v>
      </c>
      <c r="AJ337">
        <v>7250</v>
      </c>
      <c r="AK337">
        <v>7250</v>
      </c>
      <c r="AL337">
        <v>50750</v>
      </c>
      <c r="AM337" t="s">
        <v>192</v>
      </c>
      <c r="AN337" t="s">
        <v>193</v>
      </c>
      <c r="AO337">
        <v>2015</v>
      </c>
      <c r="AP337">
        <v>2002</v>
      </c>
      <c r="AQ337">
        <f t="shared" si="17"/>
        <v>13</v>
      </c>
      <c r="AR337" t="s">
        <v>87</v>
      </c>
    </row>
    <row r="338" spans="1:44" x14ac:dyDescent="0.25">
      <c r="A338">
        <v>176</v>
      </c>
      <c r="B338" t="str">
        <f t="shared" si="15"/>
        <v>10+ years</v>
      </c>
      <c r="C338">
        <v>39</v>
      </c>
      <c r="D338" t="str" cm="1">
        <f t="array" ref="D338">_xlfn.IFS(C338&lt;26, "19-25", C338&lt;33, "26-32", C338&lt;40, "33-39", C338&lt;47, "40-46",C338&lt;54, "47-53", TRUE, "54+")</f>
        <v>33-39</v>
      </c>
      <c r="E338">
        <v>935442</v>
      </c>
      <c r="F338" s="1">
        <v>40502</v>
      </c>
      <c r="G338" t="s">
        <v>44</v>
      </c>
      <c r="H338" t="s">
        <v>45</v>
      </c>
      <c r="I338">
        <v>500</v>
      </c>
      <c r="J338">
        <v>1365.46</v>
      </c>
      <c r="K338">
        <v>4000000</v>
      </c>
      <c r="L338">
        <v>466634</v>
      </c>
      <c r="M338" t="s">
        <v>46</v>
      </c>
      <c r="N338" t="s">
        <v>146</v>
      </c>
      <c r="O338" t="s">
        <v>89</v>
      </c>
      <c r="P338" t="s">
        <v>49</v>
      </c>
      <c r="Q338" t="s">
        <v>90</v>
      </c>
      <c r="R338">
        <v>0</v>
      </c>
      <c r="S338">
        <v>-56600</v>
      </c>
      <c r="T338" s="1">
        <v>42040</v>
      </c>
      <c r="U338" t="s">
        <v>80</v>
      </c>
      <c r="V338" t="s">
        <v>52</v>
      </c>
      <c r="W338" t="s">
        <v>68</v>
      </c>
      <c r="X338" t="s">
        <v>104</v>
      </c>
      <c r="Y338" t="s">
        <v>55</v>
      </c>
      <c r="Z338" t="s">
        <v>56</v>
      </c>
      <c r="AA338" t="s">
        <v>520</v>
      </c>
      <c r="AB338">
        <v>14</v>
      </c>
      <c r="AC338" t="str">
        <f t="shared" si="16"/>
        <v>Afternoon</v>
      </c>
      <c r="AD338">
        <v>3</v>
      </c>
      <c r="AE338" t="s">
        <v>84</v>
      </c>
      <c r="AF338">
        <v>2</v>
      </c>
      <c r="AG338">
        <v>1</v>
      </c>
      <c r="AH338" t="s">
        <v>84</v>
      </c>
      <c r="AI338">
        <v>44280</v>
      </c>
      <c r="AJ338">
        <v>4920</v>
      </c>
      <c r="AK338">
        <v>4920</v>
      </c>
      <c r="AL338">
        <v>34440</v>
      </c>
      <c r="AM338" t="s">
        <v>94</v>
      </c>
      <c r="AN338" t="s">
        <v>228</v>
      </c>
      <c r="AO338">
        <v>2015</v>
      </c>
      <c r="AP338">
        <v>2008</v>
      </c>
      <c r="AQ338">
        <f t="shared" si="17"/>
        <v>7</v>
      </c>
      <c r="AR338" t="s">
        <v>87</v>
      </c>
    </row>
    <row r="339" spans="1:44" x14ac:dyDescent="0.25">
      <c r="A339">
        <v>159</v>
      </c>
      <c r="B339" t="str">
        <f t="shared" si="15"/>
        <v>10+ years</v>
      </c>
      <c r="C339">
        <v>37</v>
      </c>
      <c r="D339" t="str" cm="1">
        <f t="array" ref="D339">_xlfn.IFS(C339&lt;26, "19-25", C339&lt;33, "26-32", C339&lt;40, "33-39", C339&lt;47, "40-46",C339&lt;54, "47-53", TRUE, "54+")</f>
        <v>33-39</v>
      </c>
      <c r="E339">
        <v>106873</v>
      </c>
      <c r="F339" s="1">
        <v>36035</v>
      </c>
      <c r="G339" t="s">
        <v>88</v>
      </c>
      <c r="H339" t="s">
        <v>96</v>
      </c>
      <c r="I339">
        <v>1000</v>
      </c>
      <c r="J339">
        <v>894.4</v>
      </c>
      <c r="K339">
        <v>0</v>
      </c>
      <c r="L339">
        <v>446435</v>
      </c>
      <c r="M339" t="s">
        <v>46</v>
      </c>
      <c r="N339" t="s">
        <v>97</v>
      </c>
      <c r="O339" t="s">
        <v>102</v>
      </c>
      <c r="P339" t="s">
        <v>123</v>
      </c>
      <c r="Q339" t="s">
        <v>124</v>
      </c>
      <c r="R339">
        <v>0</v>
      </c>
      <c r="S339">
        <v>-53700</v>
      </c>
      <c r="T339" s="1">
        <v>42011</v>
      </c>
      <c r="U339" t="s">
        <v>51</v>
      </c>
      <c r="V339" t="s">
        <v>81</v>
      </c>
      <c r="W339" t="s">
        <v>112</v>
      </c>
      <c r="X339" t="s">
        <v>54</v>
      </c>
      <c r="Y339" t="s">
        <v>82</v>
      </c>
      <c r="Z339" t="s">
        <v>107</v>
      </c>
      <c r="AA339" t="s">
        <v>521</v>
      </c>
      <c r="AB339">
        <v>13</v>
      </c>
      <c r="AC339" t="str">
        <f t="shared" si="16"/>
        <v>Afternoon</v>
      </c>
      <c r="AD339">
        <v>1</v>
      </c>
      <c r="AE339" t="s">
        <v>58</v>
      </c>
      <c r="AF339">
        <v>2</v>
      </c>
      <c r="AG339">
        <v>0</v>
      </c>
      <c r="AH339" t="s">
        <v>84</v>
      </c>
      <c r="AI339">
        <v>70290</v>
      </c>
      <c r="AJ339">
        <v>7810</v>
      </c>
      <c r="AK339">
        <v>7810</v>
      </c>
      <c r="AL339">
        <v>54670</v>
      </c>
      <c r="AM339" t="s">
        <v>85</v>
      </c>
      <c r="AN339" t="s">
        <v>86</v>
      </c>
      <c r="AO339">
        <v>2015</v>
      </c>
      <c r="AP339">
        <v>1999</v>
      </c>
      <c r="AQ339">
        <f t="shared" si="17"/>
        <v>16</v>
      </c>
      <c r="AR339" t="s">
        <v>87</v>
      </c>
    </row>
    <row r="340" spans="1:44" x14ac:dyDescent="0.25">
      <c r="A340">
        <v>120</v>
      </c>
      <c r="B340" t="str">
        <f t="shared" si="15"/>
        <v>5-10 years</v>
      </c>
      <c r="C340">
        <v>30</v>
      </c>
      <c r="D340" t="str" cm="1">
        <f t="array" ref="D340">_xlfn.IFS(C340&lt;26, "19-25", C340&lt;33, "26-32", C340&lt;40, "33-39", C340&lt;47, "40-46",C340&lt;54, "47-53", TRUE, "54+")</f>
        <v>26-32</v>
      </c>
      <c r="E340">
        <v>563878</v>
      </c>
      <c r="F340" s="1">
        <v>37453</v>
      </c>
      <c r="G340" t="s">
        <v>62</v>
      </c>
      <c r="H340" t="s">
        <v>45</v>
      </c>
      <c r="I340">
        <v>500</v>
      </c>
      <c r="J340">
        <v>956.69</v>
      </c>
      <c r="K340">
        <v>0</v>
      </c>
      <c r="L340">
        <v>438237</v>
      </c>
      <c r="M340" t="s">
        <v>75</v>
      </c>
      <c r="N340" t="s">
        <v>97</v>
      </c>
      <c r="O340" t="s">
        <v>122</v>
      </c>
      <c r="P340" t="s">
        <v>151</v>
      </c>
      <c r="Q340" t="s">
        <v>50</v>
      </c>
      <c r="R340">
        <v>39600</v>
      </c>
      <c r="S340">
        <v>-64300</v>
      </c>
      <c r="T340" s="1">
        <v>42041</v>
      </c>
      <c r="U340" t="s">
        <v>51</v>
      </c>
      <c r="V340" t="s">
        <v>91</v>
      </c>
      <c r="W340" t="s">
        <v>68</v>
      </c>
      <c r="X340" t="s">
        <v>125</v>
      </c>
      <c r="Y340" t="s">
        <v>82</v>
      </c>
      <c r="Z340" t="s">
        <v>127</v>
      </c>
      <c r="AA340" t="s">
        <v>522</v>
      </c>
      <c r="AB340">
        <v>20</v>
      </c>
      <c r="AC340" t="str">
        <f t="shared" si="16"/>
        <v>Evening</v>
      </c>
      <c r="AD340">
        <v>1</v>
      </c>
      <c r="AE340" t="s">
        <v>67</v>
      </c>
      <c r="AF340">
        <v>1</v>
      </c>
      <c r="AG340">
        <v>1</v>
      </c>
      <c r="AH340" t="s">
        <v>58</v>
      </c>
      <c r="AI340">
        <v>87100</v>
      </c>
      <c r="AJ340">
        <v>8710</v>
      </c>
      <c r="AK340">
        <v>8710</v>
      </c>
      <c r="AL340">
        <v>69680</v>
      </c>
      <c r="AM340" t="s">
        <v>59</v>
      </c>
      <c r="AN340" t="s">
        <v>60</v>
      </c>
      <c r="AO340">
        <v>2015</v>
      </c>
      <c r="AP340">
        <v>2000</v>
      </c>
      <c r="AQ340">
        <f t="shared" si="17"/>
        <v>15</v>
      </c>
      <c r="AR340" t="s">
        <v>87</v>
      </c>
    </row>
    <row r="341" spans="1:44" x14ac:dyDescent="0.25">
      <c r="A341">
        <v>212</v>
      </c>
      <c r="B341" t="str">
        <f t="shared" si="15"/>
        <v>10+ years</v>
      </c>
      <c r="C341">
        <v>35</v>
      </c>
      <c r="D341" t="str" cm="1">
        <f t="array" ref="D341">_xlfn.IFS(C341&lt;26, "19-25", C341&lt;33, "26-32", C341&lt;40, "33-39", C341&lt;47, "40-46",C341&lt;54, "47-53", TRUE, "54+")</f>
        <v>33-39</v>
      </c>
      <c r="E341">
        <v>620855</v>
      </c>
      <c r="F341" s="1">
        <v>32992</v>
      </c>
      <c r="G341" t="s">
        <v>62</v>
      </c>
      <c r="H341" t="s">
        <v>96</v>
      </c>
      <c r="I341">
        <v>2000</v>
      </c>
      <c r="J341">
        <v>1123.8900000000001</v>
      </c>
      <c r="K341">
        <v>0</v>
      </c>
      <c r="L341">
        <v>468313</v>
      </c>
      <c r="M341" t="s">
        <v>46</v>
      </c>
      <c r="N341" t="s">
        <v>47</v>
      </c>
      <c r="O341" t="s">
        <v>122</v>
      </c>
      <c r="P341" t="s">
        <v>186</v>
      </c>
      <c r="Q341" t="s">
        <v>90</v>
      </c>
      <c r="R341">
        <v>35400</v>
      </c>
      <c r="S341">
        <v>-49200</v>
      </c>
      <c r="T341" s="1">
        <v>42025</v>
      </c>
      <c r="U341" t="s">
        <v>80</v>
      </c>
      <c r="V341" t="s">
        <v>91</v>
      </c>
      <c r="W341" t="s">
        <v>112</v>
      </c>
      <c r="X341" t="s">
        <v>104</v>
      </c>
      <c r="Y341" t="s">
        <v>82</v>
      </c>
      <c r="Z341" t="s">
        <v>56</v>
      </c>
      <c r="AA341" t="s">
        <v>523</v>
      </c>
      <c r="AB341">
        <v>0</v>
      </c>
      <c r="AC341" t="str">
        <f t="shared" si="16"/>
        <v>Night</v>
      </c>
      <c r="AD341">
        <v>3</v>
      </c>
      <c r="AE341" t="s">
        <v>67</v>
      </c>
      <c r="AF341">
        <v>1</v>
      </c>
      <c r="AG341">
        <v>3</v>
      </c>
      <c r="AH341" t="s">
        <v>67</v>
      </c>
      <c r="AI341">
        <v>50380</v>
      </c>
      <c r="AJ341">
        <v>4580</v>
      </c>
      <c r="AK341">
        <v>4580</v>
      </c>
      <c r="AL341">
        <v>41220</v>
      </c>
      <c r="AM341" t="s">
        <v>158</v>
      </c>
      <c r="AN341" t="s">
        <v>172</v>
      </c>
      <c r="AO341">
        <v>2015</v>
      </c>
      <c r="AP341">
        <v>1996</v>
      </c>
      <c r="AQ341">
        <f t="shared" si="17"/>
        <v>19</v>
      </c>
      <c r="AR341" t="s">
        <v>87</v>
      </c>
    </row>
    <row r="342" spans="1:44" x14ac:dyDescent="0.25">
      <c r="A342">
        <v>290</v>
      </c>
      <c r="B342" t="str">
        <f t="shared" si="15"/>
        <v>10+ years</v>
      </c>
      <c r="C342">
        <v>45</v>
      </c>
      <c r="D342" t="str" cm="1">
        <f t="array" ref="D342">_xlfn.IFS(C342&lt;26, "19-25", C342&lt;33, "26-32", C342&lt;40, "33-39", C342&lt;47, "40-46",C342&lt;54, "47-53", TRUE, "54+")</f>
        <v>40-46</v>
      </c>
      <c r="E342">
        <v>583169</v>
      </c>
      <c r="F342" s="1">
        <v>35827</v>
      </c>
      <c r="G342" t="s">
        <v>88</v>
      </c>
      <c r="H342" t="s">
        <v>74</v>
      </c>
      <c r="I342">
        <v>500</v>
      </c>
      <c r="J342">
        <v>1085.03</v>
      </c>
      <c r="K342">
        <v>0</v>
      </c>
      <c r="L342">
        <v>476303</v>
      </c>
      <c r="M342" t="s">
        <v>75</v>
      </c>
      <c r="N342" t="s">
        <v>166</v>
      </c>
      <c r="O342" t="s">
        <v>77</v>
      </c>
      <c r="P342" t="s">
        <v>247</v>
      </c>
      <c r="Q342" t="s">
        <v>124</v>
      </c>
      <c r="R342">
        <v>0</v>
      </c>
      <c r="S342">
        <v>-61000</v>
      </c>
      <c r="T342" s="1">
        <v>42064</v>
      </c>
      <c r="U342" t="s">
        <v>80</v>
      </c>
      <c r="V342" t="s">
        <v>52</v>
      </c>
      <c r="W342" t="s">
        <v>112</v>
      </c>
      <c r="X342" t="s">
        <v>54</v>
      </c>
      <c r="Y342" t="s">
        <v>69</v>
      </c>
      <c r="Z342" t="s">
        <v>92</v>
      </c>
      <c r="AA342" t="s">
        <v>524</v>
      </c>
      <c r="AB342">
        <v>23</v>
      </c>
      <c r="AC342" t="str">
        <f t="shared" si="16"/>
        <v>Evening</v>
      </c>
      <c r="AD342">
        <v>3</v>
      </c>
      <c r="AE342" t="s">
        <v>58</v>
      </c>
      <c r="AF342">
        <v>2</v>
      </c>
      <c r="AG342">
        <v>2</v>
      </c>
      <c r="AH342" t="s">
        <v>84</v>
      </c>
      <c r="AI342">
        <v>64800</v>
      </c>
      <c r="AJ342">
        <v>12960</v>
      </c>
      <c r="AK342">
        <v>6480</v>
      </c>
      <c r="AL342">
        <v>45360</v>
      </c>
      <c r="AM342" t="s">
        <v>114</v>
      </c>
      <c r="AN342" t="s">
        <v>139</v>
      </c>
      <c r="AO342">
        <v>2015</v>
      </c>
      <c r="AP342">
        <v>2014</v>
      </c>
      <c r="AQ342">
        <f t="shared" si="17"/>
        <v>1</v>
      </c>
      <c r="AR342" t="s">
        <v>61</v>
      </c>
    </row>
    <row r="343" spans="1:44" x14ac:dyDescent="0.25">
      <c r="A343">
        <v>299</v>
      </c>
      <c r="B343" t="str">
        <f t="shared" si="15"/>
        <v>10+ years</v>
      </c>
      <c r="C343">
        <v>42</v>
      </c>
      <c r="D343" t="str" cm="1">
        <f t="array" ref="D343">_xlfn.IFS(C343&lt;26, "19-25", C343&lt;33, "26-32", C343&lt;40, "33-39", C343&lt;47, "40-46",C343&lt;54, "47-53", TRUE, "54+")</f>
        <v>40-46</v>
      </c>
      <c r="E343">
        <v>337677</v>
      </c>
      <c r="F343" s="1">
        <v>39649</v>
      </c>
      <c r="G343" t="s">
        <v>44</v>
      </c>
      <c r="H343" t="s">
        <v>74</v>
      </c>
      <c r="I343">
        <v>2000</v>
      </c>
      <c r="J343">
        <v>1437.33</v>
      </c>
      <c r="K343">
        <v>0</v>
      </c>
      <c r="L343">
        <v>450339</v>
      </c>
      <c r="M343" t="s">
        <v>75</v>
      </c>
      <c r="N343" t="s">
        <v>97</v>
      </c>
      <c r="O343" t="s">
        <v>48</v>
      </c>
      <c r="P343" t="s">
        <v>151</v>
      </c>
      <c r="Q343" t="s">
        <v>124</v>
      </c>
      <c r="R343">
        <v>25000</v>
      </c>
      <c r="S343">
        <v>0</v>
      </c>
      <c r="T343" s="1">
        <v>42059</v>
      </c>
      <c r="U343" t="s">
        <v>51</v>
      </c>
      <c r="V343" t="s">
        <v>81</v>
      </c>
      <c r="W343" t="s">
        <v>68</v>
      </c>
      <c r="X343" t="s">
        <v>125</v>
      </c>
      <c r="Y343" t="s">
        <v>55</v>
      </c>
      <c r="Z343" t="s">
        <v>56</v>
      </c>
      <c r="AA343" t="s">
        <v>525</v>
      </c>
      <c r="AB343">
        <v>13</v>
      </c>
      <c r="AC343" t="str">
        <f t="shared" si="16"/>
        <v>Afternoon</v>
      </c>
      <c r="AD343">
        <v>1</v>
      </c>
      <c r="AE343" t="s">
        <v>58</v>
      </c>
      <c r="AF343">
        <v>1</v>
      </c>
      <c r="AG343">
        <v>3</v>
      </c>
      <c r="AH343" t="s">
        <v>84</v>
      </c>
      <c r="AI343">
        <v>70400</v>
      </c>
      <c r="AJ343">
        <v>12800</v>
      </c>
      <c r="AK343">
        <v>12800</v>
      </c>
      <c r="AL343">
        <v>44800</v>
      </c>
      <c r="AM343" t="s">
        <v>192</v>
      </c>
      <c r="AN343" t="s">
        <v>193</v>
      </c>
      <c r="AO343">
        <v>2015</v>
      </c>
      <c r="AP343">
        <v>2000</v>
      </c>
      <c r="AQ343">
        <f t="shared" si="17"/>
        <v>15</v>
      </c>
      <c r="AR343" t="s">
        <v>87</v>
      </c>
    </row>
    <row r="344" spans="1:44" x14ac:dyDescent="0.25">
      <c r="A344">
        <v>66</v>
      </c>
      <c r="B344" t="str">
        <f t="shared" si="15"/>
        <v>5-10 years</v>
      </c>
      <c r="C344">
        <v>26</v>
      </c>
      <c r="D344" t="str" cm="1">
        <f t="array" ref="D344">_xlfn.IFS(C344&lt;26, "19-25", C344&lt;33, "26-32", C344&lt;40, "33-39", C344&lt;47, "40-46",C344&lt;54, "47-53", TRUE, "54+")</f>
        <v>26-32</v>
      </c>
      <c r="E344">
        <v>445973</v>
      </c>
      <c r="F344" s="1">
        <v>36112</v>
      </c>
      <c r="G344" t="s">
        <v>88</v>
      </c>
      <c r="H344" t="s">
        <v>45</v>
      </c>
      <c r="I344">
        <v>1000</v>
      </c>
      <c r="J344">
        <v>988.29</v>
      </c>
      <c r="K344">
        <v>0</v>
      </c>
      <c r="L344">
        <v>476502</v>
      </c>
      <c r="M344" t="s">
        <v>46</v>
      </c>
      <c r="N344" t="s">
        <v>146</v>
      </c>
      <c r="O344" t="s">
        <v>89</v>
      </c>
      <c r="P344" t="s">
        <v>137</v>
      </c>
      <c r="Q344" t="s">
        <v>79</v>
      </c>
      <c r="R344">
        <v>0</v>
      </c>
      <c r="S344">
        <v>0</v>
      </c>
      <c r="T344" s="1">
        <v>42037</v>
      </c>
      <c r="U344" t="s">
        <v>51</v>
      </c>
      <c r="V344" t="s">
        <v>81</v>
      </c>
      <c r="W344" t="s">
        <v>53</v>
      </c>
      <c r="X344" t="s">
        <v>54</v>
      </c>
      <c r="Y344" t="s">
        <v>82</v>
      </c>
      <c r="Z344" t="s">
        <v>132</v>
      </c>
      <c r="AA344" t="s">
        <v>526</v>
      </c>
      <c r="AB344">
        <v>8</v>
      </c>
      <c r="AC344" t="str">
        <f t="shared" si="16"/>
        <v>Morning</v>
      </c>
      <c r="AD344">
        <v>1</v>
      </c>
      <c r="AE344" t="s">
        <v>67</v>
      </c>
      <c r="AF344">
        <v>2</v>
      </c>
      <c r="AG344">
        <v>2</v>
      </c>
      <c r="AH344" t="s">
        <v>58</v>
      </c>
      <c r="AI344">
        <v>57860</v>
      </c>
      <c r="AJ344">
        <v>0</v>
      </c>
      <c r="AK344">
        <v>10520</v>
      </c>
      <c r="AL344">
        <v>47340</v>
      </c>
      <c r="AM344" t="s">
        <v>158</v>
      </c>
      <c r="AN344" t="s">
        <v>168</v>
      </c>
      <c r="AO344">
        <v>2015</v>
      </c>
      <c r="AP344">
        <v>2008</v>
      </c>
      <c r="AQ344">
        <f t="shared" si="17"/>
        <v>7</v>
      </c>
      <c r="AR344" t="s">
        <v>61</v>
      </c>
    </row>
    <row r="345" spans="1:44" x14ac:dyDescent="0.25">
      <c r="A345">
        <v>334</v>
      </c>
      <c r="B345" t="str">
        <f t="shared" si="15"/>
        <v>10+ years</v>
      </c>
      <c r="C345">
        <v>47</v>
      </c>
      <c r="D345" t="str" cm="1">
        <f t="array" ref="D345">_xlfn.IFS(C345&lt;26, "19-25", C345&lt;33, "26-32", C345&lt;40, "33-39", C345&lt;47, "40-46",C345&lt;54, "47-53", TRUE, "54+")</f>
        <v>47-53</v>
      </c>
      <c r="E345">
        <v>156694</v>
      </c>
      <c r="F345" s="1">
        <v>37035</v>
      </c>
      <c r="G345" t="s">
        <v>88</v>
      </c>
      <c r="H345" t="s">
        <v>96</v>
      </c>
      <c r="I345">
        <v>500</v>
      </c>
      <c r="J345">
        <v>1238.8900000000001</v>
      </c>
      <c r="K345">
        <v>0</v>
      </c>
      <c r="L345">
        <v>600561</v>
      </c>
      <c r="M345" t="s">
        <v>46</v>
      </c>
      <c r="N345" t="s">
        <v>129</v>
      </c>
      <c r="O345" t="s">
        <v>140</v>
      </c>
      <c r="P345" t="s">
        <v>49</v>
      </c>
      <c r="Q345" t="s">
        <v>65</v>
      </c>
      <c r="R345">
        <v>0</v>
      </c>
      <c r="S345">
        <v>0</v>
      </c>
      <c r="T345" s="1">
        <v>42035</v>
      </c>
      <c r="U345" t="s">
        <v>66</v>
      </c>
      <c r="V345" t="s">
        <v>67</v>
      </c>
      <c r="W345" t="s">
        <v>68</v>
      </c>
      <c r="X345" t="s">
        <v>98</v>
      </c>
      <c r="Y345" t="s">
        <v>118</v>
      </c>
      <c r="Z345" t="s">
        <v>132</v>
      </c>
      <c r="AA345" t="s">
        <v>527</v>
      </c>
      <c r="AB345">
        <v>3</v>
      </c>
      <c r="AC345" t="str">
        <f t="shared" si="16"/>
        <v>Night</v>
      </c>
      <c r="AD345">
        <v>1</v>
      </c>
      <c r="AE345" t="s">
        <v>67</v>
      </c>
      <c r="AF345">
        <v>0</v>
      </c>
      <c r="AG345">
        <v>3</v>
      </c>
      <c r="AH345" t="s">
        <v>84</v>
      </c>
      <c r="AI345">
        <v>6240</v>
      </c>
      <c r="AJ345">
        <v>960</v>
      </c>
      <c r="AK345">
        <v>960</v>
      </c>
      <c r="AL345">
        <v>4320</v>
      </c>
      <c r="AM345" t="s">
        <v>134</v>
      </c>
      <c r="AN345" t="s">
        <v>254</v>
      </c>
      <c r="AO345">
        <v>2015</v>
      </c>
      <c r="AP345">
        <v>2011</v>
      </c>
      <c r="AQ345">
        <f t="shared" si="17"/>
        <v>4</v>
      </c>
      <c r="AR345" t="s">
        <v>87</v>
      </c>
    </row>
    <row r="346" spans="1:44" x14ac:dyDescent="0.25">
      <c r="A346">
        <v>216</v>
      </c>
      <c r="B346" t="str">
        <f t="shared" si="15"/>
        <v>10+ years</v>
      </c>
      <c r="C346">
        <v>38</v>
      </c>
      <c r="D346" t="str" cm="1">
        <f t="array" ref="D346">_xlfn.IFS(C346&lt;26, "19-25", C346&lt;33, "26-32", C346&lt;40, "33-39", C346&lt;47, "40-46",C346&lt;54, "47-53", TRUE, "54+")</f>
        <v>33-39</v>
      </c>
      <c r="E346">
        <v>421940</v>
      </c>
      <c r="F346" s="1">
        <v>41793</v>
      </c>
      <c r="G346" t="s">
        <v>62</v>
      </c>
      <c r="H346" t="s">
        <v>74</v>
      </c>
      <c r="I346">
        <v>1000</v>
      </c>
      <c r="J346">
        <v>1384.64</v>
      </c>
      <c r="K346">
        <v>5000000</v>
      </c>
      <c r="L346">
        <v>600754</v>
      </c>
      <c r="M346" t="s">
        <v>75</v>
      </c>
      <c r="N346" t="s">
        <v>97</v>
      </c>
      <c r="O346" t="s">
        <v>102</v>
      </c>
      <c r="P346" t="s">
        <v>78</v>
      </c>
      <c r="Q346" t="s">
        <v>90</v>
      </c>
      <c r="R346">
        <v>0</v>
      </c>
      <c r="S346">
        <v>0</v>
      </c>
      <c r="T346" s="1">
        <v>42013</v>
      </c>
      <c r="U346" t="s">
        <v>51</v>
      </c>
      <c r="V346" t="s">
        <v>81</v>
      </c>
      <c r="W346" t="s">
        <v>112</v>
      </c>
      <c r="X346" t="s">
        <v>54</v>
      </c>
      <c r="Y346" t="s">
        <v>69</v>
      </c>
      <c r="Z346" t="s">
        <v>56</v>
      </c>
      <c r="AA346" t="s">
        <v>528</v>
      </c>
      <c r="AB346">
        <v>16</v>
      </c>
      <c r="AC346" t="str">
        <f t="shared" si="16"/>
        <v>Afternoon</v>
      </c>
      <c r="AD346">
        <v>1</v>
      </c>
      <c r="AE346" t="s">
        <v>67</v>
      </c>
      <c r="AF346">
        <v>2</v>
      </c>
      <c r="AG346">
        <v>3</v>
      </c>
      <c r="AH346" t="s">
        <v>84</v>
      </c>
      <c r="AI346">
        <v>66600</v>
      </c>
      <c r="AJ346">
        <v>16650</v>
      </c>
      <c r="AK346">
        <v>11100</v>
      </c>
      <c r="AL346">
        <v>38850</v>
      </c>
      <c r="AM346" t="s">
        <v>202</v>
      </c>
      <c r="AN346" t="s">
        <v>380</v>
      </c>
      <c r="AO346">
        <v>2015</v>
      </c>
      <c r="AP346">
        <v>2012</v>
      </c>
      <c r="AQ346">
        <f t="shared" si="17"/>
        <v>3</v>
      </c>
      <c r="AR346" t="s">
        <v>61</v>
      </c>
    </row>
    <row r="347" spans="1:44" x14ac:dyDescent="0.25">
      <c r="A347">
        <v>86</v>
      </c>
      <c r="B347" t="str">
        <f t="shared" si="15"/>
        <v>5-10 years</v>
      </c>
      <c r="C347">
        <v>28</v>
      </c>
      <c r="D347" t="str" cm="1">
        <f t="array" ref="D347">_xlfn.IFS(C347&lt;26, "19-25", C347&lt;33, "26-32", C347&lt;40, "33-39", C347&lt;47, "40-46",C347&lt;54, "47-53", TRUE, "54+")</f>
        <v>26-32</v>
      </c>
      <c r="E347">
        <v>613226</v>
      </c>
      <c r="F347" s="1">
        <v>33472</v>
      </c>
      <c r="G347" t="s">
        <v>62</v>
      </c>
      <c r="H347" t="s">
        <v>74</v>
      </c>
      <c r="I347">
        <v>2000</v>
      </c>
      <c r="J347">
        <v>1595.07</v>
      </c>
      <c r="K347">
        <v>0</v>
      </c>
      <c r="L347">
        <v>439304</v>
      </c>
      <c r="M347" t="s">
        <v>46</v>
      </c>
      <c r="N347" t="s">
        <v>76</v>
      </c>
      <c r="O347" t="s">
        <v>150</v>
      </c>
      <c r="P347" t="s">
        <v>154</v>
      </c>
      <c r="Q347" t="s">
        <v>90</v>
      </c>
      <c r="R347">
        <v>75800</v>
      </c>
      <c r="S347">
        <v>0</v>
      </c>
      <c r="T347" s="1">
        <v>42058</v>
      </c>
      <c r="U347" t="s">
        <v>51</v>
      </c>
      <c r="V347" t="s">
        <v>52</v>
      </c>
      <c r="W347" t="s">
        <v>68</v>
      </c>
      <c r="X347" t="s">
        <v>54</v>
      </c>
      <c r="Y347" t="s">
        <v>69</v>
      </c>
      <c r="Z347" t="s">
        <v>127</v>
      </c>
      <c r="AA347" t="s">
        <v>529</v>
      </c>
      <c r="AB347">
        <v>19</v>
      </c>
      <c r="AC347" t="str">
        <f t="shared" si="16"/>
        <v>Evening</v>
      </c>
      <c r="AD347">
        <v>1</v>
      </c>
      <c r="AE347" t="s">
        <v>58</v>
      </c>
      <c r="AF347">
        <v>0</v>
      </c>
      <c r="AG347">
        <v>2</v>
      </c>
      <c r="AH347" t="s">
        <v>58</v>
      </c>
      <c r="AI347">
        <v>70920</v>
      </c>
      <c r="AJ347">
        <v>11820</v>
      </c>
      <c r="AK347">
        <v>11820</v>
      </c>
      <c r="AL347">
        <v>47280</v>
      </c>
      <c r="AM347" t="s">
        <v>202</v>
      </c>
      <c r="AN347" t="s">
        <v>203</v>
      </c>
      <c r="AO347">
        <v>2015</v>
      </c>
      <c r="AP347">
        <v>2002</v>
      </c>
      <c r="AQ347">
        <f t="shared" si="17"/>
        <v>13</v>
      </c>
      <c r="AR347" t="s">
        <v>87</v>
      </c>
    </row>
    <row r="348" spans="1:44" x14ac:dyDescent="0.25">
      <c r="A348">
        <v>429</v>
      </c>
      <c r="B348" t="str">
        <f t="shared" si="15"/>
        <v>10+ years</v>
      </c>
      <c r="C348">
        <v>56</v>
      </c>
      <c r="D348" t="str" cm="1">
        <f t="array" ref="D348">_xlfn.IFS(C348&lt;26, "19-25", C348&lt;33, "26-32", C348&lt;40, "33-39", C348&lt;47, "40-46",C348&lt;54, "47-53", TRUE, "54+")</f>
        <v>54+</v>
      </c>
      <c r="E348">
        <v>804410</v>
      </c>
      <c r="F348" s="1">
        <v>36141</v>
      </c>
      <c r="G348" t="s">
        <v>44</v>
      </c>
      <c r="H348" t="s">
        <v>45</v>
      </c>
      <c r="I348">
        <v>1000</v>
      </c>
      <c r="J348">
        <v>1127.8900000000001</v>
      </c>
      <c r="K348">
        <v>6000000</v>
      </c>
      <c r="L348">
        <v>460722</v>
      </c>
      <c r="M348" t="s">
        <v>46</v>
      </c>
      <c r="N348" t="s">
        <v>97</v>
      </c>
      <c r="O348" t="s">
        <v>63</v>
      </c>
      <c r="P348" t="s">
        <v>137</v>
      </c>
      <c r="Q348" t="s">
        <v>79</v>
      </c>
      <c r="R348">
        <v>67400</v>
      </c>
      <c r="S348">
        <v>-43800</v>
      </c>
      <c r="T348" s="1">
        <v>42032</v>
      </c>
      <c r="U348" t="s">
        <v>51</v>
      </c>
      <c r="V348" t="s">
        <v>81</v>
      </c>
      <c r="W348" t="s">
        <v>68</v>
      </c>
      <c r="X348" t="s">
        <v>141</v>
      </c>
      <c r="Y348" t="s">
        <v>118</v>
      </c>
      <c r="Z348" t="s">
        <v>107</v>
      </c>
      <c r="AA348" t="s">
        <v>530</v>
      </c>
      <c r="AB348">
        <v>0</v>
      </c>
      <c r="AC348" t="str">
        <f t="shared" si="16"/>
        <v>Night</v>
      </c>
      <c r="AD348">
        <v>1</v>
      </c>
      <c r="AE348" t="s">
        <v>58</v>
      </c>
      <c r="AF348">
        <v>2</v>
      </c>
      <c r="AG348">
        <v>0</v>
      </c>
      <c r="AH348" t="s">
        <v>58</v>
      </c>
      <c r="AI348">
        <v>39480</v>
      </c>
      <c r="AJ348">
        <v>6580</v>
      </c>
      <c r="AK348">
        <v>6580</v>
      </c>
      <c r="AL348">
        <v>26320</v>
      </c>
      <c r="AM348" t="s">
        <v>158</v>
      </c>
      <c r="AN348" t="s">
        <v>172</v>
      </c>
      <c r="AO348">
        <v>2015</v>
      </c>
      <c r="AP348">
        <v>2002</v>
      </c>
      <c r="AQ348">
        <f t="shared" si="17"/>
        <v>13</v>
      </c>
      <c r="AR348" t="s">
        <v>87</v>
      </c>
    </row>
    <row r="349" spans="1:44" x14ac:dyDescent="0.25">
      <c r="A349">
        <v>257</v>
      </c>
      <c r="B349" t="str">
        <f t="shared" si="15"/>
        <v>10+ years</v>
      </c>
      <c r="C349">
        <v>43</v>
      </c>
      <c r="D349" t="str" cm="1">
        <f t="array" ref="D349">_xlfn.IFS(C349&lt;26, "19-25", C349&lt;33, "26-32", C349&lt;40, "33-39", C349&lt;47, "40-46",C349&lt;54, "47-53", TRUE, "54+")</f>
        <v>40-46</v>
      </c>
      <c r="E349">
        <v>553565</v>
      </c>
      <c r="F349" s="1">
        <v>36209</v>
      </c>
      <c r="G349" t="s">
        <v>62</v>
      </c>
      <c r="H349" t="s">
        <v>96</v>
      </c>
      <c r="I349">
        <v>2000</v>
      </c>
      <c r="J349">
        <v>929.7</v>
      </c>
      <c r="K349">
        <v>6000000</v>
      </c>
      <c r="L349">
        <v>618632</v>
      </c>
      <c r="M349" t="s">
        <v>75</v>
      </c>
      <c r="N349" t="s">
        <v>76</v>
      </c>
      <c r="O349" t="s">
        <v>164</v>
      </c>
      <c r="P349" t="s">
        <v>111</v>
      </c>
      <c r="Q349" t="s">
        <v>50</v>
      </c>
      <c r="R349">
        <v>46400</v>
      </c>
      <c r="S349">
        <v>-74300</v>
      </c>
      <c r="T349" s="1">
        <v>42018</v>
      </c>
      <c r="U349" t="s">
        <v>51</v>
      </c>
      <c r="V349" t="s">
        <v>91</v>
      </c>
      <c r="W349" t="s">
        <v>112</v>
      </c>
      <c r="X349" t="s">
        <v>125</v>
      </c>
      <c r="Y349" t="s">
        <v>69</v>
      </c>
      <c r="Z349" t="s">
        <v>92</v>
      </c>
      <c r="AA349" t="s">
        <v>531</v>
      </c>
      <c r="AB349">
        <v>12</v>
      </c>
      <c r="AC349" t="str">
        <f t="shared" si="16"/>
        <v>Afternoon</v>
      </c>
      <c r="AD349">
        <v>1</v>
      </c>
      <c r="AE349" t="s">
        <v>67</v>
      </c>
      <c r="AF349">
        <v>2</v>
      </c>
      <c r="AG349">
        <v>2</v>
      </c>
      <c r="AH349" t="s">
        <v>58</v>
      </c>
      <c r="AI349">
        <v>63240</v>
      </c>
      <c r="AJ349">
        <v>10540</v>
      </c>
      <c r="AK349">
        <v>5270</v>
      </c>
      <c r="AL349">
        <v>47430</v>
      </c>
      <c r="AM349" t="s">
        <v>72</v>
      </c>
      <c r="AN349" t="s">
        <v>73</v>
      </c>
      <c r="AO349">
        <v>2015</v>
      </c>
      <c r="AP349">
        <v>2005</v>
      </c>
      <c r="AQ349">
        <f t="shared" si="17"/>
        <v>10</v>
      </c>
      <c r="AR349" t="s">
        <v>87</v>
      </c>
    </row>
    <row r="350" spans="1:44" x14ac:dyDescent="0.25">
      <c r="A350">
        <v>15</v>
      </c>
      <c r="B350" t="str">
        <f t="shared" si="15"/>
        <v>0-2 years</v>
      </c>
      <c r="C350">
        <v>34</v>
      </c>
      <c r="D350" t="str" cm="1">
        <f t="array" ref="D350">_xlfn.IFS(C350&lt;26, "19-25", C350&lt;33, "26-32", C350&lt;40, "33-39", C350&lt;47, "40-46",C350&lt;54, "47-53", TRUE, "54+")</f>
        <v>33-39</v>
      </c>
      <c r="E350">
        <v>399524</v>
      </c>
      <c r="F350" s="1">
        <v>35733</v>
      </c>
      <c r="G350" t="s">
        <v>88</v>
      </c>
      <c r="H350" t="s">
        <v>74</v>
      </c>
      <c r="I350">
        <v>1000</v>
      </c>
      <c r="J350">
        <v>1829.63</v>
      </c>
      <c r="K350">
        <v>0</v>
      </c>
      <c r="L350">
        <v>452204</v>
      </c>
      <c r="M350" t="s">
        <v>46</v>
      </c>
      <c r="N350" t="s">
        <v>166</v>
      </c>
      <c r="O350" t="s">
        <v>102</v>
      </c>
      <c r="P350" t="s">
        <v>247</v>
      </c>
      <c r="Q350" t="s">
        <v>147</v>
      </c>
      <c r="R350">
        <v>56700</v>
      </c>
      <c r="S350">
        <v>0</v>
      </c>
      <c r="T350" s="1">
        <v>42038</v>
      </c>
      <c r="U350" t="s">
        <v>80</v>
      </c>
      <c r="V350" t="s">
        <v>52</v>
      </c>
      <c r="W350" t="s">
        <v>112</v>
      </c>
      <c r="X350" t="s">
        <v>125</v>
      </c>
      <c r="Y350" t="s">
        <v>55</v>
      </c>
      <c r="Z350" t="s">
        <v>92</v>
      </c>
      <c r="AA350" t="s">
        <v>532</v>
      </c>
      <c r="AB350">
        <v>21</v>
      </c>
      <c r="AC350" t="str">
        <f t="shared" si="16"/>
        <v>Evening</v>
      </c>
      <c r="AD350">
        <v>3</v>
      </c>
      <c r="AE350" t="s">
        <v>58</v>
      </c>
      <c r="AF350">
        <v>1</v>
      </c>
      <c r="AG350">
        <v>0</v>
      </c>
      <c r="AH350" t="s">
        <v>67</v>
      </c>
      <c r="AI350">
        <v>67650</v>
      </c>
      <c r="AJ350">
        <v>12300</v>
      </c>
      <c r="AK350">
        <v>6150</v>
      </c>
      <c r="AL350">
        <v>49200</v>
      </c>
      <c r="AM350" t="s">
        <v>114</v>
      </c>
      <c r="AN350" t="s">
        <v>115</v>
      </c>
      <c r="AO350">
        <v>2015</v>
      </c>
      <c r="AP350">
        <v>2009</v>
      </c>
      <c r="AQ350">
        <f t="shared" si="17"/>
        <v>6</v>
      </c>
      <c r="AR350" t="s">
        <v>87</v>
      </c>
    </row>
    <row r="351" spans="1:44" x14ac:dyDescent="0.25">
      <c r="A351">
        <v>230</v>
      </c>
      <c r="B351" t="str">
        <f t="shared" si="15"/>
        <v>10+ years</v>
      </c>
      <c r="C351">
        <v>39</v>
      </c>
      <c r="D351" t="str" cm="1">
        <f t="array" ref="D351">_xlfn.IFS(C351&lt;26, "19-25", C351&lt;33, "26-32", C351&lt;40, "33-39", C351&lt;47, "40-46",C351&lt;54, "47-53", TRUE, "54+")</f>
        <v>33-39</v>
      </c>
      <c r="E351">
        <v>331595</v>
      </c>
      <c r="F351" s="1">
        <v>36493</v>
      </c>
      <c r="G351" t="s">
        <v>88</v>
      </c>
      <c r="H351" t="s">
        <v>74</v>
      </c>
      <c r="I351">
        <v>1000</v>
      </c>
      <c r="J351">
        <v>904.7</v>
      </c>
      <c r="K351">
        <v>7000000</v>
      </c>
      <c r="L351">
        <v>454530</v>
      </c>
      <c r="M351" t="s">
        <v>75</v>
      </c>
      <c r="N351" t="s">
        <v>47</v>
      </c>
      <c r="O351" t="s">
        <v>48</v>
      </c>
      <c r="P351" t="s">
        <v>103</v>
      </c>
      <c r="Q351" t="s">
        <v>90</v>
      </c>
      <c r="R351">
        <v>68600</v>
      </c>
      <c r="S351">
        <v>-22300</v>
      </c>
      <c r="T351" s="1">
        <v>42052</v>
      </c>
      <c r="U351" t="s">
        <v>51</v>
      </c>
      <c r="V351" t="s">
        <v>91</v>
      </c>
      <c r="W351" t="s">
        <v>53</v>
      </c>
      <c r="X351" t="s">
        <v>104</v>
      </c>
      <c r="Y351" t="s">
        <v>55</v>
      </c>
      <c r="Z351" t="s">
        <v>70</v>
      </c>
      <c r="AA351" t="s">
        <v>533</v>
      </c>
      <c r="AB351">
        <v>0</v>
      </c>
      <c r="AC351" t="str">
        <f t="shared" si="16"/>
        <v>Night</v>
      </c>
      <c r="AD351">
        <v>1</v>
      </c>
      <c r="AE351" t="s">
        <v>67</v>
      </c>
      <c r="AF351">
        <v>1</v>
      </c>
      <c r="AG351">
        <v>3</v>
      </c>
      <c r="AH351" t="s">
        <v>84</v>
      </c>
      <c r="AI351">
        <v>74200</v>
      </c>
      <c r="AJ351">
        <v>14840</v>
      </c>
      <c r="AK351">
        <v>14840</v>
      </c>
      <c r="AL351">
        <v>44520</v>
      </c>
      <c r="AM351" t="s">
        <v>100</v>
      </c>
      <c r="AN351" t="s">
        <v>163</v>
      </c>
      <c r="AO351">
        <v>2015</v>
      </c>
      <c r="AP351">
        <v>2002</v>
      </c>
      <c r="AQ351">
        <f t="shared" si="17"/>
        <v>13</v>
      </c>
      <c r="AR351" t="s">
        <v>61</v>
      </c>
    </row>
    <row r="352" spans="1:44" x14ac:dyDescent="0.25">
      <c r="A352">
        <v>250</v>
      </c>
      <c r="B352" t="str">
        <f t="shared" si="15"/>
        <v>10+ years</v>
      </c>
      <c r="C352">
        <v>43</v>
      </c>
      <c r="D352" t="str" cm="1">
        <f t="array" ref="D352">_xlfn.IFS(C352&lt;26, "19-25", C352&lt;33, "26-32", C352&lt;40, "33-39", C352&lt;47, "40-46",C352&lt;54, "47-53", TRUE, "54+")</f>
        <v>40-46</v>
      </c>
      <c r="E352">
        <v>380067</v>
      </c>
      <c r="F352" s="1">
        <v>41462</v>
      </c>
      <c r="G352" t="s">
        <v>44</v>
      </c>
      <c r="H352" t="s">
        <v>96</v>
      </c>
      <c r="I352">
        <v>1000</v>
      </c>
      <c r="J352">
        <v>1243.8399999999999</v>
      </c>
      <c r="K352">
        <v>0</v>
      </c>
      <c r="L352">
        <v>474848</v>
      </c>
      <c r="M352" t="s">
        <v>75</v>
      </c>
      <c r="N352" t="s">
        <v>166</v>
      </c>
      <c r="O352" t="s">
        <v>102</v>
      </c>
      <c r="P352" t="s">
        <v>178</v>
      </c>
      <c r="Q352" t="s">
        <v>79</v>
      </c>
      <c r="R352">
        <v>47900</v>
      </c>
      <c r="S352">
        <v>-73400</v>
      </c>
      <c r="T352" s="1">
        <v>42034</v>
      </c>
      <c r="U352" t="s">
        <v>51</v>
      </c>
      <c r="V352" t="s">
        <v>52</v>
      </c>
      <c r="W352" t="s">
        <v>68</v>
      </c>
      <c r="X352" t="s">
        <v>125</v>
      </c>
      <c r="Y352" t="s">
        <v>69</v>
      </c>
      <c r="Z352" t="s">
        <v>56</v>
      </c>
      <c r="AA352" t="s">
        <v>534</v>
      </c>
      <c r="AB352">
        <v>22</v>
      </c>
      <c r="AC352" t="str">
        <f t="shared" si="16"/>
        <v>Evening</v>
      </c>
      <c r="AD352">
        <v>1</v>
      </c>
      <c r="AE352" t="s">
        <v>58</v>
      </c>
      <c r="AF352">
        <v>1</v>
      </c>
      <c r="AG352">
        <v>3</v>
      </c>
      <c r="AH352" t="s">
        <v>84</v>
      </c>
      <c r="AI352">
        <v>64900</v>
      </c>
      <c r="AJ352">
        <v>12980</v>
      </c>
      <c r="AK352">
        <v>12980</v>
      </c>
      <c r="AL352">
        <v>38940</v>
      </c>
      <c r="AM352" t="s">
        <v>219</v>
      </c>
      <c r="AN352" t="s">
        <v>263</v>
      </c>
      <c r="AO352">
        <v>2015</v>
      </c>
      <c r="AP352">
        <v>2011</v>
      </c>
      <c r="AQ352">
        <f t="shared" si="17"/>
        <v>4</v>
      </c>
      <c r="AR352" t="s">
        <v>87</v>
      </c>
    </row>
    <row r="353" spans="1:44" x14ac:dyDescent="0.25">
      <c r="A353">
        <v>270</v>
      </c>
      <c r="B353" t="str">
        <f t="shared" si="15"/>
        <v>10+ years</v>
      </c>
      <c r="C353">
        <v>44</v>
      </c>
      <c r="D353" t="str" cm="1">
        <f t="array" ref="D353">_xlfn.IFS(C353&lt;26, "19-25", C353&lt;33, "26-32", C353&lt;40, "33-39", C353&lt;47, "40-46",C353&lt;54, "47-53", TRUE, "54+")</f>
        <v>40-46</v>
      </c>
      <c r="E353">
        <v>701521</v>
      </c>
      <c r="F353" s="1">
        <v>37807</v>
      </c>
      <c r="G353" t="s">
        <v>88</v>
      </c>
      <c r="H353" t="s">
        <v>96</v>
      </c>
      <c r="I353">
        <v>2000</v>
      </c>
      <c r="J353">
        <v>1030.95</v>
      </c>
      <c r="K353">
        <v>0</v>
      </c>
      <c r="L353">
        <v>435985</v>
      </c>
      <c r="M353" t="s">
        <v>75</v>
      </c>
      <c r="N353" t="s">
        <v>97</v>
      </c>
      <c r="O353" t="s">
        <v>63</v>
      </c>
      <c r="P353" t="s">
        <v>170</v>
      </c>
      <c r="Q353" t="s">
        <v>65</v>
      </c>
      <c r="R353">
        <v>47200</v>
      </c>
      <c r="S353">
        <v>0</v>
      </c>
      <c r="T353" s="1">
        <v>42038</v>
      </c>
      <c r="U353" t="s">
        <v>80</v>
      </c>
      <c r="V353" t="s">
        <v>81</v>
      </c>
      <c r="W353" t="s">
        <v>53</v>
      </c>
      <c r="X353" t="s">
        <v>141</v>
      </c>
      <c r="Y353" t="s">
        <v>126</v>
      </c>
      <c r="Z353" t="s">
        <v>132</v>
      </c>
      <c r="AA353" t="s">
        <v>535</v>
      </c>
      <c r="AB353">
        <v>20</v>
      </c>
      <c r="AC353" t="str">
        <f t="shared" si="16"/>
        <v>Evening</v>
      </c>
      <c r="AD353">
        <v>3</v>
      </c>
      <c r="AE353" t="s">
        <v>67</v>
      </c>
      <c r="AF353">
        <v>1</v>
      </c>
      <c r="AG353">
        <v>0</v>
      </c>
      <c r="AH353" t="s">
        <v>84</v>
      </c>
      <c r="AI353">
        <v>35900</v>
      </c>
      <c r="AJ353">
        <v>7180</v>
      </c>
      <c r="AK353">
        <v>3590</v>
      </c>
      <c r="AL353">
        <v>25130</v>
      </c>
      <c r="AM353" t="s">
        <v>114</v>
      </c>
      <c r="AN353" t="s">
        <v>139</v>
      </c>
      <c r="AO353">
        <v>2015</v>
      </c>
      <c r="AP353">
        <v>2007</v>
      </c>
      <c r="AQ353">
        <f t="shared" si="17"/>
        <v>8</v>
      </c>
      <c r="AR353" t="s">
        <v>61</v>
      </c>
    </row>
    <row r="354" spans="1:44" x14ac:dyDescent="0.25">
      <c r="A354">
        <v>65</v>
      </c>
      <c r="B354" t="str">
        <f t="shared" si="15"/>
        <v>5-10 years</v>
      </c>
      <c r="C354">
        <v>26</v>
      </c>
      <c r="D354" t="str" cm="1">
        <f t="array" ref="D354">_xlfn.IFS(C354&lt;26, "19-25", C354&lt;33, "26-32", C354&lt;40, "33-39", C354&lt;47, "40-46",C354&lt;54, "47-53", TRUE, "54+")</f>
        <v>26-32</v>
      </c>
      <c r="E354">
        <v>360770</v>
      </c>
      <c r="F354" s="1">
        <v>38616</v>
      </c>
      <c r="G354" t="s">
        <v>62</v>
      </c>
      <c r="H354" t="s">
        <v>74</v>
      </c>
      <c r="I354">
        <v>500</v>
      </c>
      <c r="J354">
        <v>1285.03</v>
      </c>
      <c r="K354">
        <v>3000000</v>
      </c>
      <c r="L354">
        <v>457942</v>
      </c>
      <c r="M354" t="s">
        <v>75</v>
      </c>
      <c r="N354" t="s">
        <v>136</v>
      </c>
      <c r="O354" t="s">
        <v>48</v>
      </c>
      <c r="P354" t="s">
        <v>123</v>
      </c>
      <c r="Q354" t="s">
        <v>90</v>
      </c>
      <c r="R354">
        <v>0</v>
      </c>
      <c r="S354">
        <v>-41500</v>
      </c>
      <c r="T354" s="1">
        <v>42038</v>
      </c>
      <c r="U354" t="s">
        <v>51</v>
      </c>
      <c r="V354" t="s">
        <v>81</v>
      </c>
      <c r="W354" t="s">
        <v>68</v>
      </c>
      <c r="X354" t="s">
        <v>104</v>
      </c>
      <c r="Y354" t="s">
        <v>69</v>
      </c>
      <c r="Z354" t="s">
        <v>70</v>
      </c>
      <c r="AA354" t="s">
        <v>536</v>
      </c>
      <c r="AB354">
        <v>0</v>
      </c>
      <c r="AC354" t="str">
        <f t="shared" si="16"/>
        <v>Night</v>
      </c>
      <c r="AD354">
        <v>1</v>
      </c>
      <c r="AE354" t="s">
        <v>84</v>
      </c>
      <c r="AF354">
        <v>1</v>
      </c>
      <c r="AG354">
        <v>3</v>
      </c>
      <c r="AH354" t="s">
        <v>67</v>
      </c>
      <c r="AI354">
        <v>52200</v>
      </c>
      <c r="AJ354">
        <v>5220</v>
      </c>
      <c r="AK354">
        <v>10440</v>
      </c>
      <c r="AL354">
        <v>36540</v>
      </c>
      <c r="AM354" t="s">
        <v>214</v>
      </c>
      <c r="AN354" t="s">
        <v>230</v>
      </c>
      <c r="AO354">
        <v>2015</v>
      </c>
      <c r="AP354">
        <v>2011</v>
      </c>
      <c r="AQ354">
        <f t="shared" si="17"/>
        <v>4</v>
      </c>
      <c r="AR354" t="s">
        <v>87</v>
      </c>
    </row>
    <row r="355" spans="1:44" x14ac:dyDescent="0.25">
      <c r="A355">
        <v>475</v>
      </c>
      <c r="B355" t="str">
        <f t="shared" si="15"/>
        <v>10+ years</v>
      </c>
      <c r="C355">
        <v>57</v>
      </c>
      <c r="D355" t="str" cm="1">
        <f t="array" ref="D355">_xlfn.IFS(C355&lt;26, "19-25", C355&lt;33, "26-32", C355&lt;40, "33-39", C355&lt;47, "40-46",C355&lt;54, "47-53", TRUE, "54+")</f>
        <v>54+</v>
      </c>
      <c r="E355">
        <v>958785</v>
      </c>
      <c r="F355" s="1">
        <v>34748</v>
      </c>
      <c r="G355" t="s">
        <v>44</v>
      </c>
      <c r="H355" t="s">
        <v>74</v>
      </c>
      <c r="I355">
        <v>500</v>
      </c>
      <c r="J355">
        <v>1216.56</v>
      </c>
      <c r="K355">
        <v>0</v>
      </c>
      <c r="L355">
        <v>436522</v>
      </c>
      <c r="M355" t="s">
        <v>46</v>
      </c>
      <c r="N355" t="s">
        <v>129</v>
      </c>
      <c r="O355" t="s">
        <v>190</v>
      </c>
      <c r="P355" t="s">
        <v>137</v>
      </c>
      <c r="Q355" t="s">
        <v>79</v>
      </c>
      <c r="R355">
        <v>67400</v>
      </c>
      <c r="S355">
        <v>-83200</v>
      </c>
      <c r="T355" s="1">
        <v>42035</v>
      </c>
      <c r="U355" t="s">
        <v>51</v>
      </c>
      <c r="V355" t="s">
        <v>91</v>
      </c>
      <c r="W355" t="s">
        <v>68</v>
      </c>
      <c r="X355" t="s">
        <v>54</v>
      </c>
      <c r="Y355" t="s">
        <v>55</v>
      </c>
      <c r="Z355" t="s">
        <v>127</v>
      </c>
      <c r="AA355" t="s">
        <v>537</v>
      </c>
      <c r="AB355">
        <v>20</v>
      </c>
      <c r="AC355" t="str">
        <f t="shared" si="16"/>
        <v>Evening</v>
      </c>
      <c r="AD355">
        <v>1</v>
      </c>
      <c r="AE355" t="s">
        <v>67</v>
      </c>
      <c r="AF355">
        <v>0</v>
      </c>
      <c r="AG355">
        <v>2</v>
      </c>
      <c r="AH355" t="s">
        <v>84</v>
      </c>
      <c r="AI355">
        <v>78000</v>
      </c>
      <c r="AJ355">
        <v>6500</v>
      </c>
      <c r="AK355">
        <v>13000</v>
      </c>
      <c r="AL355">
        <v>58500</v>
      </c>
      <c r="AM355" t="s">
        <v>158</v>
      </c>
      <c r="AN355" t="s">
        <v>172</v>
      </c>
      <c r="AO355">
        <v>2015</v>
      </c>
      <c r="AP355">
        <v>2000</v>
      </c>
      <c r="AQ355">
        <f t="shared" si="17"/>
        <v>15</v>
      </c>
      <c r="AR355" t="s">
        <v>87</v>
      </c>
    </row>
    <row r="356" spans="1:44" x14ac:dyDescent="0.25">
      <c r="A356">
        <v>77</v>
      </c>
      <c r="B356" t="str">
        <f t="shared" si="15"/>
        <v>5-10 years</v>
      </c>
      <c r="C356">
        <v>27</v>
      </c>
      <c r="D356" t="str" cm="1">
        <f t="array" ref="D356">_xlfn.IFS(C356&lt;26, "19-25", C356&lt;33, "26-32", C356&lt;40, "33-39", C356&lt;47, "40-46",C356&lt;54, "47-53", TRUE, "54+")</f>
        <v>26-32</v>
      </c>
      <c r="E356">
        <v>797934</v>
      </c>
      <c r="F356" s="1">
        <v>36257</v>
      </c>
      <c r="G356" t="s">
        <v>62</v>
      </c>
      <c r="H356" t="s">
        <v>96</v>
      </c>
      <c r="I356">
        <v>2000</v>
      </c>
      <c r="J356">
        <v>966.26</v>
      </c>
      <c r="K356">
        <v>0</v>
      </c>
      <c r="L356">
        <v>471704</v>
      </c>
      <c r="M356" t="s">
        <v>75</v>
      </c>
      <c r="N356" t="s">
        <v>136</v>
      </c>
      <c r="O356" t="s">
        <v>190</v>
      </c>
      <c r="P356" t="s">
        <v>111</v>
      </c>
      <c r="Q356" t="s">
        <v>79</v>
      </c>
      <c r="R356">
        <v>56400</v>
      </c>
      <c r="S356">
        <v>-32800</v>
      </c>
      <c r="T356" s="1">
        <v>42041</v>
      </c>
      <c r="U356" t="s">
        <v>80</v>
      </c>
      <c r="V356" t="s">
        <v>91</v>
      </c>
      <c r="W356" t="s">
        <v>68</v>
      </c>
      <c r="X356" t="s">
        <v>141</v>
      </c>
      <c r="Y356" t="s">
        <v>82</v>
      </c>
      <c r="Z356" t="s">
        <v>107</v>
      </c>
      <c r="AA356" t="s">
        <v>538</v>
      </c>
      <c r="AB356">
        <v>1</v>
      </c>
      <c r="AC356" t="str">
        <f t="shared" si="16"/>
        <v>Night</v>
      </c>
      <c r="AD356">
        <v>3</v>
      </c>
      <c r="AE356" t="s">
        <v>58</v>
      </c>
      <c r="AF356">
        <v>0</v>
      </c>
      <c r="AG356">
        <v>0</v>
      </c>
      <c r="AH356" t="s">
        <v>67</v>
      </c>
      <c r="AI356">
        <v>67200</v>
      </c>
      <c r="AJ356">
        <v>6720</v>
      </c>
      <c r="AK356">
        <v>6720</v>
      </c>
      <c r="AL356">
        <v>53760</v>
      </c>
      <c r="AM356" t="s">
        <v>219</v>
      </c>
      <c r="AN356" t="s">
        <v>220</v>
      </c>
      <c r="AO356">
        <v>2015</v>
      </c>
      <c r="AP356">
        <v>1995</v>
      </c>
      <c r="AQ356">
        <f t="shared" si="17"/>
        <v>20</v>
      </c>
      <c r="AR356" t="s">
        <v>87</v>
      </c>
    </row>
    <row r="357" spans="1:44" x14ac:dyDescent="0.25">
      <c r="A357">
        <v>256</v>
      </c>
      <c r="B357" t="str">
        <f t="shared" si="15"/>
        <v>10+ years</v>
      </c>
      <c r="C357">
        <v>43</v>
      </c>
      <c r="D357" t="str" cm="1">
        <f t="array" ref="D357">_xlfn.IFS(C357&lt;26, "19-25", C357&lt;33, "26-32", C357&lt;40, "33-39", C357&lt;47, "40-46",C357&lt;54, "47-53", TRUE, "54+")</f>
        <v>40-46</v>
      </c>
      <c r="E357">
        <v>883980</v>
      </c>
      <c r="F357" s="1">
        <v>41986</v>
      </c>
      <c r="G357" t="s">
        <v>44</v>
      </c>
      <c r="H357" t="s">
        <v>74</v>
      </c>
      <c r="I357">
        <v>500</v>
      </c>
      <c r="J357">
        <v>1203.17</v>
      </c>
      <c r="K357">
        <v>0</v>
      </c>
      <c r="L357">
        <v>455810</v>
      </c>
      <c r="M357" t="s">
        <v>75</v>
      </c>
      <c r="N357" t="s">
        <v>47</v>
      </c>
      <c r="O357" t="s">
        <v>106</v>
      </c>
      <c r="P357" t="s">
        <v>117</v>
      </c>
      <c r="Q357" t="s">
        <v>90</v>
      </c>
      <c r="R357">
        <v>56700</v>
      </c>
      <c r="S357">
        <v>-65600</v>
      </c>
      <c r="T357" s="1">
        <v>42041</v>
      </c>
      <c r="U357" t="s">
        <v>51</v>
      </c>
      <c r="V357" t="s">
        <v>81</v>
      </c>
      <c r="W357" t="s">
        <v>112</v>
      </c>
      <c r="X357" t="s">
        <v>104</v>
      </c>
      <c r="Y357" t="s">
        <v>118</v>
      </c>
      <c r="Z357" t="s">
        <v>127</v>
      </c>
      <c r="AA357" t="s">
        <v>539</v>
      </c>
      <c r="AB357">
        <v>11</v>
      </c>
      <c r="AC357" t="str">
        <f t="shared" si="16"/>
        <v>Morning</v>
      </c>
      <c r="AD357">
        <v>1</v>
      </c>
      <c r="AE357" t="s">
        <v>84</v>
      </c>
      <c r="AF357">
        <v>0</v>
      </c>
      <c r="AG357">
        <v>0</v>
      </c>
      <c r="AH357" t="s">
        <v>67</v>
      </c>
      <c r="AI357">
        <v>63250</v>
      </c>
      <c r="AJ357">
        <v>11500</v>
      </c>
      <c r="AK357">
        <v>5750</v>
      </c>
      <c r="AL357">
        <v>46000</v>
      </c>
      <c r="AM357" t="s">
        <v>109</v>
      </c>
      <c r="AN357" t="s">
        <v>292</v>
      </c>
      <c r="AO357">
        <v>2015</v>
      </c>
      <c r="AP357">
        <v>1997</v>
      </c>
      <c r="AQ357">
        <f t="shared" si="17"/>
        <v>18</v>
      </c>
      <c r="AR357" t="s">
        <v>87</v>
      </c>
    </row>
    <row r="358" spans="1:44" x14ac:dyDescent="0.25">
      <c r="A358">
        <v>229</v>
      </c>
      <c r="B358" t="str">
        <f t="shared" si="15"/>
        <v>10+ years</v>
      </c>
      <c r="C358">
        <v>37</v>
      </c>
      <c r="D358" t="str" cm="1">
        <f t="array" ref="D358">_xlfn.IFS(C358&lt;26, "19-25", C358&lt;33, "26-32", C358&lt;40, "33-39", C358&lt;47, "40-46",C358&lt;54, "47-53", TRUE, "54+")</f>
        <v>33-39</v>
      </c>
      <c r="E358">
        <v>340614</v>
      </c>
      <c r="F358" s="1">
        <v>35582</v>
      </c>
      <c r="G358" t="s">
        <v>88</v>
      </c>
      <c r="H358" t="s">
        <v>45</v>
      </c>
      <c r="I358">
        <v>2000</v>
      </c>
      <c r="J358">
        <v>1212.1199999999999</v>
      </c>
      <c r="K358">
        <v>0</v>
      </c>
      <c r="L358">
        <v>446544</v>
      </c>
      <c r="M358" t="s">
        <v>75</v>
      </c>
      <c r="N358" t="s">
        <v>47</v>
      </c>
      <c r="O358" t="s">
        <v>48</v>
      </c>
      <c r="P358" t="s">
        <v>170</v>
      </c>
      <c r="Q358" t="s">
        <v>147</v>
      </c>
      <c r="R358">
        <v>65600</v>
      </c>
      <c r="S358">
        <v>0</v>
      </c>
      <c r="T358" s="1">
        <v>42033</v>
      </c>
      <c r="U358" t="s">
        <v>80</v>
      </c>
      <c r="V358" t="s">
        <v>52</v>
      </c>
      <c r="W358" t="s">
        <v>53</v>
      </c>
      <c r="X358" t="s">
        <v>125</v>
      </c>
      <c r="Y358" t="s">
        <v>118</v>
      </c>
      <c r="Z358" t="s">
        <v>56</v>
      </c>
      <c r="AA358" t="s">
        <v>540</v>
      </c>
      <c r="AB358">
        <v>14</v>
      </c>
      <c r="AC358" t="str">
        <f t="shared" si="16"/>
        <v>Afternoon</v>
      </c>
      <c r="AD358">
        <v>3</v>
      </c>
      <c r="AE358" t="s">
        <v>58</v>
      </c>
      <c r="AF358">
        <v>1</v>
      </c>
      <c r="AG358">
        <v>1</v>
      </c>
      <c r="AH358" t="s">
        <v>58</v>
      </c>
      <c r="AI358">
        <v>68760</v>
      </c>
      <c r="AJ358">
        <v>11460</v>
      </c>
      <c r="AK358">
        <v>5730</v>
      </c>
      <c r="AL358">
        <v>51570</v>
      </c>
      <c r="AM358" t="s">
        <v>134</v>
      </c>
      <c r="AN358" t="s">
        <v>254</v>
      </c>
      <c r="AO358">
        <v>2015</v>
      </c>
      <c r="AP358">
        <v>1995</v>
      </c>
      <c r="AQ358">
        <f t="shared" si="17"/>
        <v>20</v>
      </c>
      <c r="AR358" t="s">
        <v>87</v>
      </c>
    </row>
    <row r="359" spans="1:44" x14ac:dyDescent="0.25">
      <c r="A359">
        <v>110</v>
      </c>
      <c r="B359" t="str">
        <f t="shared" si="15"/>
        <v>5-10 years</v>
      </c>
      <c r="C359">
        <v>28</v>
      </c>
      <c r="D359" t="str" cm="1">
        <f t="array" ref="D359">_xlfn.IFS(C359&lt;26, "19-25", C359&lt;33, "26-32", C359&lt;40, "33-39", C359&lt;47, "40-46",C359&lt;54, "47-53", TRUE, "54+")</f>
        <v>26-32</v>
      </c>
      <c r="E359">
        <v>435784</v>
      </c>
      <c r="F359" s="1">
        <v>41468</v>
      </c>
      <c r="G359" t="s">
        <v>44</v>
      </c>
      <c r="H359" t="s">
        <v>45</v>
      </c>
      <c r="I359">
        <v>1000</v>
      </c>
      <c r="J359">
        <v>1573.93</v>
      </c>
      <c r="K359">
        <v>0</v>
      </c>
      <c r="L359">
        <v>461919</v>
      </c>
      <c r="M359" t="s">
        <v>46</v>
      </c>
      <c r="N359" t="s">
        <v>146</v>
      </c>
      <c r="O359" t="s">
        <v>116</v>
      </c>
      <c r="P359" t="s">
        <v>151</v>
      </c>
      <c r="Q359" t="s">
        <v>65</v>
      </c>
      <c r="R359">
        <v>30400</v>
      </c>
      <c r="S359">
        <v>0</v>
      </c>
      <c r="T359" s="1">
        <v>42011</v>
      </c>
      <c r="U359" t="s">
        <v>80</v>
      </c>
      <c r="V359" t="s">
        <v>52</v>
      </c>
      <c r="W359" t="s">
        <v>68</v>
      </c>
      <c r="X359" t="s">
        <v>54</v>
      </c>
      <c r="Y359" t="s">
        <v>82</v>
      </c>
      <c r="Z359" t="s">
        <v>107</v>
      </c>
      <c r="AA359" t="s">
        <v>541</v>
      </c>
      <c r="AB359">
        <v>20</v>
      </c>
      <c r="AC359" t="str">
        <f t="shared" si="16"/>
        <v>Evening</v>
      </c>
      <c r="AD359">
        <v>3</v>
      </c>
      <c r="AE359" t="s">
        <v>58</v>
      </c>
      <c r="AF359">
        <v>0</v>
      </c>
      <c r="AG359">
        <v>2</v>
      </c>
      <c r="AH359" t="s">
        <v>67</v>
      </c>
      <c r="AI359">
        <v>65040</v>
      </c>
      <c r="AJ359">
        <v>10840</v>
      </c>
      <c r="AK359">
        <v>10840</v>
      </c>
      <c r="AL359">
        <v>43360</v>
      </c>
      <c r="AM359" t="s">
        <v>158</v>
      </c>
      <c r="AN359" t="s">
        <v>168</v>
      </c>
      <c r="AO359">
        <v>2015</v>
      </c>
      <c r="AP359">
        <v>2010</v>
      </c>
      <c r="AQ359">
        <f t="shared" si="17"/>
        <v>5</v>
      </c>
      <c r="AR359" t="s">
        <v>87</v>
      </c>
    </row>
    <row r="360" spans="1:44" x14ac:dyDescent="0.25">
      <c r="A360">
        <v>177</v>
      </c>
      <c r="B360" t="str">
        <f t="shared" si="15"/>
        <v>10+ years</v>
      </c>
      <c r="C360">
        <v>33</v>
      </c>
      <c r="D360" t="str" cm="1">
        <f t="array" ref="D360">_xlfn.IFS(C360&lt;26, "19-25", C360&lt;33, "26-32", C360&lt;40, "33-39", C360&lt;47, "40-46",C360&lt;54, "47-53", TRUE, "54+")</f>
        <v>33-39</v>
      </c>
      <c r="E360">
        <v>563837</v>
      </c>
      <c r="F360" s="1">
        <v>37620</v>
      </c>
      <c r="G360" t="s">
        <v>88</v>
      </c>
      <c r="H360" t="s">
        <v>74</v>
      </c>
      <c r="I360">
        <v>1000</v>
      </c>
      <c r="J360">
        <v>1609.67</v>
      </c>
      <c r="K360">
        <v>0</v>
      </c>
      <c r="L360">
        <v>470128</v>
      </c>
      <c r="M360" t="s">
        <v>46</v>
      </c>
      <c r="N360" t="s">
        <v>146</v>
      </c>
      <c r="O360" t="s">
        <v>190</v>
      </c>
      <c r="P360" t="s">
        <v>160</v>
      </c>
      <c r="Q360" t="s">
        <v>124</v>
      </c>
      <c r="R360">
        <v>0</v>
      </c>
      <c r="S360">
        <v>-13200</v>
      </c>
      <c r="T360" s="1">
        <v>42024</v>
      </c>
      <c r="U360" t="s">
        <v>51</v>
      </c>
      <c r="V360" t="s">
        <v>52</v>
      </c>
      <c r="W360" t="s">
        <v>53</v>
      </c>
      <c r="X360" t="s">
        <v>141</v>
      </c>
      <c r="Y360" t="s">
        <v>55</v>
      </c>
      <c r="Z360" t="s">
        <v>107</v>
      </c>
      <c r="AA360" t="s">
        <v>542</v>
      </c>
      <c r="AB360">
        <v>22</v>
      </c>
      <c r="AC360" t="str">
        <f t="shared" si="16"/>
        <v>Evening</v>
      </c>
      <c r="AD360">
        <v>1</v>
      </c>
      <c r="AE360" t="s">
        <v>67</v>
      </c>
      <c r="AF360">
        <v>1</v>
      </c>
      <c r="AG360">
        <v>3</v>
      </c>
      <c r="AH360" t="s">
        <v>67</v>
      </c>
      <c r="AI360">
        <v>82800</v>
      </c>
      <c r="AJ360">
        <v>20700</v>
      </c>
      <c r="AK360">
        <v>13800</v>
      </c>
      <c r="AL360">
        <v>48300</v>
      </c>
      <c r="AM360" t="s">
        <v>202</v>
      </c>
      <c r="AN360" t="s">
        <v>380</v>
      </c>
      <c r="AO360">
        <v>2015</v>
      </c>
      <c r="AP360">
        <v>2004</v>
      </c>
      <c r="AQ360">
        <f t="shared" si="17"/>
        <v>11</v>
      </c>
      <c r="AR360" t="s">
        <v>61</v>
      </c>
    </row>
    <row r="361" spans="1:44" x14ac:dyDescent="0.25">
      <c r="A361">
        <v>292</v>
      </c>
      <c r="B361" t="str">
        <f t="shared" si="15"/>
        <v>10+ years</v>
      </c>
      <c r="C361">
        <v>44</v>
      </c>
      <c r="D361" t="str" cm="1">
        <f t="array" ref="D361">_xlfn.IFS(C361&lt;26, "19-25", C361&lt;33, "26-32", C361&lt;40, "33-39", C361&lt;47, "40-46",C361&lt;54, "47-53", TRUE, "54+")</f>
        <v>40-46</v>
      </c>
      <c r="E361">
        <v>200827</v>
      </c>
      <c r="F361" s="1">
        <v>35489</v>
      </c>
      <c r="G361" t="s">
        <v>44</v>
      </c>
      <c r="H361" t="s">
        <v>96</v>
      </c>
      <c r="I361">
        <v>500</v>
      </c>
      <c r="J361">
        <v>1097.57</v>
      </c>
      <c r="K361">
        <v>0</v>
      </c>
      <c r="L361">
        <v>462836</v>
      </c>
      <c r="M361" t="s">
        <v>46</v>
      </c>
      <c r="N361" t="s">
        <v>76</v>
      </c>
      <c r="O361" t="s">
        <v>122</v>
      </c>
      <c r="P361" t="s">
        <v>184</v>
      </c>
      <c r="Q361" t="s">
        <v>90</v>
      </c>
      <c r="R361">
        <v>0</v>
      </c>
      <c r="S361">
        <v>0</v>
      </c>
      <c r="T361" s="1">
        <v>42063</v>
      </c>
      <c r="U361" t="s">
        <v>51</v>
      </c>
      <c r="V361" t="s">
        <v>52</v>
      </c>
      <c r="W361" t="s">
        <v>112</v>
      </c>
      <c r="X361" t="s">
        <v>125</v>
      </c>
      <c r="Y361" t="s">
        <v>55</v>
      </c>
      <c r="Z361" t="s">
        <v>56</v>
      </c>
      <c r="AA361" t="s">
        <v>543</v>
      </c>
      <c r="AB361">
        <v>12</v>
      </c>
      <c r="AC361" t="str">
        <f t="shared" si="16"/>
        <v>Afternoon</v>
      </c>
      <c r="AD361">
        <v>1</v>
      </c>
      <c r="AE361" t="s">
        <v>84</v>
      </c>
      <c r="AF361">
        <v>1</v>
      </c>
      <c r="AG361">
        <v>0</v>
      </c>
      <c r="AH361" t="s">
        <v>58</v>
      </c>
      <c r="AI361">
        <v>61700</v>
      </c>
      <c r="AJ361">
        <v>6170</v>
      </c>
      <c r="AK361">
        <v>6170</v>
      </c>
      <c r="AL361">
        <v>49360</v>
      </c>
      <c r="AM361" t="s">
        <v>59</v>
      </c>
      <c r="AN361">
        <v>93</v>
      </c>
      <c r="AO361">
        <v>2015</v>
      </c>
      <c r="AP361">
        <v>2005</v>
      </c>
      <c r="AQ361">
        <f t="shared" si="17"/>
        <v>10</v>
      </c>
      <c r="AR361" t="s">
        <v>87</v>
      </c>
    </row>
    <row r="362" spans="1:44" x14ac:dyDescent="0.25">
      <c r="A362">
        <v>451</v>
      </c>
      <c r="B362" t="str">
        <f t="shared" si="15"/>
        <v>10+ years</v>
      </c>
      <c r="C362">
        <v>61</v>
      </c>
      <c r="D362" t="str" cm="1">
        <f t="array" ref="D362">_xlfn.IFS(C362&lt;26, "19-25", C362&lt;33, "26-32", C362&lt;40, "33-39", C362&lt;47, "40-46",C362&lt;54, "47-53", TRUE, "54+")</f>
        <v>54+</v>
      </c>
      <c r="E362">
        <v>533941</v>
      </c>
      <c r="F362" s="1">
        <v>35964</v>
      </c>
      <c r="G362" t="s">
        <v>62</v>
      </c>
      <c r="H362" t="s">
        <v>45</v>
      </c>
      <c r="I362">
        <v>2000</v>
      </c>
      <c r="J362">
        <v>1618.65</v>
      </c>
      <c r="K362">
        <v>2000000</v>
      </c>
      <c r="L362">
        <v>475407</v>
      </c>
      <c r="M362" t="s">
        <v>75</v>
      </c>
      <c r="N362" t="s">
        <v>97</v>
      </c>
      <c r="O362" t="s">
        <v>150</v>
      </c>
      <c r="P362" t="s">
        <v>178</v>
      </c>
      <c r="Q362" t="s">
        <v>90</v>
      </c>
      <c r="R362">
        <v>0</v>
      </c>
      <c r="S362">
        <v>-42600</v>
      </c>
      <c r="T362" s="1">
        <v>42039</v>
      </c>
      <c r="U362" t="s">
        <v>80</v>
      </c>
      <c r="V362" t="s">
        <v>81</v>
      </c>
      <c r="W362" t="s">
        <v>53</v>
      </c>
      <c r="X362" t="s">
        <v>141</v>
      </c>
      <c r="Y362" t="s">
        <v>44</v>
      </c>
      <c r="Z362" t="s">
        <v>56</v>
      </c>
      <c r="AA362" t="s">
        <v>544</v>
      </c>
      <c r="AB362">
        <v>3</v>
      </c>
      <c r="AC362" t="str">
        <f t="shared" si="16"/>
        <v>Night</v>
      </c>
      <c r="AD362">
        <v>3</v>
      </c>
      <c r="AE362" t="s">
        <v>58</v>
      </c>
      <c r="AF362">
        <v>2</v>
      </c>
      <c r="AG362">
        <v>1</v>
      </c>
      <c r="AH362" t="s">
        <v>58</v>
      </c>
      <c r="AI362">
        <v>78100</v>
      </c>
      <c r="AJ362">
        <v>15620</v>
      </c>
      <c r="AK362">
        <v>7810</v>
      </c>
      <c r="AL362">
        <v>54670</v>
      </c>
      <c r="AM362" t="s">
        <v>94</v>
      </c>
      <c r="AN362" t="s">
        <v>95</v>
      </c>
      <c r="AO362">
        <v>2015</v>
      </c>
      <c r="AP362">
        <v>1997</v>
      </c>
      <c r="AQ362">
        <f t="shared" si="17"/>
        <v>18</v>
      </c>
      <c r="AR362" t="s">
        <v>61</v>
      </c>
    </row>
    <row r="363" spans="1:44" x14ac:dyDescent="0.25">
      <c r="A363">
        <v>61</v>
      </c>
      <c r="B363" t="str">
        <f t="shared" si="15"/>
        <v>5-10 years</v>
      </c>
      <c r="C363">
        <v>24</v>
      </c>
      <c r="D363" t="str" cm="1">
        <f t="array" ref="D363">_xlfn.IFS(C363&lt;26, "19-25", C363&lt;33, "26-32", C363&lt;40, "33-39", C363&lt;47, "40-46",C363&lt;54, "47-53", TRUE, "54+")</f>
        <v>19-25</v>
      </c>
      <c r="E363">
        <v>265026</v>
      </c>
      <c r="F363" s="1">
        <v>35103</v>
      </c>
      <c r="G363" t="s">
        <v>62</v>
      </c>
      <c r="H363" t="s">
        <v>74</v>
      </c>
      <c r="I363">
        <v>500</v>
      </c>
      <c r="J363">
        <v>922.67</v>
      </c>
      <c r="K363">
        <v>0</v>
      </c>
      <c r="L363">
        <v>473611</v>
      </c>
      <c r="M363" t="s">
        <v>75</v>
      </c>
      <c r="N363" t="s">
        <v>146</v>
      </c>
      <c r="O363" t="s">
        <v>122</v>
      </c>
      <c r="P363" t="s">
        <v>170</v>
      </c>
      <c r="Q363" t="s">
        <v>65</v>
      </c>
      <c r="R363">
        <v>47400</v>
      </c>
      <c r="S363">
        <v>0</v>
      </c>
      <c r="T363" s="1">
        <v>42016</v>
      </c>
      <c r="U363" t="s">
        <v>80</v>
      </c>
      <c r="V363" t="s">
        <v>81</v>
      </c>
      <c r="W363" t="s">
        <v>53</v>
      </c>
      <c r="X363" t="s">
        <v>141</v>
      </c>
      <c r="Y363" t="s">
        <v>55</v>
      </c>
      <c r="Z363" t="s">
        <v>132</v>
      </c>
      <c r="AA363" t="s">
        <v>545</v>
      </c>
      <c r="AB363">
        <v>15</v>
      </c>
      <c r="AC363" t="str">
        <f t="shared" si="16"/>
        <v>Afternoon</v>
      </c>
      <c r="AD363">
        <v>3</v>
      </c>
      <c r="AE363" t="s">
        <v>58</v>
      </c>
      <c r="AF363">
        <v>2</v>
      </c>
      <c r="AG363">
        <v>1</v>
      </c>
      <c r="AH363" t="s">
        <v>67</v>
      </c>
      <c r="AI363">
        <v>65520</v>
      </c>
      <c r="AJ363">
        <v>9360</v>
      </c>
      <c r="AK363">
        <v>9360</v>
      </c>
      <c r="AL363">
        <v>46800</v>
      </c>
      <c r="AM363" t="s">
        <v>120</v>
      </c>
      <c r="AN363" t="s">
        <v>145</v>
      </c>
      <c r="AO363">
        <v>2015</v>
      </c>
      <c r="AP363">
        <v>2011</v>
      </c>
      <c r="AQ363">
        <f t="shared" si="17"/>
        <v>4</v>
      </c>
      <c r="AR363" t="s">
        <v>61</v>
      </c>
    </row>
    <row r="364" spans="1:44" x14ac:dyDescent="0.25">
      <c r="A364">
        <v>150</v>
      </c>
      <c r="B364" t="str">
        <f t="shared" si="15"/>
        <v>10+ years</v>
      </c>
      <c r="C364">
        <v>30</v>
      </c>
      <c r="D364" t="str" cm="1">
        <f t="array" ref="D364">_xlfn.IFS(C364&lt;26, "19-25", C364&lt;33, "26-32", C364&lt;40, "33-39", C364&lt;47, "40-46",C364&lt;54, "47-53", TRUE, "54+")</f>
        <v>26-32</v>
      </c>
      <c r="E364">
        <v>354481</v>
      </c>
      <c r="F364" s="1">
        <v>38308</v>
      </c>
      <c r="G364" t="s">
        <v>62</v>
      </c>
      <c r="H364" t="s">
        <v>74</v>
      </c>
      <c r="I364">
        <v>1000</v>
      </c>
      <c r="J364">
        <v>1342.02</v>
      </c>
      <c r="K364">
        <v>0</v>
      </c>
      <c r="L364">
        <v>608425</v>
      </c>
      <c r="M364" t="s">
        <v>46</v>
      </c>
      <c r="N364" t="s">
        <v>47</v>
      </c>
      <c r="O364" t="s">
        <v>106</v>
      </c>
      <c r="P364" t="s">
        <v>178</v>
      </c>
      <c r="Q364" t="s">
        <v>79</v>
      </c>
      <c r="R364">
        <v>0</v>
      </c>
      <c r="S364">
        <v>0</v>
      </c>
      <c r="T364" s="1">
        <v>42063</v>
      </c>
      <c r="U364" t="s">
        <v>143</v>
      </c>
      <c r="V364" t="s">
        <v>67</v>
      </c>
      <c r="W364" t="s">
        <v>217</v>
      </c>
      <c r="X364" t="s">
        <v>98</v>
      </c>
      <c r="Y364" t="s">
        <v>69</v>
      </c>
      <c r="Z364" t="s">
        <v>92</v>
      </c>
      <c r="AA364" t="s">
        <v>546</v>
      </c>
      <c r="AB364">
        <v>8</v>
      </c>
      <c r="AC364" t="str">
        <f t="shared" si="16"/>
        <v>Morning</v>
      </c>
      <c r="AD364">
        <v>1</v>
      </c>
      <c r="AE364" t="s">
        <v>58</v>
      </c>
      <c r="AF364">
        <v>0</v>
      </c>
      <c r="AG364">
        <v>2</v>
      </c>
      <c r="AH364" t="s">
        <v>84</v>
      </c>
      <c r="AI364">
        <v>4500</v>
      </c>
      <c r="AJ364">
        <v>450</v>
      </c>
      <c r="AK364">
        <v>450</v>
      </c>
      <c r="AL364">
        <v>3600</v>
      </c>
      <c r="AM364" t="s">
        <v>59</v>
      </c>
      <c r="AN364">
        <v>93</v>
      </c>
      <c r="AO364">
        <v>2015</v>
      </c>
      <c r="AP364">
        <v>1999</v>
      </c>
      <c r="AQ364">
        <f t="shared" si="17"/>
        <v>16</v>
      </c>
      <c r="AR364" t="s">
        <v>87</v>
      </c>
    </row>
    <row r="365" spans="1:44" x14ac:dyDescent="0.25">
      <c r="A365">
        <v>283</v>
      </c>
      <c r="B365" t="str">
        <f t="shared" si="15"/>
        <v>10+ years</v>
      </c>
      <c r="C365">
        <v>41</v>
      </c>
      <c r="D365" t="str" cm="1">
        <f t="array" ref="D365">_xlfn.IFS(C365&lt;26, "19-25", C365&lt;33, "26-32", C365&lt;40, "33-39", C365&lt;47, "40-46",C365&lt;54, "47-53", TRUE, "54+")</f>
        <v>40-46</v>
      </c>
      <c r="E365">
        <v>566720</v>
      </c>
      <c r="F365" s="1">
        <v>41207</v>
      </c>
      <c r="G365" t="s">
        <v>44</v>
      </c>
      <c r="H365" t="s">
        <v>74</v>
      </c>
      <c r="I365">
        <v>500</v>
      </c>
      <c r="J365">
        <v>1195.01</v>
      </c>
      <c r="K365">
        <v>0</v>
      </c>
      <c r="L365">
        <v>476227</v>
      </c>
      <c r="M365" t="s">
        <v>75</v>
      </c>
      <c r="N365" t="s">
        <v>97</v>
      </c>
      <c r="O365" t="s">
        <v>77</v>
      </c>
      <c r="P365" t="s">
        <v>64</v>
      </c>
      <c r="Q365" t="s">
        <v>79</v>
      </c>
      <c r="R365">
        <v>60700</v>
      </c>
      <c r="S365">
        <v>-54300</v>
      </c>
      <c r="T365" s="1">
        <v>42012</v>
      </c>
      <c r="U365" t="s">
        <v>80</v>
      </c>
      <c r="V365" t="s">
        <v>52</v>
      </c>
      <c r="W365" t="s">
        <v>53</v>
      </c>
      <c r="X365" t="s">
        <v>125</v>
      </c>
      <c r="Y365" t="s">
        <v>118</v>
      </c>
      <c r="Z365" t="s">
        <v>132</v>
      </c>
      <c r="AA365" t="s">
        <v>547</v>
      </c>
      <c r="AB365">
        <v>13</v>
      </c>
      <c r="AC365" t="str">
        <f t="shared" si="16"/>
        <v>Afternoon</v>
      </c>
      <c r="AD365">
        <v>3</v>
      </c>
      <c r="AE365" t="s">
        <v>84</v>
      </c>
      <c r="AF365">
        <v>0</v>
      </c>
      <c r="AG365">
        <v>2</v>
      </c>
      <c r="AH365" t="s">
        <v>67</v>
      </c>
      <c r="AI365">
        <v>42700</v>
      </c>
      <c r="AJ365">
        <v>0</v>
      </c>
      <c r="AK365">
        <v>6100</v>
      </c>
      <c r="AL365">
        <v>36600</v>
      </c>
      <c r="AM365" t="s">
        <v>72</v>
      </c>
      <c r="AN365" t="s">
        <v>276</v>
      </c>
      <c r="AO365">
        <v>2015</v>
      </c>
      <c r="AP365">
        <v>2011</v>
      </c>
      <c r="AQ365">
        <f t="shared" si="17"/>
        <v>4</v>
      </c>
      <c r="AR365" t="s">
        <v>61</v>
      </c>
    </row>
    <row r="366" spans="1:44" x14ac:dyDescent="0.25">
      <c r="A366">
        <v>291</v>
      </c>
      <c r="B366" t="str">
        <f t="shared" si="15"/>
        <v>10+ years</v>
      </c>
      <c r="C366">
        <v>46</v>
      </c>
      <c r="D366" t="str" cm="1">
        <f t="array" ref="D366">_xlfn.IFS(C366&lt;26, "19-25", C366&lt;33, "26-32", C366&lt;40, "33-39", C366&lt;47, "40-46",C366&lt;54, "47-53", TRUE, "54+")</f>
        <v>40-46</v>
      </c>
      <c r="E366">
        <v>832746</v>
      </c>
      <c r="F366" s="1">
        <v>38820</v>
      </c>
      <c r="G366" t="s">
        <v>44</v>
      </c>
      <c r="H366" t="s">
        <v>96</v>
      </c>
      <c r="I366">
        <v>1000</v>
      </c>
      <c r="J366">
        <v>994.74</v>
      </c>
      <c r="K366">
        <v>0</v>
      </c>
      <c r="L366">
        <v>452701</v>
      </c>
      <c r="M366" t="s">
        <v>75</v>
      </c>
      <c r="N366" t="s">
        <v>136</v>
      </c>
      <c r="O366" t="s">
        <v>190</v>
      </c>
      <c r="P366" t="s">
        <v>178</v>
      </c>
      <c r="Q366" t="s">
        <v>79</v>
      </c>
      <c r="R366">
        <v>0</v>
      </c>
      <c r="S366">
        <v>-55300</v>
      </c>
      <c r="T366" s="1">
        <v>42029</v>
      </c>
      <c r="U366" t="s">
        <v>143</v>
      </c>
      <c r="V366" t="s">
        <v>67</v>
      </c>
      <c r="W366" t="s">
        <v>68</v>
      </c>
      <c r="X366" t="s">
        <v>54</v>
      </c>
      <c r="Y366" t="s">
        <v>55</v>
      </c>
      <c r="Z366" t="s">
        <v>127</v>
      </c>
      <c r="AA366" t="s">
        <v>548</v>
      </c>
      <c r="AB366">
        <v>8</v>
      </c>
      <c r="AC366" t="str">
        <f t="shared" si="16"/>
        <v>Morning</v>
      </c>
      <c r="AD366">
        <v>1</v>
      </c>
      <c r="AE366" t="s">
        <v>84</v>
      </c>
      <c r="AF366">
        <v>2</v>
      </c>
      <c r="AG366">
        <v>2</v>
      </c>
      <c r="AH366" t="s">
        <v>58</v>
      </c>
      <c r="AI366">
        <v>5580</v>
      </c>
      <c r="AJ366">
        <v>620</v>
      </c>
      <c r="AK366">
        <v>620</v>
      </c>
      <c r="AL366">
        <v>4340</v>
      </c>
      <c r="AM366" t="s">
        <v>219</v>
      </c>
      <c r="AN366" t="s">
        <v>220</v>
      </c>
      <c r="AO366">
        <v>2015</v>
      </c>
      <c r="AP366">
        <v>2005</v>
      </c>
      <c r="AQ366">
        <f t="shared" si="17"/>
        <v>10</v>
      </c>
      <c r="AR366" t="s">
        <v>61</v>
      </c>
    </row>
    <row r="367" spans="1:44" x14ac:dyDescent="0.25">
      <c r="A367">
        <v>162</v>
      </c>
      <c r="B367" t="str">
        <f t="shared" si="15"/>
        <v>10+ years</v>
      </c>
      <c r="C367">
        <v>31</v>
      </c>
      <c r="D367" t="str" cm="1">
        <f t="array" ref="D367">_xlfn.IFS(C367&lt;26, "19-25", C367&lt;33, "26-32", C367&lt;40, "33-39", C367&lt;47, "40-46",C367&lt;54, "47-53", TRUE, "54+")</f>
        <v>26-32</v>
      </c>
      <c r="E367">
        <v>386690</v>
      </c>
      <c r="F367" s="1">
        <v>38769</v>
      </c>
      <c r="G367" t="s">
        <v>62</v>
      </c>
      <c r="H367" t="s">
        <v>74</v>
      </c>
      <c r="I367">
        <v>1000</v>
      </c>
      <c r="J367">
        <v>1050.24</v>
      </c>
      <c r="K367">
        <v>0</v>
      </c>
      <c r="L367">
        <v>456789</v>
      </c>
      <c r="M367" t="s">
        <v>75</v>
      </c>
      <c r="N367" t="s">
        <v>129</v>
      </c>
      <c r="O367" t="s">
        <v>190</v>
      </c>
      <c r="P367" t="s">
        <v>173</v>
      </c>
      <c r="Q367" t="s">
        <v>124</v>
      </c>
      <c r="R367">
        <v>30700</v>
      </c>
      <c r="S367">
        <v>0</v>
      </c>
      <c r="T367" s="1">
        <v>42061</v>
      </c>
      <c r="U367" t="s">
        <v>143</v>
      </c>
      <c r="V367" t="s">
        <v>67</v>
      </c>
      <c r="W367" t="s">
        <v>68</v>
      </c>
      <c r="X367" t="s">
        <v>98</v>
      </c>
      <c r="Y367" t="s">
        <v>126</v>
      </c>
      <c r="Z367" t="s">
        <v>92</v>
      </c>
      <c r="AA367" t="s">
        <v>549</v>
      </c>
      <c r="AB367">
        <v>7</v>
      </c>
      <c r="AC367" t="str">
        <f t="shared" si="16"/>
        <v>Morning</v>
      </c>
      <c r="AD367">
        <v>1</v>
      </c>
      <c r="AE367" t="s">
        <v>67</v>
      </c>
      <c r="AF367">
        <v>0</v>
      </c>
      <c r="AG367">
        <v>0</v>
      </c>
      <c r="AH367" t="s">
        <v>84</v>
      </c>
      <c r="AI367">
        <v>3600</v>
      </c>
      <c r="AJ367">
        <v>360</v>
      </c>
      <c r="AK367">
        <v>720</v>
      </c>
      <c r="AL367">
        <v>2520</v>
      </c>
      <c r="AM367" t="s">
        <v>192</v>
      </c>
      <c r="AN367" t="s">
        <v>208</v>
      </c>
      <c r="AO367">
        <v>2015</v>
      </c>
      <c r="AP367">
        <v>2013</v>
      </c>
      <c r="AQ367">
        <f t="shared" si="17"/>
        <v>2</v>
      </c>
      <c r="AR367" t="s">
        <v>61</v>
      </c>
    </row>
    <row r="368" spans="1:44" x14ac:dyDescent="0.25">
      <c r="A368">
        <v>154</v>
      </c>
      <c r="B368" t="str">
        <f t="shared" si="15"/>
        <v>10+ years</v>
      </c>
      <c r="C368">
        <v>36</v>
      </c>
      <c r="D368" t="str" cm="1">
        <f t="array" ref="D368">_xlfn.IFS(C368&lt;26, "19-25", C368&lt;33, "26-32", C368&lt;40, "33-39", C368&lt;47, "40-46",C368&lt;54, "47-53", TRUE, "54+")</f>
        <v>33-39</v>
      </c>
      <c r="E368">
        <v>979285</v>
      </c>
      <c r="F368" s="1">
        <v>37972</v>
      </c>
      <c r="G368" t="s">
        <v>88</v>
      </c>
      <c r="H368" t="s">
        <v>45</v>
      </c>
      <c r="I368">
        <v>2000</v>
      </c>
      <c r="J368">
        <v>1313.51</v>
      </c>
      <c r="K368">
        <v>7000000</v>
      </c>
      <c r="L368">
        <v>600904</v>
      </c>
      <c r="M368" t="s">
        <v>75</v>
      </c>
      <c r="N368" t="s">
        <v>129</v>
      </c>
      <c r="O368" t="s">
        <v>130</v>
      </c>
      <c r="P368" t="s">
        <v>131</v>
      </c>
      <c r="Q368" t="s">
        <v>79</v>
      </c>
      <c r="R368">
        <v>68500</v>
      </c>
      <c r="S368">
        <v>0</v>
      </c>
      <c r="T368" s="1">
        <v>42038</v>
      </c>
      <c r="U368" t="s">
        <v>66</v>
      </c>
      <c r="V368" t="s">
        <v>67</v>
      </c>
      <c r="W368" t="s">
        <v>217</v>
      </c>
      <c r="X368" t="s">
        <v>98</v>
      </c>
      <c r="Y368" t="s">
        <v>55</v>
      </c>
      <c r="Z368" t="s">
        <v>161</v>
      </c>
      <c r="AA368" t="s">
        <v>550</v>
      </c>
      <c r="AB368">
        <v>9</v>
      </c>
      <c r="AC368" t="str">
        <f t="shared" si="16"/>
        <v>Morning</v>
      </c>
      <c r="AD368">
        <v>1</v>
      </c>
      <c r="AE368" t="s">
        <v>67</v>
      </c>
      <c r="AF368">
        <v>2</v>
      </c>
      <c r="AG368">
        <v>0</v>
      </c>
      <c r="AH368" t="s">
        <v>67</v>
      </c>
      <c r="AI368">
        <v>2800</v>
      </c>
      <c r="AJ368">
        <v>280</v>
      </c>
      <c r="AK368">
        <v>280</v>
      </c>
      <c r="AL368">
        <v>2240</v>
      </c>
      <c r="AM368" t="s">
        <v>219</v>
      </c>
      <c r="AN368" t="s">
        <v>220</v>
      </c>
      <c r="AO368">
        <v>2015</v>
      </c>
      <c r="AP368">
        <v>2015</v>
      </c>
      <c r="AQ368">
        <f t="shared" si="17"/>
        <v>0</v>
      </c>
      <c r="AR368" t="s">
        <v>87</v>
      </c>
    </row>
    <row r="369" spans="1:44" x14ac:dyDescent="0.25">
      <c r="A369">
        <v>289</v>
      </c>
      <c r="B369" t="str">
        <f t="shared" si="15"/>
        <v>10+ years</v>
      </c>
      <c r="C369">
        <v>47</v>
      </c>
      <c r="D369" t="str" cm="1">
        <f t="array" ref="D369">_xlfn.IFS(C369&lt;26, "19-25", C369&lt;33, "26-32", C369&lt;40, "33-39", C369&lt;47, "40-46",C369&lt;54, "47-53", TRUE, "54+")</f>
        <v>47-53</v>
      </c>
      <c r="E369">
        <v>594722</v>
      </c>
      <c r="F369" s="1">
        <v>36372</v>
      </c>
      <c r="G369" t="s">
        <v>44</v>
      </c>
      <c r="H369" t="s">
        <v>96</v>
      </c>
      <c r="I369">
        <v>2000</v>
      </c>
      <c r="J369">
        <v>1102.29</v>
      </c>
      <c r="K369">
        <v>0</v>
      </c>
      <c r="L369">
        <v>450889</v>
      </c>
      <c r="M369" t="s">
        <v>75</v>
      </c>
      <c r="N369" t="s">
        <v>97</v>
      </c>
      <c r="O369" t="s">
        <v>190</v>
      </c>
      <c r="P369" t="s">
        <v>154</v>
      </c>
      <c r="Q369" t="s">
        <v>79</v>
      </c>
      <c r="R369">
        <v>73000</v>
      </c>
      <c r="S369">
        <v>-37900</v>
      </c>
      <c r="T369" s="1">
        <v>42035</v>
      </c>
      <c r="U369" t="s">
        <v>51</v>
      </c>
      <c r="V369" t="s">
        <v>91</v>
      </c>
      <c r="W369" t="s">
        <v>68</v>
      </c>
      <c r="X369" t="s">
        <v>141</v>
      </c>
      <c r="Y369" t="s">
        <v>69</v>
      </c>
      <c r="Z369" t="s">
        <v>132</v>
      </c>
      <c r="AA369" t="s">
        <v>551</v>
      </c>
      <c r="AB369">
        <v>15</v>
      </c>
      <c r="AC369" t="str">
        <f t="shared" si="16"/>
        <v>Afternoon</v>
      </c>
      <c r="AD369">
        <v>1</v>
      </c>
      <c r="AE369" t="s">
        <v>84</v>
      </c>
      <c r="AF369">
        <v>1</v>
      </c>
      <c r="AG369">
        <v>0</v>
      </c>
      <c r="AH369" t="s">
        <v>58</v>
      </c>
      <c r="AI369">
        <v>54000</v>
      </c>
      <c r="AJ369">
        <v>6000</v>
      </c>
      <c r="AK369">
        <v>6000</v>
      </c>
      <c r="AL369">
        <v>42000</v>
      </c>
      <c r="AM369" t="s">
        <v>120</v>
      </c>
      <c r="AN369" t="s">
        <v>145</v>
      </c>
      <c r="AO369">
        <v>2015</v>
      </c>
      <c r="AP369">
        <v>1996</v>
      </c>
      <c r="AQ369">
        <f t="shared" si="17"/>
        <v>19</v>
      </c>
      <c r="AR369" t="s">
        <v>87</v>
      </c>
    </row>
    <row r="370" spans="1:44" x14ac:dyDescent="0.25">
      <c r="A370">
        <v>10</v>
      </c>
      <c r="B370" t="str">
        <f t="shared" si="15"/>
        <v>0-2 years</v>
      </c>
      <c r="C370">
        <v>19</v>
      </c>
      <c r="D370" t="str" cm="1">
        <f t="array" ref="D370">_xlfn.IFS(C370&lt;26, "19-25", C370&lt;33, "26-32", C370&lt;40, "33-39", C370&lt;47, "40-46",C370&lt;54, "47-53", TRUE, "54+")</f>
        <v>19-25</v>
      </c>
      <c r="E370">
        <v>216738</v>
      </c>
      <c r="F370" s="1">
        <v>41856</v>
      </c>
      <c r="G370" t="s">
        <v>62</v>
      </c>
      <c r="H370" t="s">
        <v>45</v>
      </c>
      <c r="I370">
        <v>1000</v>
      </c>
      <c r="J370">
        <v>1185.78</v>
      </c>
      <c r="K370">
        <v>0</v>
      </c>
      <c r="L370">
        <v>478837</v>
      </c>
      <c r="M370" t="s">
        <v>75</v>
      </c>
      <c r="N370" t="s">
        <v>166</v>
      </c>
      <c r="O370" t="s">
        <v>48</v>
      </c>
      <c r="P370" t="s">
        <v>160</v>
      </c>
      <c r="Q370" t="s">
        <v>124</v>
      </c>
      <c r="R370">
        <v>0</v>
      </c>
      <c r="S370">
        <v>-60700</v>
      </c>
      <c r="T370" s="1">
        <v>42036</v>
      </c>
      <c r="U370" t="s">
        <v>51</v>
      </c>
      <c r="V370" t="s">
        <v>52</v>
      </c>
      <c r="W370" t="s">
        <v>68</v>
      </c>
      <c r="X370" t="s">
        <v>54</v>
      </c>
      <c r="Y370" t="s">
        <v>126</v>
      </c>
      <c r="Z370" t="s">
        <v>132</v>
      </c>
      <c r="AA370" t="s">
        <v>552</v>
      </c>
      <c r="AB370">
        <v>5</v>
      </c>
      <c r="AC370" t="str">
        <f t="shared" si="16"/>
        <v>Night</v>
      </c>
      <c r="AD370">
        <v>1</v>
      </c>
      <c r="AE370" t="s">
        <v>67</v>
      </c>
      <c r="AF370">
        <v>0</v>
      </c>
      <c r="AG370">
        <v>2</v>
      </c>
      <c r="AH370" t="s">
        <v>67</v>
      </c>
      <c r="AI370">
        <v>48950</v>
      </c>
      <c r="AJ370">
        <v>4450</v>
      </c>
      <c r="AK370">
        <v>8900</v>
      </c>
      <c r="AL370">
        <v>35600</v>
      </c>
      <c r="AM370" t="s">
        <v>100</v>
      </c>
      <c r="AN370" t="s">
        <v>163</v>
      </c>
      <c r="AO370">
        <v>2015</v>
      </c>
      <c r="AP370">
        <v>2011</v>
      </c>
      <c r="AQ370">
        <f t="shared" si="17"/>
        <v>4</v>
      </c>
      <c r="AR370" t="s">
        <v>61</v>
      </c>
    </row>
    <row r="371" spans="1:44" x14ac:dyDescent="0.25">
      <c r="A371">
        <v>309</v>
      </c>
      <c r="B371" t="str">
        <f t="shared" si="15"/>
        <v>10+ years</v>
      </c>
      <c r="C371">
        <v>47</v>
      </c>
      <c r="D371" t="str" cm="1">
        <f t="array" ref="D371">_xlfn.IFS(C371&lt;26, "19-25", C371&lt;33, "26-32", C371&lt;40, "33-39", C371&lt;47, "40-46",C371&lt;54, "47-53", TRUE, "54+")</f>
        <v>47-53</v>
      </c>
      <c r="E371">
        <v>369048</v>
      </c>
      <c r="F371" s="1">
        <v>40699</v>
      </c>
      <c r="G371" t="s">
        <v>88</v>
      </c>
      <c r="H371" t="s">
        <v>96</v>
      </c>
      <c r="I371">
        <v>500</v>
      </c>
      <c r="J371">
        <v>1527.95</v>
      </c>
      <c r="K371">
        <v>0</v>
      </c>
      <c r="L371">
        <v>611322</v>
      </c>
      <c r="M371" t="s">
        <v>46</v>
      </c>
      <c r="N371" t="s">
        <v>76</v>
      </c>
      <c r="O371" t="s">
        <v>130</v>
      </c>
      <c r="P371" t="s">
        <v>154</v>
      </c>
      <c r="Q371" t="s">
        <v>65</v>
      </c>
      <c r="R371">
        <v>69400</v>
      </c>
      <c r="S371">
        <v>0</v>
      </c>
      <c r="T371" s="1">
        <v>42056</v>
      </c>
      <c r="U371" t="s">
        <v>80</v>
      </c>
      <c r="V371" t="s">
        <v>81</v>
      </c>
      <c r="W371" t="s">
        <v>53</v>
      </c>
      <c r="X371" t="s">
        <v>125</v>
      </c>
      <c r="Y371" t="s">
        <v>118</v>
      </c>
      <c r="Z371" t="s">
        <v>132</v>
      </c>
      <c r="AA371" t="s">
        <v>553</v>
      </c>
      <c r="AB371">
        <v>15</v>
      </c>
      <c r="AC371" t="str">
        <f t="shared" si="16"/>
        <v>Afternoon</v>
      </c>
      <c r="AD371">
        <v>4</v>
      </c>
      <c r="AE371" t="s">
        <v>58</v>
      </c>
      <c r="AF371">
        <v>0</v>
      </c>
      <c r="AG371">
        <v>1</v>
      </c>
      <c r="AH371" t="s">
        <v>67</v>
      </c>
      <c r="AI371">
        <v>77800</v>
      </c>
      <c r="AJ371">
        <v>15560</v>
      </c>
      <c r="AK371">
        <v>15560</v>
      </c>
      <c r="AL371">
        <v>46680</v>
      </c>
      <c r="AM371" t="s">
        <v>85</v>
      </c>
      <c r="AN371" t="s">
        <v>86</v>
      </c>
      <c r="AO371">
        <v>2015</v>
      </c>
      <c r="AP371">
        <v>2002</v>
      </c>
      <c r="AQ371">
        <f t="shared" si="17"/>
        <v>13</v>
      </c>
      <c r="AR371" t="s">
        <v>87</v>
      </c>
    </row>
    <row r="372" spans="1:44" x14ac:dyDescent="0.25">
      <c r="A372">
        <v>396</v>
      </c>
      <c r="B372" t="str">
        <f t="shared" si="15"/>
        <v>10+ years</v>
      </c>
      <c r="C372">
        <v>57</v>
      </c>
      <c r="D372" t="str" cm="1">
        <f t="array" ref="D372">_xlfn.IFS(C372&lt;26, "19-25", C372&lt;33, "26-32", C372&lt;40, "33-39", C372&lt;47, "40-46",C372&lt;54, "47-53", TRUE, "54+")</f>
        <v>54+</v>
      </c>
      <c r="E372">
        <v>514424</v>
      </c>
      <c r="F372" s="1">
        <v>33888</v>
      </c>
      <c r="G372" t="s">
        <v>62</v>
      </c>
      <c r="H372" t="s">
        <v>74</v>
      </c>
      <c r="I372">
        <v>1000</v>
      </c>
      <c r="J372">
        <v>1366.39</v>
      </c>
      <c r="K372">
        <v>0</v>
      </c>
      <c r="L372">
        <v>438180</v>
      </c>
      <c r="M372" t="s">
        <v>46</v>
      </c>
      <c r="N372" t="s">
        <v>136</v>
      </c>
      <c r="O372" t="s">
        <v>140</v>
      </c>
      <c r="P372" t="s">
        <v>269</v>
      </c>
      <c r="Q372" t="s">
        <v>65</v>
      </c>
      <c r="R372">
        <v>0</v>
      </c>
      <c r="S372">
        <v>-22400</v>
      </c>
      <c r="T372" s="1">
        <v>42034</v>
      </c>
      <c r="U372" t="s">
        <v>80</v>
      </c>
      <c r="V372" t="s">
        <v>91</v>
      </c>
      <c r="W372" t="s">
        <v>53</v>
      </c>
      <c r="X372" t="s">
        <v>125</v>
      </c>
      <c r="Y372" t="s">
        <v>126</v>
      </c>
      <c r="Z372" t="s">
        <v>56</v>
      </c>
      <c r="AA372" t="s">
        <v>554</v>
      </c>
      <c r="AB372">
        <v>22</v>
      </c>
      <c r="AC372" t="str">
        <f t="shared" si="16"/>
        <v>Evening</v>
      </c>
      <c r="AD372">
        <v>3</v>
      </c>
      <c r="AE372" t="s">
        <v>58</v>
      </c>
      <c r="AF372">
        <v>2</v>
      </c>
      <c r="AG372">
        <v>1</v>
      </c>
      <c r="AH372" t="s">
        <v>84</v>
      </c>
      <c r="AI372">
        <v>52560</v>
      </c>
      <c r="AJ372">
        <v>11680</v>
      </c>
      <c r="AK372">
        <v>5840</v>
      </c>
      <c r="AL372">
        <v>35040</v>
      </c>
      <c r="AM372" t="s">
        <v>59</v>
      </c>
      <c r="AN372">
        <v>93</v>
      </c>
      <c r="AO372">
        <v>2015</v>
      </c>
      <c r="AP372">
        <v>1995</v>
      </c>
      <c r="AQ372">
        <f t="shared" si="17"/>
        <v>20</v>
      </c>
      <c r="AR372" t="s">
        <v>87</v>
      </c>
    </row>
    <row r="373" spans="1:44" x14ac:dyDescent="0.25">
      <c r="A373">
        <v>273</v>
      </c>
      <c r="B373" t="str">
        <f t="shared" si="15"/>
        <v>10+ years</v>
      </c>
      <c r="C373">
        <v>41</v>
      </c>
      <c r="D373" t="str" cm="1">
        <f t="array" ref="D373">_xlfn.IFS(C373&lt;26, "19-25", C373&lt;33, "26-32", C373&lt;40, "33-39", C373&lt;47, "40-46",C373&lt;54, "47-53", TRUE, "54+")</f>
        <v>40-46</v>
      </c>
      <c r="E373">
        <v>954191</v>
      </c>
      <c r="F373" s="1">
        <v>40226</v>
      </c>
      <c r="G373" t="s">
        <v>44</v>
      </c>
      <c r="H373" t="s">
        <v>96</v>
      </c>
      <c r="I373">
        <v>1000</v>
      </c>
      <c r="J373">
        <v>1403.9</v>
      </c>
      <c r="K373">
        <v>0</v>
      </c>
      <c r="L373">
        <v>449793</v>
      </c>
      <c r="M373" t="s">
        <v>75</v>
      </c>
      <c r="N373" t="s">
        <v>76</v>
      </c>
      <c r="O373" t="s">
        <v>194</v>
      </c>
      <c r="P373" t="s">
        <v>131</v>
      </c>
      <c r="Q373" t="s">
        <v>79</v>
      </c>
      <c r="R373">
        <v>0</v>
      </c>
      <c r="S373">
        <v>0</v>
      </c>
      <c r="T373" s="1">
        <v>42035</v>
      </c>
      <c r="U373" t="s">
        <v>80</v>
      </c>
      <c r="V373" t="s">
        <v>52</v>
      </c>
      <c r="W373" t="s">
        <v>112</v>
      </c>
      <c r="X373" t="s">
        <v>54</v>
      </c>
      <c r="Y373" t="s">
        <v>69</v>
      </c>
      <c r="Z373" t="s">
        <v>70</v>
      </c>
      <c r="AA373" t="s">
        <v>555</v>
      </c>
      <c r="AB373">
        <v>16</v>
      </c>
      <c r="AC373" t="str">
        <f t="shared" si="16"/>
        <v>Afternoon</v>
      </c>
      <c r="AD373">
        <v>2</v>
      </c>
      <c r="AE373" t="s">
        <v>67</v>
      </c>
      <c r="AF373">
        <v>1</v>
      </c>
      <c r="AG373">
        <v>2</v>
      </c>
      <c r="AH373" t="s">
        <v>58</v>
      </c>
      <c r="AI373">
        <v>44110</v>
      </c>
      <c r="AJ373">
        <v>4010</v>
      </c>
      <c r="AK373">
        <v>8020</v>
      </c>
      <c r="AL373">
        <v>32080</v>
      </c>
      <c r="AM373" t="s">
        <v>214</v>
      </c>
      <c r="AN373" t="s">
        <v>236</v>
      </c>
      <c r="AO373">
        <v>2015</v>
      </c>
      <c r="AP373">
        <v>2015</v>
      </c>
      <c r="AQ373">
        <f t="shared" si="17"/>
        <v>0</v>
      </c>
      <c r="AR373" t="s">
        <v>87</v>
      </c>
    </row>
    <row r="374" spans="1:44" x14ac:dyDescent="0.25">
      <c r="A374">
        <v>129</v>
      </c>
      <c r="B374" t="str">
        <f t="shared" si="15"/>
        <v>10+ years</v>
      </c>
      <c r="C374">
        <v>30</v>
      </c>
      <c r="D374" t="str" cm="1">
        <f t="array" ref="D374">_xlfn.IFS(C374&lt;26, "19-25", C374&lt;33, "26-32", C374&lt;40, "33-39", C374&lt;47, "40-46",C374&lt;54, "47-53", TRUE, "54+")</f>
        <v>26-32</v>
      </c>
      <c r="E374">
        <v>150181</v>
      </c>
      <c r="F374" s="1">
        <v>39208</v>
      </c>
      <c r="G374" t="s">
        <v>88</v>
      </c>
      <c r="H374" t="s">
        <v>96</v>
      </c>
      <c r="I374">
        <v>2000</v>
      </c>
      <c r="J374">
        <v>927.23</v>
      </c>
      <c r="K374">
        <v>0</v>
      </c>
      <c r="L374">
        <v>450730</v>
      </c>
      <c r="M374" t="s">
        <v>75</v>
      </c>
      <c r="N374" t="s">
        <v>76</v>
      </c>
      <c r="O374" t="s">
        <v>77</v>
      </c>
      <c r="P374" t="s">
        <v>186</v>
      </c>
      <c r="Q374" t="s">
        <v>50</v>
      </c>
      <c r="R374">
        <v>51500</v>
      </c>
      <c r="S374">
        <v>0</v>
      </c>
      <c r="T374" s="1">
        <v>42017</v>
      </c>
      <c r="U374" t="s">
        <v>51</v>
      </c>
      <c r="V374" t="s">
        <v>91</v>
      </c>
      <c r="W374" t="s">
        <v>112</v>
      </c>
      <c r="X374" t="s">
        <v>125</v>
      </c>
      <c r="Y374" t="s">
        <v>55</v>
      </c>
      <c r="Z374" t="s">
        <v>127</v>
      </c>
      <c r="AA374" t="s">
        <v>556</v>
      </c>
      <c r="AB374">
        <v>7</v>
      </c>
      <c r="AC374" t="str">
        <f t="shared" si="16"/>
        <v>Morning</v>
      </c>
      <c r="AD374">
        <v>1</v>
      </c>
      <c r="AE374" t="s">
        <v>84</v>
      </c>
      <c r="AF374">
        <v>1</v>
      </c>
      <c r="AG374">
        <v>3</v>
      </c>
      <c r="AH374" t="s">
        <v>67</v>
      </c>
      <c r="AI374">
        <v>74360</v>
      </c>
      <c r="AJ374">
        <v>13520</v>
      </c>
      <c r="AK374">
        <v>6760</v>
      </c>
      <c r="AL374">
        <v>54080</v>
      </c>
      <c r="AM374" t="s">
        <v>158</v>
      </c>
      <c r="AN374" t="s">
        <v>172</v>
      </c>
      <c r="AO374">
        <v>2015</v>
      </c>
      <c r="AP374">
        <v>2009</v>
      </c>
      <c r="AQ374">
        <f t="shared" si="17"/>
        <v>6</v>
      </c>
      <c r="AR374" t="s">
        <v>87</v>
      </c>
    </row>
    <row r="375" spans="1:44" x14ac:dyDescent="0.25">
      <c r="A375">
        <v>140</v>
      </c>
      <c r="B375" t="str">
        <f t="shared" si="15"/>
        <v>10+ years</v>
      </c>
      <c r="C375">
        <v>31</v>
      </c>
      <c r="D375" t="str" cm="1">
        <f t="array" ref="D375">_xlfn.IFS(C375&lt;26, "19-25", C375&lt;33, "26-32", C375&lt;40, "33-39", C375&lt;47, "40-46",C375&lt;54, "47-53", TRUE, "54+")</f>
        <v>26-32</v>
      </c>
      <c r="E375">
        <v>388671</v>
      </c>
      <c r="F375" s="1">
        <v>35551</v>
      </c>
      <c r="G375" t="s">
        <v>44</v>
      </c>
      <c r="H375" t="s">
        <v>45</v>
      </c>
      <c r="I375">
        <v>2000</v>
      </c>
      <c r="J375">
        <v>1554.86</v>
      </c>
      <c r="K375">
        <v>6000000</v>
      </c>
      <c r="L375">
        <v>608758</v>
      </c>
      <c r="M375" t="s">
        <v>75</v>
      </c>
      <c r="N375" t="s">
        <v>166</v>
      </c>
      <c r="O375" t="s">
        <v>89</v>
      </c>
      <c r="P375" t="s">
        <v>111</v>
      </c>
      <c r="Q375" t="s">
        <v>124</v>
      </c>
      <c r="R375">
        <v>59000</v>
      </c>
      <c r="S375">
        <v>0</v>
      </c>
      <c r="T375" s="1">
        <v>42051</v>
      </c>
      <c r="U375" t="s">
        <v>143</v>
      </c>
      <c r="V375" t="s">
        <v>67</v>
      </c>
      <c r="W375" t="s">
        <v>68</v>
      </c>
      <c r="X375" t="s">
        <v>98</v>
      </c>
      <c r="Y375" t="s">
        <v>118</v>
      </c>
      <c r="Z375" t="s">
        <v>92</v>
      </c>
      <c r="AA375" t="s">
        <v>557</v>
      </c>
      <c r="AB375">
        <v>2</v>
      </c>
      <c r="AC375" t="str">
        <f t="shared" si="16"/>
        <v>Night</v>
      </c>
      <c r="AD375">
        <v>1</v>
      </c>
      <c r="AE375" t="s">
        <v>58</v>
      </c>
      <c r="AF375">
        <v>1</v>
      </c>
      <c r="AG375">
        <v>2</v>
      </c>
      <c r="AH375" t="s">
        <v>67</v>
      </c>
      <c r="AI375">
        <v>6120</v>
      </c>
      <c r="AJ375">
        <v>680</v>
      </c>
      <c r="AK375">
        <v>680</v>
      </c>
      <c r="AL375">
        <v>4760</v>
      </c>
      <c r="AM375" t="s">
        <v>214</v>
      </c>
      <c r="AN375" t="s">
        <v>215</v>
      </c>
      <c r="AO375">
        <v>2015</v>
      </c>
      <c r="AP375">
        <v>2002</v>
      </c>
      <c r="AQ375">
        <f t="shared" si="17"/>
        <v>13</v>
      </c>
      <c r="AR375" t="s">
        <v>61</v>
      </c>
    </row>
    <row r="376" spans="1:44" x14ac:dyDescent="0.25">
      <c r="A376">
        <v>419</v>
      </c>
      <c r="B376" t="str">
        <f t="shared" si="15"/>
        <v>10+ years</v>
      </c>
      <c r="C376">
        <v>53</v>
      </c>
      <c r="D376" t="str" cm="1">
        <f t="array" ref="D376">_xlfn.IFS(C376&lt;26, "19-25", C376&lt;33, "26-32", C376&lt;40, "33-39", C376&lt;47, "40-46",C376&lt;54, "47-53", TRUE, "54+")</f>
        <v>47-53</v>
      </c>
      <c r="E376">
        <v>457244</v>
      </c>
      <c r="F376" s="1">
        <v>35823</v>
      </c>
      <c r="G376" t="s">
        <v>88</v>
      </c>
      <c r="H376" t="s">
        <v>96</v>
      </c>
      <c r="I376">
        <v>2000</v>
      </c>
      <c r="J376">
        <v>736.07</v>
      </c>
      <c r="K376">
        <v>6000000</v>
      </c>
      <c r="L376">
        <v>445339</v>
      </c>
      <c r="M376" t="s">
        <v>46</v>
      </c>
      <c r="N376" t="s">
        <v>146</v>
      </c>
      <c r="O376" t="s">
        <v>150</v>
      </c>
      <c r="P376" t="s">
        <v>173</v>
      </c>
      <c r="Q376" t="s">
        <v>90</v>
      </c>
      <c r="R376">
        <v>45700</v>
      </c>
      <c r="S376">
        <v>0</v>
      </c>
      <c r="T376" s="1">
        <v>42039</v>
      </c>
      <c r="U376" t="s">
        <v>80</v>
      </c>
      <c r="V376" t="s">
        <v>52</v>
      </c>
      <c r="W376" t="s">
        <v>68</v>
      </c>
      <c r="X376" t="s">
        <v>54</v>
      </c>
      <c r="Y376" t="s">
        <v>55</v>
      </c>
      <c r="Z376" t="s">
        <v>132</v>
      </c>
      <c r="AA376" t="s">
        <v>558</v>
      </c>
      <c r="AB376">
        <v>17</v>
      </c>
      <c r="AC376" t="str">
        <f t="shared" si="16"/>
        <v>Afternoon</v>
      </c>
      <c r="AD376">
        <v>4</v>
      </c>
      <c r="AE376" t="s">
        <v>67</v>
      </c>
      <c r="AF376">
        <v>0</v>
      </c>
      <c r="AG376">
        <v>0</v>
      </c>
      <c r="AH376" t="s">
        <v>58</v>
      </c>
      <c r="AI376">
        <v>62280</v>
      </c>
      <c r="AJ376">
        <v>5190</v>
      </c>
      <c r="AK376">
        <v>10380</v>
      </c>
      <c r="AL376">
        <v>46710</v>
      </c>
      <c r="AM376" t="s">
        <v>158</v>
      </c>
      <c r="AN376" t="s">
        <v>172</v>
      </c>
      <c r="AO376">
        <v>2015</v>
      </c>
      <c r="AP376">
        <v>2012</v>
      </c>
      <c r="AQ376">
        <f t="shared" si="17"/>
        <v>3</v>
      </c>
      <c r="AR376" t="s">
        <v>87</v>
      </c>
    </row>
    <row r="377" spans="1:44" x14ac:dyDescent="0.25">
      <c r="A377">
        <v>315</v>
      </c>
      <c r="B377" t="str">
        <f t="shared" si="15"/>
        <v>10+ years</v>
      </c>
      <c r="C377">
        <v>44</v>
      </c>
      <c r="D377" t="str" cm="1">
        <f t="array" ref="D377">_xlfn.IFS(C377&lt;26, "19-25", C377&lt;33, "26-32", C377&lt;40, "33-39", C377&lt;47, "40-46",C377&lt;54, "47-53", TRUE, "54+")</f>
        <v>40-46</v>
      </c>
      <c r="E377">
        <v>206667</v>
      </c>
      <c r="F377" s="1">
        <v>34094</v>
      </c>
      <c r="G377" t="s">
        <v>88</v>
      </c>
      <c r="H377" t="s">
        <v>45</v>
      </c>
      <c r="I377">
        <v>1000</v>
      </c>
      <c r="J377">
        <v>974.16</v>
      </c>
      <c r="K377">
        <v>6000000</v>
      </c>
      <c r="L377">
        <v>438328</v>
      </c>
      <c r="M377" t="s">
        <v>75</v>
      </c>
      <c r="N377" t="s">
        <v>129</v>
      </c>
      <c r="O377" t="s">
        <v>77</v>
      </c>
      <c r="P377" t="s">
        <v>64</v>
      </c>
      <c r="Q377" t="s">
        <v>65</v>
      </c>
      <c r="R377">
        <v>0</v>
      </c>
      <c r="S377">
        <v>-56800</v>
      </c>
      <c r="T377" s="1">
        <v>42042</v>
      </c>
      <c r="U377" t="s">
        <v>80</v>
      </c>
      <c r="V377" t="s">
        <v>91</v>
      </c>
      <c r="W377" t="s">
        <v>112</v>
      </c>
      <c r="X377" t="s">
        <v>125</v>
      </c>
      <c r="Y377" t="s">
        <v>82</v>
      </c>
      <c r="Z377" t="s">
        <v>107</v>
      </c>
      <c r="AA377" t="s">
        <v>559</v>
      </c>
      <c r="AB377">
        <v>12</v>
      </c>
      <c r="AC377" t="str">
        <f t="shared" si="16"/>
        <v>Afternoon</v>
      </c>
      <c r="AD377">
        <v>3</v>
      </c>
      <c r="AE377" t="s">
        <v>67</v>
      </c>
      <c r="AF377">
        <v>1</v>
      </c>
      <c r="AG377">
        <v>0</v>
      </c>
      <c r="AH377" t="s">
        <v>58</v>
      </c>
      <c r="AI377">
        <v>26730</v>
      </c>
      <c r="AJ377">
        <v>4860</v>
      </c>
      <c r="AK377">
        <v>4860</v>
      </c>
      <c r="AL377">
        <v>17010</v>
      </c>
      <c r="AM377" t="s">
        <v>219</v>
      </c>
      <c r="AN377" t="s">
        <v>263</v>
      </c>
      <c r="AO377">
        <v>2015</v>
      </c>
      <c r="AP377">
        <v>2006</v>
      </c>
      <c r="AQ377">
        <f t="shared" si="17"/>
        <v>9</v>
      </c>
      <c r="AR377" t="s">
        <v>87</v>
      </c>
    </row>
    <row r="378" spans="1:44" x14ac:dyDescent="0.25">
      <c r="A378">
        <v>72</v>
      </c>
      <c r="B378" t="str">
        <f t="shared" si="15"/>
        <v>5-10 years</v>
      </c>
      <c r="C378">
        <v>29</v>
      </c>
      <c r="D378" t="str" cm="1">
        <f t="array" ref="D378">_xlfn.IFS(C378&lt;26, "19-25", C378&lt;33, "26-32", C378&lt;40, "33-39", C378&lt;47, "40-46",C378&lt;54, "47-53", TRUE, "54+")</f>
        <v>26-32</v>
      </c>
      <c r="E378">
        <v>745200</v>
      </c>
      <c r="F378" s="1">
        <v>34552</v>
      </c>
      <c r="G378" t="s">
        <v>44</v>
      </c>
      <c r="H378" t="s">
        <v>96</v>
      </c>
      <c r="I378">
        <v>500</v>
      </c>
      <c r="J378">
        <v>973.8</v>
      </c>
      <c r="K378">
        <v>0</v>
      </c>
      <c r="L378">
        <v>479913</v>
      </c>
      <c r="M378" t="s">
        <v>75</v>
      </c>
      <c r="N378" t="s">
        <v>97</v>
      </c>
      <c r="O378" t="s">
        <v>48</v>
      </c>
      <c r="P378" t="s">
        <v>269</v>
      </c>
      <c r="Q378" t="s">
        <v>79</v>
      </c>
      <c r="R378">
        <v>0</v>
      </c>
      <c r="S378">
        <v>-85900</v>
      </c>
      <c r="T378" s="1">
        <v>42020</v>
      </c>
      <c r="U378" t="s">
        <v>51</v>
      </c>
      <c r="V378" t="s">
        <v>81</v>
      </c>
      <c r="W378" t="s">
        <v>53</v>
      </c>
      <c r="X378" t="s">
        <v>141</v>
      </c>
      <c r="Y378" t="s">
        <v>118</v>
      </c>
      <c r="Z378" t="s">
        <v>92</v>
      </c>
      <c r="AA378" t="s">
        <v>560</v>
      </c>
      <c r="AB378">
        <v>9</v>
      </c>
      <c r="AC378" t="str">
        <f t="shared" si="16"/>
        <v>Morning</v>
      </c>
      <c r="AD378">
        <v>1</v>
      </c>
      <c r="AE378" t="s">
        <v>67</v>
      </c>
      <c r="AF378">
        <v>1</v>
      </c>
      <c r="AG378">
        <v>0</v>
      </c>
      <c r="AH378" t="s">
        <v>84</v>
      </c>
      <c r="AI378">
        <v>66200</v>
      </c>
      <c r="AJ378">
        <v>6620</v>
      </c>
      <c r="AK378">
        <v>6620</v>
      </c>
      <c r="AL378">
        <v>52960</v>
      </c>
      <c r="AM378" t="s">
        <v>85</v>
      </c>
      <c r="AN378" t="s">
        <v>149</v>
      </c>
      <c r="AO378">
        <v>2015</v>
      </c>
      <c r="AP378">
        <v>2013</v>
      </c>
      <c r="AQ378">
        <f t="shared" si="17"/>
        <v>2</v>
      </c>
      <c r="AR378" t="s">
        <v>87</v>
      </c>
    </row>
    <row r="379" spans="1:44" x14ac:dyDescent="0.25">
      <c r="A379">
        <v>32</v>
      </c>
      <c r="B379" t="str">
        <f t="shared" si="15"/>
        <v>2-5 years</v>
      </c>
      <c r="C379">
        <v>26</v>
      </c>
      <c r="D379" t="str" cm="1">
        <f t="array" ref="D379">_xlfn.IFS(C379&lt;26, "19-25", C379&lt;33, "26-32", C379&lt;40, "33-39", C379&lt;47, "40-46",C379&lt;54, "47-53", TRUE, "54+")</f>
        <v>26-32</v>
      </c>
      <c r="E379">
        <v>412703</v>
      </c>
      <c r="F379" s="1">
        <v>41957</v>
      </c>
      <c r="G379" t="s">
        <v>44</v>
      </c>
      <c r="H379" t="s">
        <v>74</v>
      </c>
      <c r="I379">
        <v>2000</v>
      </c>
      <c r="J379">
        <v>1260.32</v>
      </c>
      <c r="K379">
        <v>6000000</v>
      </c>
      <c r="L379">
        <v>460760</v>
      </c>
      <c r="M379" t="s">
        <v>46</v>
      </c>
      <c r="N379" t="s">
        <v>166</v>
      </c>
      <c r="O379" t="s">
        <v>116</v>
      </c>
      <c r="P379" t="s">
        <v>178</v>
      </c>
      <c r="Q379" t="s">
        <v>147</v>
      </c>
      <c r="R379">
        <v>0</v>
      </c>
      <c r="S379">
        <v>-79800</v>
      </c>
      <c r="T379" s="1">
        <v>42063</v>
      </c>
      <c r="U379" t="s">
        <v>51</v>
      </c>
      <c r="V379" t="s">
        <v>52</v>
      </c>
      <c r="W379" t="s">
        <v>112</v>
      </c>
      <c r="X379" t="s">
        <v>104</v>
      </c>
      <c r="Y379" t="s">
        <v>69</v>
      </c>
      <c r="Z379" t="s">
        <v>161</v>
      </c>
      <c r="AA379" t="s">
        <v>561</v>
      </c>
      <c r="AB379">
        <v>16</v>
      </c>
      <c r="AC379" t="str">
        <f t="shared" si="16"/>
        <v>Afternoon</v>
      </c>
      <c r="AD379">
        <v>1</v>
      </c>
      <c r="AE379" t="s">
        <v>67</v>
      </c>
      <c r="AF379">
        <v>1</v>
      </c>
      <c r="AG379">
        <v>2</v>
      </c>
      <c r="AH379" t="s">
        <v>67</v>
      </c>
      <c r="AI379">
        <v>45500</v>
      </c>
      <c r="AJ379">
        <v>9100</v>
      </c>
      <c r="AK379">
        <v>4550</v>
      </c>
      <c r="AL379">
        <v>31850</v>
      </c>
      <c r="AM379" t="s">
        <v>120</v>
      </c>
      <c r="AN379" t="s">
        <v>188</v>
      </c>
      <c r="AO379">
        <v>2015</v>
      </c>
      <c r="AP379">
        <v>2009</v>
      </c>
      <c r="AQ379">
        <f t="shared" si="17"/>
        <v>6</v>
      </c>
      <c r="AR379" t="s">
        <v>87</v>
      </c>
    </row>
    <row r="380" spans="1:44" x14ac:dyDescent="0.25">
      <c r="A380">
        <v>230</v>
      </c>
      <c r="B380" t="str">
        <f t="shared" si="15"/>
        <v>10+ years</v>
      </c>
      <c r="C380">
        <v>41</v>
      </c>
      <c r="D380" t="str" cm="1">
        <f t="array" ref="D380">_xlfn.IFS(C380&lt;26, "19-25", C380&lt;33, "26-32", C380&lt;40, "33-39", C380&lt;47, "40-46",C380&lt;54, "47-53", TRUE, "54+")</f>
        <v>40-46</v>
      </c>
      <c r="E380">
        <v>736771</v>
      </c>
      <c r="F380" s="1">
        <v>33586</v>
      </c>
      <c r="G380" t="s">
        <v>62</v>
      </c>
      <c r="H380" t="s">
        <v>74</v>
      </c>
      <c r="I380">
        <v>1000</v>
      </c>
      <c r="J380">
        <v>1464.03</v>
      </c>
      <c r="K380">
        <v>0</v>
      </c>
      <c r="L380">
        <v>444797</v>
      </c>
      <c r="M380" t="s">
        <v>46</v>
      </c>
      <c r="N380" t="s">
        <v>166</v>
      </c>
      <c r="O380" t="s">
        <v>150</v>
      </c>
      <c r="P380" t="s">
        <v>49</v>
      </c>
      <c r="Q380" t="s">
        <v>79</v>
      </c>
      <c r="R380">
        <v>0</v>
      </c>
      <c r="S380">
        <v>0</v>
      </c>
      <c r="T380" s="1">
        <v>42043</v>
      </c>
      <c r="U380" t="s">
        <v>80</v>
      </c>
      <c r="V380" t="s">
        <v>52</v>
      </c>
      <c r="W380" t="s">
        <v>68</v>
      </c>
      <c r="X380" t="s">
        <v>141</v>
      </c>
      <c r="Y380" t="s">
        <v>82</v>
      </c>
      <c r="Z380" t="s">
        <v>107</v>
      </c>
      <c r="AA380" t="s">
        <v>562</v>
      </c>
      <c r="AB380">
        <v>19</v>
      </c>
      <c r="AC380" t="str">
        <f t="shared" si="16"/>
        <v>Evening</v>
      </c>
      <c r="AD380">
        <v>3</v>
      </c>
      <c r="AE380" t="s">
        <v>67</v>
      </c>
      <c r="AF380">
        <v>2</v>
      </c>
      <c r="AG380">
        <v>0</v>
      </c>
      <c r="AH380" t="s">
        <v>67</v>
      </c>
      <c r="AI380">
        <v>53040</v>
      </c>
      <c r="AJ380">
        <v>4420</v>
      </c>
      <c r="AK380">
        <v>4420</v>
      </c>
      <c r="AL380">
        <v>44200</v>
      </c>
      <c r="AM380" t="s">
        <v>114</v>
      </c>
      <c r="AN380" t="s">
        <v>139</v>
      </c>
      <c r="AO380">
        <v>2015</v>
      </c>
      <c r="AP380">
        <v>2006</v>
      </c>
      <c r="AQ380">
        <f t="shared" si="17"/>
        <v>9</v>
      </c>
      <c r="AR380" t="s">
        <v>87</v>
      </c>
    </row>
    <row r="381" spans="1:44" x14ac:dyDescent="0.25">
      <c r="A381">
        <v>157</v>
      </c>
      <c r="B381" t="str">
        <f t="shared" si="15"/>
        <v>10+ years</v>
      </c>
      <c r="C381">
        <v>32</v>
      </c>
      <c r="D381" t="str" cm="1">
        <f t="array" ref="D381">_xlfn.IFS(C381&lt;26, "19-25", C381&lt;33, "26-32", C381&lt;40, "33-39", C381&lt;47, "40-46",C381&lt;54, "47-53", TRUE, "54+")</f>
        <v>26-32</v>
      </c>
      <c r="E381">
        <v>347984</v>
      </c>
      <c r="F381" s="1">
        <v>40107</v>
      </c>
      <c r="G381" t="s">
        <v>44</v>
      </c>
      <c r="H381" t="s">
        <v>74</v>
      </c>
      <c r="I381">
        <v>2000</v>
      </c>
      <c r="J381">
        <v>617.11</v>
      </c>
      <c r="K381">
        <v>0</v>
      </c>
      <c r="L381">
        <v>436711</v>
      </c>
      <c r="M381" t="s">
        <v>46</v>
      </c>
      <c r="N381" t="s">
        <v>146</v>
      </c>
      <c r="O381" t="s">
        <v>116</v>
      </c>
      <c r="P381" t="s">
        <v>64</v>
      </c>
      <c r="Q381" t="s">
        <v>65</v>
      </c>
      <c r="R381">
        <v>0</v>
      </c>
      <c r="S381">
        <v>-54100</v>
      </c>
      <c r="T381" s="1">
        <v>42006</v>
      </c>
      <c r="U381" t="s">
        <v>80</v>
      </c>
      <c r="V381" t="s">
        <v>91</v>
      </c>
      <c r="W381" t="s">
        <v>53</v>
      </c>
      <c r="X381" t="s">
        <v>125</v>
      </c>
      <c r="Y381" t="s">
        <v>69</v>
      </c>
      <c r="Z381" t="s">
        <v>56</v>
      </c>
      <c r="AA381" t="s">
        <v>563</v>
      </c>
      <c r="AB381">
        <v>14</v>
      </c>
      <c r="AC381" t="str">
        <f t="shared" si="16"/>
        <v>Afternoon</v>
      </c>
      <c r="AD381">
        <v>3</v>
      </c>
      <c r="AE381" t="s">
        <v>67</v>
      </c>
      <c r="AF381">
        <v>1</v>
      </c>
      <c r="AG381">
        <v>2</v>
      </c>
      <c r="AH381" t="s">
        <v>84</v>
      </c>
      <c r="AI381">
        <v>50800</v>
      </c>
      <c r="AJ381">
        <v>10160</v>
      </c>
      <c r="AK381">
        <v>5080</v>
      </c>
      <c r="AL381">
        <v>35560</v>
      </c>
      <c r="AM381" t="s">
        <v>72</v>
      </c>
      <c r="AN381" t="s">
        <v>73</v>
      </c>
      <c r="AO381">
        <v>2015</v>
      </c>
      <c r="AP381">
        <v>2013</v>
      </c>
      <c r="AQ381">
        <f t="shared" si="17"/>
        <v>2</v>
      </c>
      <c r="AR381" t="s">
        <v>61</v>
      </c>
    </row>
    <row r="382" spans="1:44" x14ac:dyDescent="0.25">
      <c r="A382">
        <v>265</v>
      </c>
      <c r="B382" t="str">
        <f t="shared" si="15"/>
        <v>10+ years</v>
      </c>
      <c r="C382">
        <v>41</v>
      </c>
      <c r="D382" t="str" cm="1">
        <f t="array" ref="D382">_xlfn.IFS(C382&lt;26, "19-25", C382&lt;33, "26-32", C382&lt;40, "33-39", C382&lt;47, "40-46",C382&lt;54, "47-53", TRUE, "54+")</f>
        <v>40-46</v>
      </c>
      <c r="E382">
        <v>626074</v>
      </c>
      <c r="F382" s="1">
        <v>35702</v>
      </c>
      <c r="G382" t="s">
        <v>62</v>
      </c>
      <c r="H382" t="s">
        <v>45</v>
      </c>
      <c r="I382">
        <v>2000</v>
      </c>
      <c r="J382">
        <v>1724.46</v>
      </c>
      <c r="K382">
        <v>6000000</v>
      </c>
      <c r="L382">
        <v>432491</v>
      </c>
      <c r="M382" t="s">
        <v>75</v>
      </c>
      <c r="N382" t="s">
        <v>97</v>
      </c>
      <c r="O382" t="s">
        <v>48</v>
      </c>
      <c r="P382" t="s">
        <v>49</v>
      </c>
      <c r="Q382" t="s">
        <v>79</v>
      </c>
      <c r="R382">
        <v>81800</v>
      </c>
      <c r="S382">
        <v>0</v>
      </c>
      <c r="T382" s="1">
        <v>42017</v>
      </c>
      <c r="U382" t="s">
        <v>80</v>
      </c>
      <c r="V382" t="s">
        <v>52</v>
      </c>
      <c r="W382" t="s">
        <v>112</v>
      </c>
      <c r="X382" t="s">
        <v>54</v>
      </c>
      <c r="Y382" t="s">
        <v>55</v>
      </c>
      <c r="Z382" t="s">
        <v>132</v>
      </c>
      <c r="AA382" t="s">
        <v>564</v>
      </c>
      <c r="AB382">
        <v>18</v>
      </c>
      <c r="AC382" t="str">
        <f t="shared" si="16"/>
        <v>Evening</v>
      </c>
      <c r="AD382">
        <v>3</v>
      </c>
      <c r="AE382" t="s">
        <v>67</v>
      </c>
      <c r="AF382">
        <v>1</v>
      </c>
      <c r="AG382">
        <v>3</v>
      </c>
      <c r="AH382" t="s">
        <v>67</v>
      </c>
      <c r="AI382">
        <v>44200</v>
      </c>
      <c r="AJ382">
        <v>4420</v>
      </c>
      <c r="AK382">
        <v>4420</v>
      </c>
      <c r="AL382">
        <v>35360</v>
      </c>
      <c r="AM382" t="s">
        <v>114</v>
      </c>
      <c r="AN382" t="s">
        <v>115</v>
      </c>
      <c r="AO382">
        <v>2015</v>
      </c>
      <c r="AP382">
        <v>2014</v>
      </c>
      <c r="AQ382">
        <f t="shared" si="17"/>
        <v>1</v>
      </c>
      <c r="AR382" t="s">
        <v>87</v>
      </c>
    </row>
    <row r="383" spans="1:44" x14ac:dyDescent="0.25">
      <c r="A383">
        <v>47</v>
      </c>
      <c r="B383" t="str">
        <f t="shared" si="15"/>
        <v>2-5 years</v>
      </c>
      <c r="C383">
        <v>34</v>
      </c>
      <c r="D383" t="str" cm="1">
        <f t="array" ref="D383">_xlfn.IFS(C383&lt;26, "19-25", C383&lt;33, "26-32", C383&lt;40, "33-39", C383&lt;47, "40-46",C383&lt;54, "47-53", TRUE, "54+")</f>
        <v>33-39</v>
      </c>
      <c r="E383">
        <v>218109</v>
      </c>
      <c r="F383" s="1">
        <v>37986</v>
      </c>
      <c r="G383" t="s">
        <v>88</v>
      </c>
      <c r="H383" t="s">
        <v>96</v>
      </c>
      <c r="I383">
        <v>500</v>
      </c>
      <c r="J383">
        <v>1161.31</v>
      </c>
      <c r="K383">
        <v>0</v>
      </c>
      <c r="L383">
        <v>617527</v>
      </c>
      <c r="M383" t="s">
        <v>75</v>
      </c>
      <c r="N383" t="s">
        <v>76</v>
      </c>
      <c r="O383" t="s">
        <v>130</v>
      </c>
      <c r="P383" t="s">
        <v>111</v>
      </c>
      <c r="Q383" t="s">
        <v>65</v>
      </c>
      <c r="R383">
        <v>64800</v>
      </c>
      <c r="S383">
        <v>-24300</v>
      </c>
      <c r="T383" s="1">
        <v>42011</v>
      </c>
      <c r="U383" t="s">
        <v>51</v>
      </c>
      <c r="V383" t="s">
        <v>91</v>
      </c>
      <c r="W383" t="s">
        <v>68</v>
      </c>
      <c r="X383" t="s">
        <v>54</v>
      </c>
      <c r="Y383" t="s">
        <v>55</v>
      </c>
      <c r="Z383" t="s">
        <v>107</v>
      </c>
      <c r="AA383" t="s">
        <v>565</v>
      </c>
      <c r="AB383">
        <v>23</v>
      </c>
      <c r="AC383" t="str">
        <f t="shared" si="16"/>
        <v>Evening</v>
      </c>
      <c r="AD383">
        <v>1</v>
      </c>
      <c r="AE383" t="s">
        <v>58</v>
      </c>
      <c r="AF383">
        <v>1</v>
      </c>
      <c r="AG383">
        <v>3</v>
      </c>
      <c r="AH383" t="s">
        <v>67</v>
      </c>
      <c r="AI383">
        <v>62920</v>
      </c>
      <c r="AJ383">
        <v>11440</v>
      </c>
      <c r="AK383">
        <v>5720</v>
      </c>
      <c r="AL383">
        <v>45760</v>
      </c>
      <c r="AM383" t="s">
        <v>94</v>
      </c>
      <c r="AN383" t="s">
        <v>250</v>
      </c>
      <c r="AO383">
        <v>2015</v>
      </c>
      <c r="AP383">
        <v>2012</v>
      </c>
      <c r="AQ383">
        <f t="shared" si="17"/>
        <v>3</v>
      </c>
      <c r="AR383" t="s">
        <v>87</v>
      </c>
    </row>
    <row r="384" spans="1:44" x14ac:dyDescent="0.25">
      <c r="A384">
        <v>113</v>
      </c>
      <c r="B384" t="str">
        <f t="shared" si="15"/>
        <v>5-10 years</v>
      </c>
      <c r="C384">
        <v>29</v>
      </c>
      <c r="D384" t="str" cm="1">
        <f t="array" ref="D384">_xlfn.IFS(C384&lt;26, "19-25", C384&lt;33, "26-32", C384&lt;40, "33-39", C384&lt;47, "40-46",C384&lt;54, "47-53", TRUE, "54+")</f>
        <v>26-32</v>
      </c>
      <c r="E384">
        <v>999435</v>
      </c>
      <c r="F384" s="1">
        <v>39448</v>
      </c>
      <c r="G384" t="s">
        <v>44</v>
      </c>
      <c r="H384" t="s">
        <v>45</v>
      </c>
      <c r="I384">
        <v>2000</v>
      </c>
      <c r="J384">
        <v>1091.73</v>
      </c>
      <c r="K384">
        <v>0</v>
      </c>
      <c r="L384">
        <v>601213</v>
      </c>
      <c r="M384" t="s">
        <v>46</v>
      </c>
      <c r="N384" t="s">
        <v>76</v>
      </c>
      <c r="O384" t="s">
        <v>130</v>
      </c>
      <c r="P384" t="s">
        <v>117</v>
      </c>
      <c r="Q384" t="s">
        <v>147</v>
      </c>
      <c r="R384">
        <v>36100</v>
      </c>
      <c r="S384">
        <v>-42300</v>
      </c>
      <c r="T384" s="1">
        <v>42009</v>
      </c>
      <c r="U384" t="s">
        <v>80</v>
      </c>
      <c r="V384" t="s">
        <v>81</v>
      </c>
      <c r="W384" t="s">
        <v>68</v>
      </c>
      <c r="X384" t="s">
        <v>125</v>
      </c>
      <c r="Y384" t="s">
        <v>82</v>
      </c>
      <c r="Z384" t="s">
        <v>107</v>
      </c>
      <c r="AA384" t="s">
        <v>566</v>
      </c>
      <c r="AB384">
        <v>15</v>
      </c>
      <c r="AC384" t="str">
        <f t="shared" si="16"/>
        <v>Afternoon</v>
      </c>
      <c r="AD384">
        <v>3</v>
      </c>
      <c r="AE384" t="s">
        <v>67</v>
      </c>
      <c r="AF384">
        <v>0</v>
      </c>
      <c r="AG384">
        <v>2</v>
      </c>
      <c r="AH384" t="s">
        <v>58</v>
      </c>
      <c r="AI384">
        <v>49950</v>
      </c>
      <c r="AJ384">
        <v>5550</v>
      </c>
      <c r="AK384">
        <v>5550</v>
      </c>
      <c r="AL384">
        <v>38850</v>
      </c>
      <c r="AM384" t="s">
        <v>109</v>
      </c>
      <c r="AN384" t="s">
        <v>292</v>
      </c>
      <c r="AO384">
        <v>2015</v>
      </c>
      <c r="AP384">
        <v>2004</v>
      </c>
      <c r="AQ384">
        <f t="shared" si="17"/>
        <v>11</v>
      </c>
      <c r="AR384" t="s">
        <v>61</v>
      </c>
    </row>
    <row r="385" spans="1:44" x14ac:dyDescent="0.25">
      <c r="A385">
        <v>289</v>
      </c>
      <c r="B385" t="str">
        <f t="shared" si="15"/>
        <v>10+ years</v>
      </c>
      <c r="C385">
        <v>46</v>
      </c>
      <c r="D385" t="str" cm="1">
        <f t="array" ref="D385">_xlfn.IFS(C385&lt;26, "19-25", C385&lt;33, "26-32", C385&lt;40, "33-39", C385&lt;47, "40-46",C385&lt;54, "47-53", TRUE, "54+")</f>
        <v>40-46</v>
      </c>
      <c r="E385">
        <v>858060</v>
      </c>
      <c r="F385" s="1">
        <v>38138</v>
      </c>
      <c r="G385" t="s">
        <v>88</v>
      </c>
      <c r="H385" t="s">
        <v>45</v>
      </c>
      <c r="I385">
        <v>2000</v>
      </c>
      <c r="J385">
        <v>1209.07</v>
      </c>
      <c r="K385">
        <v>0</v>
      </c>
      <c r="L385">
        <v>604138</v>
      </c>
      <c r="M385" t="s">
        <v>46</v>
      </c>
      <c r="N385" t="s">
        <v>166</v>
      </c>
      <c r="O385" t="s">
        <v>89</v>
      </c>
      <c r="P385" t="s">
        <v>173</v>
      </c>
      <c r="Q385" t="s">
        <v>90</v>
      </c>
      <c r="R385">
        <v>0</v>
      </c>
      <c r="S385">
        <v>0</v>
      </c>
      <c r="T385" s="1">
        <v>42063</v>
      </c>
      <c r="U385" t="s">
        <v>51</v>
      </c>
      <c r="V385" t="s">
        <v>81</v>
      </c>
      <c r="W385" t="s">
        <v>68</v>
      </c>
      <c r="X385" t="s">
        <v>141</v>
      </c>
      <c r="Y385" t="s">
        <v>126</v>
      </c>
      <c r="Z385" t="s">
        <v>92</v>
      </c>
      <c r="AA385" t="s">
        <v>567</v>
      </c>
      <c r="AB385">
        <v>18</v>
      </c>
      <c r="AC385" t="str">
        <f t="shared" si="16"/>
        <v>Evening</v>
      </c>
      <c r="AD385">
        <v>1</v>
      </c>
      <c r="AE385" t="s">
        <v>58</v>
      </c>
      <c r="AF385">
        <v>0</v>
      </c>
      <c r="AG385">
        <v>1</v>
      </c>
      <c r="AH385" t="s">
        <v>58</v>
      </c>
      <c r="AI385">
        <v>56430</v>
      </c>
      <c r="AJ385">
        <v>6270</v>
      </c>
      <c r="AK385">
        <v>6270</v>
      </c>
      <c r="AL385">
        <v>43890</v>
      </c>
      <c r="AM385" t="s">
        <v>192</v>
      </c>
      <c r="AN385" t="s">
        <v>193</v>
      </c>
      <c r="AO385">
        <v>2015</v>
      </c>
      <c r="AP385">
        <v>1995</v>
      </c>
      <c r="AQ385">
        <f t="shared" si="17"/>
        <v>20</v>
      </c>
      <c r="AR385" t="s">
        <v>61</v>
      </c>
    </row>
    <row r="386" spans="1:44" x14ac:dyDescent="0.25">
      <c r="A386">
        <v>254</v>
      </c>
      <c r="B386" t="str">
        <f t="shared" si="15"/>
        <v>10+ years</v>
      </c>
      <c r="C386">
        <v>41</v>
      </c>
      <c r="D386" t="str" cm="1">
        <f t="array" ref="D386">_xlfn.IFS(C386&lt;26, "19-25", C386&lt;33, "26-32", C386&lt;40, "33-39", C386&lt;47, "40-46",C386&lt;54, "47-53", TRUE, "54+")</f>
        <v>40-46</v>
      </c>
      <c r="E386">
        <v>500384</v>
      </c>
      <c r="F386" s="1">
        <v>41626</v>
      </c>
      <c r="G386" t="s">
        <v>88</v>
      </c>
      <c r="H386" t="s">
        <v>45</v>
      </c>
      <c r="I386">
        <v>2000</v>
      </c>
      <c r="J386">
        <v>1241.04</v>
      </c>
      <c r="K386">
        <v>0</v>
      </c>
      <c r="L386">
        <v>431361</v>
      </c>
      <c r="M386" t="s">
        <v>75</v>
      </c>
      <c r="N386" t="s">
        <v>129</v>
      </c>
      <c r="O386" t="s">
        <v>140</v>
      </c>
      <c r="P386" t="s">
        <v>78</v>
      </c>
      <c r="Q386" t="s">
        <v>79</v>
      </c>
      <c r="R386">
        <v>0</v>
      </c>
      <c r="S386">
        <v>0</v>
      </c>
      <c r="T386" s="1">
        <v>42008</v>
      </c>
      <c r="U386" t="s">
        <v>51</v>
      </c>
      <c r="V386" t="s">
        <v>91</v>
      </c>
      <c r="W386" t="s">
        <v>68</v>
      </c>
      <c r="X386" t="s">
        <v>54</v>
      </c>
      <c r="Y386" t="s">
        <v>82</v>
      </c>
      <c r="Z386" t="s">
        <v>70</v>
      </c>
      <c r="AA386" t="s">
        <v>568</v>
      </c>
      <c r="AB386">
        <v>16</v>
      </c>
      <c r="AC386" t="str">
        <f t="shared" si="16"/>
        <v>Afternoon</v>
      </c>
      <c r="AD386">
        <v>1</v>
      </c>
      <c r="AE386" t="s">
        <v>84</v>
      </c>
      <c r="AF386">
        <v>2</v>
      </c>
      <c r="AG386">
        <v>2</v>
      </c>
      <c r="AH386" t="s">
        <v>58</v>
      </c>
      <c r="AI386">
        <v>100210</v>
      </c>
      <c r="AJ386">
        <v>18220</v>
      </c>
      <c r="AK386">
        <v>18220</v>
      </c>
      <c r="AL386">
        <v>63770</v>
      </c>
      <c r="AM386" t="s">
        <v>114</v>
      </c>
      <c r="AN386" t="s">
        <v>115</v>
      </c>
      <c r="AO386">
        <v>2015</v>
      </c>
      <c r="AP386">
        <v>2014</v>
      </c>
      <c r="AQ386">
        <f t="shared" si="17"/>
        <v>1</v>
      </c>
      <c r="AR386" t="s">
        <v>87</v>
      </c>
    </row>
    <row r="387" spans="1:44" x14ac:dyDescent="0.25">
      <c r="A387">
        <v>115</v>
      </c>
      <c r="B387" t="str">
        <f t="shared" ref="B387:B450" si="18">IF(A387&lt;=24, "0-2 years", IF(A387&lt;=60, "2-5 years", IF(A387&lt;=120, "5-10 years", "10+ years")))</f>
        <v>5-10 years</v>
      </c>
      <c r="C387">
        <v>30</v>
      </c>
      <c r="D387" t="str" cm="1">
        <f t="array" ref="D387">_xlfn.IFS(C387&lt;26, "19-25", C387&lt;33, "26-32", C387&lt;40, "33-39", C387&lt;47, "40-46",C387&lt;54, "47-53", TRUE, "54+")</f>
        <v>26-32</v>
      </c>
      <c r="E387">
        <v>903785</v>
      </c>
      <c r="F387" s="1">
        <v>36762</v>
      </c>
      <c r="G387" t="s">
        <v>44</v>
      </c>
      <c r="H387" t="s">
        <v>96</v>
      </c>
      <c r="I387">
        <v>500</v>
      </c>
      <c r="J387">
        <v>1757.21</v>
      </c>
      <c r="K387">
        <v>0</v>
      </c>
      <c r="L387">
        <v>477695</v>
      </c>
      <c r="M387" t="s">
        <v>46</v>
      </c>
      <c r="N387" t="s">
        <v>136</v>
      </c>
      <c r="O387" t="s">
        <v>106</v>
      </c>
      <c r="P387" t="s">
        <v>111</v>
      </c>
      <c r="Q387" t="s">
        <v>124</v>
      </c>
      <c r="R387">
        <v>46400</v>
      </c>
      <c r="S387">
        <v>0</v>
      </c>
      <c r="T387" s="1">
        <v>42037</v>
      </c>
      <c r="U387" t="s">
        <v>80</v>
      </c>
      <c r="V387" t="s">
        <v>91</v>
      </c>
      <c r="W387" t="s">
        <v>68</v>
      </c>
      <c r="X387" t="s">
        <v>104</v>
      </c>
      <c r="Y387" t="s">
        <v>82</v>
      </c>
      <c r="Z387" t="s">
        <v>132</v>
      </c>
      <c r="AA387" t="s">
        <v>569</v>
      </c>
      <c r="AB387">
        <v>12</v>
      </c>
      <c r="AC387" t="str">
        <f t="shared" ref="AC387:AC450" si="19">IF(AB387&lt;6, "Night", IF(AB387&lt;12, "Morning", IF(AB387&lt;18, "Afternoon", "Evening")))</f>
        <v>Afternoon</v>
      </c>
      <c r="AD387">
        <v>3</v>
      </c>
      <c r="AE387" t="s">
        <v>84</v>
      </c>
      <c r="AF387">
        <v>1</v>
      </c>
      <c r="AG387">
        <v>0</v>
      </c>
      <c r="AH387" t="s">
        <v>58</v>
      </c>
      <c r="AI387">
        <v>49140</v>
      </c>
      <c r="AJ387">
        <v>5460</v>
      </c>
      <c r="AK387">
        <v>5460</v>
      </c>
      <c r="AL387">
        <v>38220</v>
      </c>
      <c r="AM387" t="s">
        <v>134</v>
      </c>
      <c r="AN387" t="s">
        <v>135</v>
      </c>
      <c r="AO387">
        <v>2015</v>
      </c>
      <c r="AP387">
        <v>2007</v>
      </c>
      <c r="AQ387">
        <f t="shared" ref="AQ387:AQ450" si="20">AO387-AP387</f>
        <v>8</v>
      </c>
      <c r="AR387" t="s">
        <v>87</v>
      </c>
    </row>
    <row r="388" spans="1:44" x14ac:dyDescent="0.25">
      <c r="A388">
        <v>236</v>
      </c>
      <c r="B388" t="str">
        <f t="shared" si="18"/>
        <v>10+ years</v>
      </c>
      <c r="C388">
        <v>38</v>
      </c>
      <c r="D388" t="str" cm="1">
        <f t="array" ref="D388">_xlfn.IFS(C388&lt;26, "19-25", C388&lt;33, "26-32", C388&lt;40, "33-39", C388&lt;47, "40-46",C388&lt;54, "47-53", TRUE, "54+")</f>
        <v>33-39</v>
      </c>
      <c r="E388">
        <v>873859</v>
      </c>
      <c r="F388" s="1">
        <v>33891</v>
      </c>
      <c r="G388" t="s">
        <v>44</v>
      </c>
      <c r="H388" t="s">
        <v>45</v>
      </c>
      <c r="I388">
        <v>1000</v>
      </c>
      <c r="J388">
        <v>802.24</v>
      </c>
      <c r="K388">
        <v>0</v>
      </c>
      <c r="L388">
        <v>612597</v>
      </c>
      <c r="M388" t="s">
        <v>75</v>
      </c>
      <c r="N388" t="s">
        <v>146</v>
      </c>
      <c r="O388" t="s">
        <v>116</v>
      </c>
      <c r="P388" t="s">
        <v>170</v>
      </c>
      <c r="Q388" t="s">
        <v>147</v>
      </c>
      <c r="R388">
        <v>0</v>
      </c>
      <c r="S388">
        <v>-62500</v>
      </c>
      <c r="T388" s="1">
        <v>42058</v>
      </c>
      <c r="U388" t="s">
        <v>51</v>
      </c>
      <c r="V388" t="s">
        <v>52</v>
      </c>
      <c r="W388" t="s">
        <v>53</v>
      </c>
      <c r="X388" t="s">
        <v>141</v>
      </c>
      <c r="Y388" t="s">
        <v>118</v>
      </c>
      <c r="Z388" t="s">
        <v>161</v>
      </c>
      <c r="AA388" t="s">
        <v>570</v>
      </c>
      <c r="AB388">
        <v>16</v>
      </c>
      <c r="AC388" t="str">
        <f t="shared" si="19"/>
        <v>Afternoon</v>
      </c>
      <c r="AD388">
        <v>1</v>
      </c>
      <c r="AE388" t="s">
        <v>84</v>
      </c>
      <c r="AF388">
        <v>0</v>
      </c>
      <c r="AG388">
        <v>1</v>
      </c>
      <c r="AH388" t="s">
        <v>67</v>
      </c>
      <c r="AI388">
        <v>66840</v>
      </c>
      <c r="AJ388">
        <v>16710</v>
      </c>
      <c r="AK388">
        <v>5570</v>
      </c>
      <c r="AL388">
        <v>44560</v>
      </c>
      <c r="AM388" t="s">
        <v>72</v>
      </c>
      <c r="AN388" t="s">
        <v>73</v>
      </c>
      <c r="AO388">
        <v>2015</v>
      </c>
      <c r="AP388">
        <v>2014</v>
      </c>
      <c r="AQ388">
        <f t="shared" si="20"/>
        <v>1</v>
      </c>
      <c r="AR388" t="s">
        <v>87</v>
      </c>
    </row>
    <row r="389" spans="1:44" x14ac:dyDescent="0.25">
      <c r="A389">
        <v>7</v>
      </c>
      <c r="B389" t="str">
        <f t="shared" si="18"/>
        <v>0-2 years</v>
      </c>
      <c r="C389">
        <v>21</v>
      </c>
      <c r="D389" t="str" cm="1">
        <f t="array" ref="D389">_xlfn.IFS(C389&lt;26, "19-25", C389&lt;33, "26-32", C389&lt;40, "33-39", C389&lt;47, "40-46",C389&lt;54, "47-53", TRUE, "54+")</f>
        <v>19-25</v>
      </c>
      <c r="E389">
        <v>204294</v>
      </c>
      <c r="F389" s="1">
        <v>33558</v>
      </c>
      <c r="G389" t="s">
        <v>62</v>
      </c>
      <c r="H389" t="s">
        <v>96</v>
      </c>
      <c r="I389">
        <v>1000</v>
      </c>
      <c r="J389">
        <v>1342.72</v>
      </c>
      <c r="K389">
        <v>0</v>
      </c>
      <c r="L389">
        <v>445638</v>
      </c>
      <c r="M389" t="s">
        <v>46</v>
      </c>
      <c r="N389" t="s">
        <v>97</v>
      </c>
      <c r="O389" t="s">
        <v>63</v>
      </c>
      <c r="P389" t="s">
        <v>123</v>
      </c>
      <c r="Q389" t="s">
        <v>124</v>
      </c>
      <c r="R389">
        <v>0</v>
      </c>
      <c r="S389">
        <v>-45300</v>
      </c>
      <c r="T389" s="1">
        <v>42045</v>
      </c>
      <c r="U389" t="s">
        <v>51</v>
      </c>
      <c r="V389" t="s">
        <v>91</v>
      </c>
      <c r="W389" t="s">
        <v>112</v>
      </c>
      <c r="X389" t="s">
        <v>125</v>
      </c>
      <c r="Y389" t="s">
        <v>82</v>
      </c>
      <c r="Z389" t="s">
        <v>127</v>
      </c>
      <c r="AA389" t="s">
        <v>571</v>
      </c>
      <c r="AB389">
        <v>21</v>
      </c>
      <c r="AC389" t="str">
        <f t="shared" si="19"/>
        <v>Evening</v>
      </c>
      <c r="AD389">
        <v>1</v>
      </c>
      <c r="AE389" t="s">
        <v>67</v>
      </c>
      <c r="AF389">
        <v>1</v>
      </c>
      <c r="AG389">
        <v>2</v>
      </c>
      <c r="AH389" t="s">
        <v>67</v>
      </c>
      <c r="AI389">
        <v>62460</v>
      </c>
      <c r="AJ389">
        <v>6940</v>
      </c>
      <c r="AK389">
        <v>6940</v>
      </c>
      <c r="AL389">
        <v>48580</v>
      </c>
      <c r="AM389" t="s">
        <v>214</v>
      </c>
      <c r="AN389" t="s">
        <v>236</v>
      </c>
      <c r="AO389">
        <v>2015</v>
      </c>
      <c r="AP389">
        <v>2003</v>
      </c>
      <c r="AQ389">
        <f t="shared" si="20"/>
        <v>12</v>
      </c>
      <c r="AR389" t="s">
        <v>87</v>
      </c>
    </row>
    <row r="390" spans="1:44" x14ac:dyDescent="0.25">
      <c r="A390">
        <v>208</v>
      </c>
      <c r="B390" t="str">
        <f t="shared" si="18"/>
        <v>10+ years</v>
      </c>
      <c r="C390">
        <v>36</v>
      </c>
      <c r="D390" t="str" cm="1">
        <f t="array" ref="D390">_xlfn.IFS(C390&lt;26, "19-25", C390&lt;33, "26-32", C390&lt;40, "33-39", C390&lt;47, "40-46",C390&lt;54, "47-53", TRUE, "54+")</f>
        <v>33-39</v>
      </c>
      <c r="E390">
        <v>467106</v>
      </c>
      <c r="F390" s="1">
        <v>34980</v>
      </c>
      <c r="G390" t="s">
        <v>44</v>
      </c>
      <c r="H390" t="s">
        <v>74</v>
      </c>
      <c r="I390">
        <v>2000</v>
      </c>
      <c r="J390">
        <v>1209.4100000000001</v>
      </c>
      <c r="K390">
        <v>5000000</v>
      </c>
      <c r="L390">
        <v>476185</v>
      </c>
      <c r="M390" t="s">
        <v>46</v>
      </c>
      <c r="N390" t="s">
        <v>166</v>
      </c>
      <c r="O390" t="s">
        <v>63</v>
      </c>
      <c r="P390" t="s">
        <v>111</v>
      </c>
      <c r="Q390" t="s">
        <v>124</v>
      </c>
      <c r="R390">
        <v>0</v>
      </c>
      <c r="S390">
        <v>0</v>
      </c>
      <c r="T390" s="1">
        <v>42051</v>
      </c>
      <c r="U390" t="s">
        <v>80</v>
      </c>
      <c r="V390" t="s">
        <v>52</v>
      </c>
      <c r="W390" t="s">
        <v>112</v>
      </c>
      <c r="X390" t="s">
        <v>125</v>
      </c>
      <c r="Y390" t="s">
        <v>82</v>
      </c>
      <c r="Z390" t="s">
        <v>56</v>
      </c>
      <c r="AA390" t="s">
        <v>572</v>
      </c>
      <c r="AB390">
        <v>15</v>
      </c>
      <c r="AC390" t="str">
        <f t="shared" si="19"/>
        <v>Afternoon</v>
      </c>
      <c r="AD390">
        <v>3</v>
      </c>
      <c r="AE390" t="s">
        <v>58</v>
      </c>
      <c r="AF390">
        <v>0</v>
      </c>
      <c r="AG390">
        <v>1</v>
      </c>
      <c r="AH390" t="s">
        <v>67</v>
      </c>
      <c r="AI390">
        <v>62810</v>
      </c>
      <c r="AJ390">
        <v>11420</v>
      </c>
      <c r="AK390">
        <v>11420</v>
      </c>
      <c r="AL390">
        <v>39970</v>
      </c>
      <c r="AM390" t="s">
        <v>109</v>
      </c>
      <c r="AN390" t="s">
        <v>292</v>
      </c>
      <c r="AO390">
        <v>2015</v>
      </c>
      <c r="AP390">
        <v>1999</v>
      </c>
      <c r="AQ390">
        <f t="shared" si="20"/>
        <v>16</v>
      </c>
      <c r="AR390" t="s">
        <v>87</v>
      </c>
    </row>
    <row r="391" spans="1:44" x14ac:dyDescent="0.25">
      <c r="A391">
        <v>126</v>
      </c>
      <c r="B391" t="str">
        <f t="shared" si="18"/>
        <v>10+ years</v>
      </c>
      <c r="C391">
        <v>33</v>
      </c>
      <c r="D391" t="str" cm="1">
        <f t="array" ref="D391">_xlfn.IFS(C391&lt;26, "19-25", C391&lt;33, "26-32", C391&lt;40, "33-39", C391&lt;47, "40-46",C391&lt;54, "47-53", TRUE, "54+")</f>
        <v>33-39</v>
      </c>
      <c r="E391">
        <v>357713</v>
      </c>
      <c r="F391" s="1">
        <v>39383</v>
      </c>
      <c r="G391" t="s">
        <v>44</v>
      </c>
      <c r="H391" t="s">
        <v>96</v>
      </c>
      <c r="I391">
        <v>1000</v>
      </c>
      <c r="J391">
        <v>1141.71</v>
      </c>
      <c r="K391">
        <v>2000000</v>
      </c>
      <c r="L391">
        <v>435995</v>
      </c>
      <c r="M391" t="s">
        <v>75</v>
      </c>
      <c r="N391" t="s">
        <v>166</v>
      </c>
      <c r="O391" t="s">
        <v>122</v>
      </c>
      <c r="P391" t="s">
        <v>49</v>
      </c>
      <c r="Q391" t="s">
        <v>79</v>
      </c>
      <c r="R391">
        <v>36700</v>
      </c>
      <c r="S391">
        <v>-73400</v>
      </c>
      <c r="T391" s="1">
        <v>42008</v>
      </c>
      <c r="U391" t="s">
        <v>51</v>
      </c>
      <c r="V391" t="s">
        <v>91</v>
      </c>
      <c r="W391" t="s">
        <v>53</v>
      </c>
      <c r="X391" t="s">
        <v>141</v>
      </c>
      <c r="Y391" t="s">
        <v>118</v>
      </c>
      <c r="Z391" t="s">
        <v>161</v>
      </c>
      <c r="AA391" t="s">
        <v>573</v>
      </c>
      <c r="AB391">
        <v>21</v>
      </c>
      <c r="AC391" t="str">
        <f t="shared" si="19"/>
        <v>Evening</v>
      </c>
      <c r="AD391">
        <v>1</v>
      </c>
      <c r="AE391" t="s">
        <v>58</v>
      </c>
      <c r="AF391">
        <v>1</v>
      </c>
      <c r="AG391">
        <v>2</v>
      </c>
      <c r="AH391" t="s">
        <v>67</v>
      </c>
      <c r="AI391">
        <v>54160</v>
      </c>
      <c r="AJ391">
        <v>6770</v>
      </c>
      <c r="AK391">
        <v>6770</v>
      </c>
      <c r="AL391">
        <v>40620</v>
      </c>
      <c r="AM391" t="s">
        <v>158</v>
      </c>
      <c r="AN391" t="s">
        <v>159</v>
      </c>
      <c r="AO391">
        <v>2015</v>
      </c>
      <c r="AP391">
        <v>2009</v>
      </c>
      <c r="AQ391">
        <f t="shared" si="20"/>
        <v>6</v>
      </c>
      <c r="AR391" t="s">
        <v>87</v>
      </c>
    </row>
    <row r="392" spans="1:44" x14ac:dyDescent="0.25">
      <c r="A392">
        <v>48</v>
      </c>
      <c r="B392" t="str">
        <f t="shared" si="18"/>
        <v>2-5 years</v>
      </c>
      <c r="C392">
        <v>35</v>
      </c>
      <c r="D392" t="str" cm="1">
        <f t="array" ref="D392">_xlfn.IFS(C392&lt;26, "19-25", C392&lt;33, "26-32", C392&lt;40, "33-39", C392&lt;47, "40-46",C392&lt;54, "47-53", TRUE, "54+")</f>
        <v>33-39</v>
      </c>
      <c r="E392">
        <v>890026</v>
      </c>
      <c r="F392" s="1">
        <v>39584</v>
      </c>
      <c r="G392" t="s">
        <v>88</v>
      </c>
      <c r="H392" t="s">
        <v>74</v>
      </c>
      <c r="I392">
        <v>500</v>
      </c>
      <c r="J392">
        <v>1090.03</v>
      </c>
      <c r="K392">
        <v>0</v>
      </c>
      <c r="L392">
        <v>430232</v>
      </c>
      <c r="M392" t="s">
        <v>75</v>
      </c>
      <c r="N392" t="s">
        <v>166</v>
      </c>
      <c r="O392" t="s">
        <v>130</v>
      </c>
      <c r="P392" t="s">
        <v>117</v>
      </c>
      <c r="Q392" t="s">
        <v>90</v>
      </c>
      <c r="R392">
        <v>0</v>
      </c>
      <c r="S392">
        <v>-51000</v>
      </c>
      <c r="T392" s="1">
        <v>42034</v>
      </c>
      <c r="U392" t="s">
        <v>51</v>
      </c>
      <c r="V392" t="s">
        <v>81</v>
      </c>
      <c r="W392" t="s">
        <v>53</v>
      </c>
      <c r="X392" t="s">
        <v>141</v>
      </c>
      <c r="Y392" t="s">
        <v>118</v>
      </c>
      <c r="Z392" t="s">
        <v>92</v>
      </c>
      <c r="AA392" t="s">
        <v>574</v>
      </c>
      <c r="AB392">
        <v>1</v>
      </c>
      <c r="AC392" t="str">
        <f t="shared" si="19"/>
        <v>Night</v>
      </c>
      <c r="AD392">
        <v>1</v>
      </c>
      <c r="AE392" t="s">
        <v>58</v>
      </c>
      <c r="AF392">
        <v>0</v>
      </c>
      <c r="AG392">
        <v>2</v>
      </c>
      <c r="AH392" t="s">
        <v>84</v>
      </c>
      <c r="AI392">
        <v>48400</v>
      </c>
      <c r="AJ392">
        <v>9680</v>
      </c>
      <c r="AK392">
        <v>4840</v>
      </c>
      <c r="AL392">
        <v>33880</v>
      </c>
      <c r="AM392" t="s">
        <v>59</v>
      </c>
      <c r="AN392" t="s">
        <v>60</v>
      </c>
      <c r="AO392">
        <v>2015</v>
      </c>
      <c r="AP392">
        <v>2005</v>
      </c>
      <c r="AQ392">
        <f t="shared" si="20"/>
        <v>10</v>
      </c>
      <c r="AR392" t="s">
        <v>87</v>
      </c>
    </row>
    <row r="393" spans="1:44" x14ac:dyDescent="0.25">
      <c r="A393">
        <v>297</v>
      </c>
      <c r="B393" t="str">
        <f t="shared" si="18"/>
        <v>10+ years</v>
      </c>
      <c r="C393">
        <v>48</v>
      </c>
      <c r="D393" t="str" cm="1">
        <f t="array" ref="D393">_xlfn.IFS(C393&lt;26, "19-25", C393&lt;33, "26-32", C393&lt;40, "33-39", C393&lt;47, "40-46",C393&lt;54, "47-53", TRUE, "54+")</f>
        <v>47-53</v>
      </c>
      <c r="E393">
        <v>751612</v>
      </c>
      <c r="F393" s="1">
        <v>39986</v>
      </c>
      <c r="G393" t="s">
        <v>62</v>
      </c>
      <c r="H393" t="s">
        <v>45</v>
      </c>
      <c r="I393">
        <v>1000</v>
      </c>
      <c r="J393">
        <v>1464.73</v>
      </c>
      <c r="K393">
        <v>3000000</v>
      </c>
      <c r="L393">
        <v>443861</v>
      </c>
      <c r="M393" t="s">
        <v>46</v>
      </c>
      <c r="N393" t="s">
        <v>76</v>
      </c>
      <c r="O393" t="s">
        <v>130</v>
      </c>
      <c r="P393" t="s">
        <v>117</v>
      </c>
      <c r="Q393" t="s">
        <v>65</v>
      </c>
      <c r="R393">
        <v>54900</v>
      </c>
      <c r="S393">
        <v>-36700</v>
      </c>
      <c r="T393" s="1">
        <v>42029</v>
      </c>
      <c r="U393" t="s">
        <v>80</v>
      </c>
      <c r="V393" t="s">
        <v>52</v>
      </c>
      <c r="W393" t="s">
        <v>112</v>
      </c>
      <c r="X393" t="s">
        <v>104</v>
      </c>
      <c r="Y393" t="s">
        <v>82</v>
      </c>
      <c r="Z393" t="s">
        <v>92</v>
      </c>
      <c r="AA393" t="s">
        <v>575</v>
      </c>
      <c r="AB393">
        <v>17</v>
      </c>
      <c r="AC393" t="str">
        <f t="shared" si="19"/>
        <v>Afternoon</v>
      </c>
      <c r="AD393">
        <v>3</v>
      </c>
      <c r="AE393" t="s">
        <v>67</v>
      </c>
      <c r="AF393">
        <v>0</v>
      </c>
      <c r="AG393">
        <v>0</v>
      </c>
      <c r="AH393" t="s">
        <v>84</v>
      </c>
      <c r="AI393">
        <v>51480</v>
      </c>
      <c r="AJ393">
        <v>5720</v>
      </c>
      <c r="AK393">
        <v>5720</v>
      </c>
      <c r="AL393">
        <v>40040</v>
      </c>
      <c r="AM393" t="s">
        <v>120</v>
      </c>
      <c r="AN393" t="s">
        <v>145</v>
      </c>
      <c r="AO393">
        <v>2015</v>
      </c>
      <c r="AP393">
        <v>2013</v>
      </c>
      <c r="AQ393">
        <f t="shared" si="20"/>
        <v>2</v>
      </c>
      <c r="AR393" t="s">
        <v>87</v>
      </c>
    </row>
    <row r="394" spans="1:44" x14ac:dyDescent="0.25">
      <c r="A394">
        <v>160</v>
      </c>
      <c r="B394" t="str">
        <f t="shared" si="18"/>
        <v>10+ years</v>
      </c>
      <c r="C394">
        <v>36</v>
      </c>
      <c r="D394" t="str" cm="1">
        <f t="array" ref="D394">_xlfn.IFS(C394&lt;26, "19-25", C394&lt;33, "26-32", C394&lt;40, "33-39", C394&lt;47, "40-46",C394&lt;54, "47-53", TRUE, "54+")</f>
        <v>33-39</v>
      </c>
      <c r="E394">
        <v>876680</v>
      </c>
      <c r="F394" s="1">
        <v>41039</v>
      </c>
      <c r="G394" t="s">
        <v>44</v>
      </c>
      <c r="H394" t="s">
        <v>74</v>
      </c>
      <c r="I394">
        <v>1000</v>
      </c>
      <c r="J394">
        <v>1118.58</v>
      </c>
      <c r="K394">
        <v>0</v>
      </c>
      <c r="L394">
        <v>460801</v>
      </c>
      <c r="M394" t="s">
        <v>75</v>
      </c>
      <c r="N394" t="s">
        <v>136</v>
      </c>
      <c r="O394" t="s">
        <v>106</v>
      </c>
      <c r="P394" t="s">
        <v>78</v>
      </c>
      <c r="Q394" t="s">
        <v>50</v>
      </c>
      <c r="R394">
        <v>0</v>
      </c>
      <c r="S394">
        <v>-36600</v>
      </c>
      <c r="T394" s="1">
        <v>42026</v>
      </c>
      <c r="U394" t="s">
        <v>80</v>
      </c>
      <c r="V394" t="s">
        <v>81</v>
      </c>
      <c r="W394" t="s">
        <v>112</v>
      </c>
      <c r="X394" t="s">
        <v>104</v>
      </c>
      <c r="Y394" t="s">
        <v>82</v>
      </c>
      <c r="Z394" t="s">
        <v>56</v>
      </c>
      <c r="AA394" t="s">
        <v>576</v>
      </c>
      <c r="AB394">
        <v>5</v>
      </c>
      <c r="AC394" t="str">
        <f t="shared" si="19"/>
        <v>Night</v>
      </c>
      <c r="AD394">
        <v>3</v>
      </c>
      <c r="AE394" t="s">
        <v>84</v>
      </c>
      <c r="AF394">
        <v>2</v>
      </c>
      <c r="AG394">
        <v>1</v>
      </c>
      <c r="AH394" t="s">
        <v>84</v>
      </c>
      <c r="AI394">
        <v>51700</v>
      </c>
      <c r="AJ394">
        <v>5170</v>
      </c>
      <c r="AK394">
        <v>10340</v>
      </c>
      <c r="AL394">
        <v>36190</v>
      </c>
      <c r="AM394" t="s">
        <v>59</v>
      </c>
      <c r="AN394">
        <v>95</v>
      </c>
      <c r="AO394">
        <v>2015</v>
      </c>
      <c r="AP394">
        <v>2003</v>
      </c>
      <c r="AQ394">
        <f t="shared" si="20"/>
        <v>12</v>
      </c>
      <c r="AR394" t="s">
        <v>87</v>
      </c>
    </row>
    <row r="395" spans="1:44" x14ac:dyDescent="0.25">
      <c r="A395">
        <v>406</v>
      </c>
      <c r="B395" t="str">
        <f t="shared" si="18"/>
        <v>10+ years</v>
      </c>
      <c r="C395">
        <v>58</v>
      </c>
      <c r="D395" t="str" cm="1">
        <f t="array" ref="D395">_xlfn.IFS(C395&lt;26, "19-25", C395&lt;33, "26-32", C395&lt;40, "33-39", C395&lt;47, "40-46",C395&lt;54, "47-53", TRUE, "54+")</f>
        <v>54+</v>
      </c>
      <c r="E395">
        <v>756981</v>
      </c>
      <c r="F395" s="1">
        <v>37896</v>
      </c>
      <c r="G395" t="s">
        <v>44</v>
      </c>
      <c r="H395" t="s">
        <v>45</v>
      </c>
      <c r="I395">
        <v>2000</v>
      </c>
      <c r="J395">
        <v>1117.04</v>
      </c>
      <c r="K395">
        <v>0</v>
      </c>
      <c r="L395">
        <v>605121</v>
      </c>
      <c r="M395" t="s">
        <v>46</v>
      </c>
      <c r="N395" t="s">
        <v>47</v>
      </c>
      <c r="O395" t="s">
        <v>130</v>
      </c>
      <c r="P395" t="s">
        <v>186</v>
      </c>
      <c r="Q395" t="s">
        <v>79</v>
      </c>
      <c r="R395">
        <v>0</v>
      </c>
      <c r="S395">
        <v>-42700</v>
      </c>
      <c r="T395" s="1">
        <v>42005</v>
      </c>
      <c r="U395" t="s">
        <v>80</v>
      </c>
      <c r="V395" t="s">
        <v>91</v>
      </c>
      <c r="W395" t="s">
        <v>112</v>
      </c>
      <c r="X395" t="s">
        <v>125</v>
      </c>
      <c r="Y395" t="s">
        <v>118</v>
      </c>
      <c r="Z395" t="s">
        <v>132</v>
      </c>
      <c r="AA395" t="s">
        <v>577</v>
      </c>
      <c r="AB395">
        <v>15</v>
      </c>
      <c r="AC395" t="str">
        <f t="shared" si="19"/>
        <v>Afternoon</v>
      </c>
      <c r="AD395">
        <v>3</v>
      </c>
      <c r="AE395" t="s">
        <v>67</v>
      </c>
      <c r="AF395">
        <v>1</v>
      </c>
      <c r="AG395">
        <v>2</v>
      </c>
      <c r="AH395" t="s">
        <v>67</v>
      </c>
      <c r="AI395">
        <v>65520</v>
      </c>
      <c r="AJ395">
        <v>10920</v>
      </c>
      <c r="AK395">
        <v>5460</v>
      </c>
      <c r="AL395">
        <v>49140</v>
      </c>
      <c r="AM395" t="s">
        <v>219</v>
      </c>
      <c r="AN395" t="s">
        <v>263</v>
      </c>
      <c r="AO395">
        <v>2015</v>
      </c>
      <c r="AP395">
        <v>2009</v>
      </c>
      <c r="AQ395">
        <f t="shared" si="20"/>
        <v>6</v>
      </c>
      <c r="AR395" t="s">
        <v>87</v>
      </c>
    </row>
    <row r="396" spans="1:44" x14ac:dyDescent="0.25">
      <c r="A396">
        <v>157</v>
      </c>
      <c r="B396" t="str">
        <f t="shared" si="18"/>
        <v>10+ years</v>
      </c>
      <c r="C396">
        <v>31</v>
      </c>
      <c r="D396" t="str" cm="1">
        <f t="array" ref="D396">_xlfn.IFS(C396&lt;26, "19-25", C396&lt;33, "26-32", C396&lt;40, "33-39", C396&lt;47, "40-46",C396&lt;54, "47-53", TRUE, "54+")</f>
        <v>26-32</v>
      </c>
      <c r="E396">
        <v>121439</v>
      </c>
      <c r="F396" s="1">
        <v>33087</v>
      </c>
      <c r="G396" t="s">
        <v>62</v>
      </c>
      <c r="H396" t="s">
        <v>96</v>
      </c>
      <c r="I396">
        <v>500</v>
      </c>
      <c r="J396">
        <v>1257.83</v>
      </c>
      <c r="K396">
        <v>7000000</v>
      </c>
      <c r="L396">
        <v>458622</v>
      </c>
      <c r="M396" t="s">
        <v>46</v>
      </c>
      <c r="N396" t="s">
        <v>136</v>
      </c>
      <c r="O396" t="s">
        <v>194</v>
      </c>
      <c r="P396" t="s">
        <v>64</v>
      </c>
      <c r="Q396" t="s">
        <v>79</v>
      </c>
      <c r="R396">
        <v>40700</v>
      </c>
      <c r="S396">
        <v>-41600</v>
      </c>
      <c r="T396" s="1">
        <v>42049</v>
      </c>
      <c r="U396" t="s">
        <v>80</v>
      </c>
      <c r="V396" t="s">
        <v>81</v>
      </c>
      <c r="W396" t="s">
        <v>53</v>
      </c>
      <c r="X396" t="s">
        <v>125</v>
      </c>
      <c r="Y396" t="s">
        <v>44</v>
      </c>
      <c r="Z396" t="s">
        <v>92</v>
      </c>
      <c r="AA396" t="s">
        <v>578</v>
      </c>
      <c r="AB396">
        <v>2</v>
      </c>
      <c r="AC396" t="str">
        <f t="shared" si="19"/>
        <v>Night</v>
      </c>
      <c r="AD396">
        <v>4</v>
      </c>
      <c r="AE396" t="s">
        <v>84</v>
      </c>
      <c r="AF396">
        <v>2</v>
      </c>
      <c r="AG396">
        <v>2</v>
      </c>
      <c r="AH396" t="s">
        <v>84</v>
      </c>
      <c r="AI396">
        <v>47700</v>
      </c>
      <c r="AJ396">
        <v>4770</v>
      </c>
      <c r="AK396">
        <v>9540</v>
      </c>
      <c r="AL396">
        <v>33390</v>
      </c>
      <c r="AM396" t="s">
        <v>100</v>
      </c>
      <c r="AN396" t="s">
        <v>163</v>
      </c>
      <c r="AO396">
        <v>2015</v>
      </c>
      <c r="AP396">
        <v>2011</v>
      </c>
      <c r="AQ396">
        <f t="shared" si="20"/>
        <v>4</v>
      </c>
      <c r="AR396" t="s">
        <v>61</v>
      </c>
    </row>
    <row r="397" spans="1:44" x14ac:dyDescent="0.25">
      <c r="A397">
        <v>146</v>
      </c>
      <c r="B397" t="str">
        <f t="shared" si="18"/>
        <v>10+ years</v>
      </c>
      <c r="C397">
        <v>31</v>
      </c>
      <c r="D397" t="str" cm="1">
        <f t="array" ref="D397">_xlfn.IFS(C397&lt;26, "19-25", C397&lt;33, "26-32", C397&lt;40, "33-39", C397&lt;47, "40-46",C397&lt;54, "47-53", TRUE, "54+")</f>
        <v>26-32</v>
      </c>
      <c r="E397">
        <v>411289</v>
      </c>
      <c r="F397" s="1">
        <v>35689</v>
      </c>
      <c r="G397" t="s">
        <v>44</v>
      </c>
      <c r="H397" t="s">
        <v>45</v>
      </c>
      <c r="I397">
        <v>2000</v>
      </c>
      <c r="J397">
        <v>1082.72</v>
      </c>
      <c r="K397">
        <v>0</v>
      </c>
      <c r="L397">
        <v>478661</v>
      </c>
      <c r="M397" t="s">
        <v>75</v>
      </c>
      <c r="N397" t="s">
        <v>76</v>
      </c>
      <c r="O397" t="s">
        <v>63</v>
      </c>
      <c r="P397" t="s">
        <v>186</v>
      </c>
      <c r="Q397" t="s">
        <v>147</v>
      </c>
      <c r="R397">
        <v>61400</v>
      </c>
      <c r="S397">
        <v>-57500</v>
      </c>
      <c r="T397" s="1">
        <v>42019</v>
      </c>
      <c r="U397" t="s">
        <v>66</v>
      </c>
      <c r="V397" t="s">
        <v>67</v>
      </c>
      <c r="W397" t="s">
        <v>68</v>
      </c>
      <c r="X397" t="s">
        <v>98</v>
      </c>
      <c r="Y397" t="s">
        <v>55</v>
      </c>
      <c r="Z397" t="s">
        <v>132</v>
      </c>
      <c r="AA397" t="s">
        <v>579</v>
      </c>
      <c r="AB397">
        <v>3</v>
      </c>
      <c r="AC397" t="str">
        <f t="shared" si="19"/>
        <v>Night</v>
      </c>
      <c r="AD397">
        <v>1</v>
      </c>
      <c r="AE397" t="s">
        <v>58</v>
      </c>
      <c r="AF397">
        <v>2</v>
      </c>
      <c r="AG397">
        <v>0</v>
      </c>
      <c r="AH397" t="s">
        <v>84</v>
      </c>
      <c r="AI397">
        <v>5220</v>
      </c>
      <c r="AJ397">
        <v>580</v>
      </c>
      <c r="AK397">
        <v>580</v>
      </c>
      <c r="AL397">
        <v>4060</v>
      </c>
      <c r="AM397" t="s">
        <v>100</v>
      </c>
      <c r="AN397" t="s">
        <v>153</v>
      </c>
      <c r="AO397">
        <v>2015</v>
      </c>
      <c r="AP397">
        <v>2015</v>
      </c>
      <c r="AQ397">
        <f t="shared" si="20"/>
        <v>0</v>
      </c>
      <c r="AR397" t="s">
        <v>87</v>
      </c>
    </row>
    <row r="398" spans="1:44" x14ac:dyDescent="0.25">
      <c r="A398">
        <v>409</v>
      </c>
      <c r="B398" t="str">
        <f t="shared" si="18"/>
        <v>10+ years</v>
      </c>
      <c r="C398">
        <v>57</v>
      </c>
      <c r="D398" t="str" cm="1">
        <f t="array" ref="D398">_xlfn.IFS(C398&lt;26, "19-25", C398&lt;33, "26-32", C398&lt;40, "33-39", C398&lt;47, "40-46",C398&lt;54, "47-53", TRUE, "54+")</f>
        <v>54+</v>
      </c>
      <c r="E398">
        <v>538466</v>
      </c>
      <c r="F398" s="1">
        <v>34909</v>
      </c>
      <c r="G398" t="s">
        <v>62</v>
      </c>
      <c r="H398" t="s">
        <v>74</v>
      </c>
      <c r="I398">
        <v>1000</v>
      </c>
      <c r="J398">
        <v>1191.8</v>
      </c>
      <c r="K398">
        <v>6000000</v>
      </c>
      <c r="L398">
        <v>435299</v>
      </c>
      <c r="M398" t="s">
        <v>46</v>
      </c>
      <c r="N398" t="s">
        <v>136</v>
      </c>
      <c r="O398" t="s">
        <v>140</v>
      </c>
      <c r="P398" t="s">
        <v>269</v>
      </c>
      <c r="Q398" t="s">
        <v>90</v>
      </c>
      <c r="R398">
        <v>55600</v>
      </c>
      <c r="S398">
        <v>0</v>
      </c>
      <c r="T398" s="1">
        <v>42010</v>
      </c>
      <c r="U398" t="s">
        <v>51</v>
      </c>
      <c r="V398" t="s">
        <v>52</v>
      </c>
      <c r="W398" t="s">
        <v>53</v>
      </c>
      <c r="X398" t="s">
        <v>125</v>
      </c>
      <c r="Y398" t="s">
        <v>82</v>
      </c>
      <c r="Z398" t="s">
        <v>70</v>
      </c>
      <c r="AA398" t="s">
        <v>580</v>
      </c>
      <c r="AB398">
        <v>19</v>
      </c>
      <c r="AC398" t="str">
        <f t="shared" si="19"/>
        <v>Evening</v>
      </c>
      <c r="AD398">
        <v>1</v>
      </c>
      <c r="AE398" t="s">
        <v>84</v>
      </c>
      <c r="AF398">
        <v>1</v>
      </c>
      <c r="AG398">
        <v>0</v>
      </c>
      <c r="AH398" t="s">
        <v>67</v>
      </c>
      <c r="AI398">
        <v>73320</v>
      </c>
      <c r="AJ398">
        <v>6110</v>
      </c>
      <c r="AK398">
        <v>12220</v>
      </c>
      <c r="AL398">
        <v>54990</v>
      </c>
      <c r="AM398" t="s">
        <v>134</v>
      </c>
      <c r="AN398" t="s">
        <v>254</v>
      </c>
      <c r="AO398">
        <v>2015</v>
      </c>
      <c r="AP398">
        <v>2012</v>
      </c>
      <c r="AQ398">
        <f t="shared" si="20"/>
        <v>3</v>
      </c>
      <c r="AR398" t="s">
        <v>87</v>
      </c>
    </row>
    <row r="399" spans="1:44" x14ac:dyDescent="0.25">
      <c r="A399">
        <v>252</v>
      </c>
      <c r="B399" t="str">
        <f t="shared" si="18"/>
        <v>10+ years</v>
      </c>
      <c r="C399">
        <v>46</v>
      </c>
      <c r="D399" t="str" cm="1">
        <f t="array" ref="D399">_xlfn.IFS(C399&lt;26, "19-25", C399&lt;33, "26-32", C399&lt;40, "33-39", C399&lt;47, "40-46",C399&lt;54, "47-53", TRUE, "54+")</f>
        <v>40-46</v>
      </c>
      <c r="E399">
        <v>932097</v>
      </c>
      <c r="F399" s="1">
        <v>38601</v>
      </c>
      <c r="G399" t="s">
        <v>62</v>
      </c>
      <c r="H399" t="s">
        <v>74</v>
      </c>
      <c r="I399">
        <v>1000</v>
      </c>
      <c r="J399">
        <v>1242.02</v>
      </c>
      <c r="K399">
        <v>0</v>
      </c>
      <c r="L399">
        <v>601961</v>
      </c>
      <c r="M399" t="s">
        <v>46</v>
      </c>
      <c r="N399" t="s">
        <v>129</v>
      </c>
      <c r="O399" t="s">
        <v>190</v>
      </c>
      <c r="P399" t="s">
        <v>131</v>
      </c>
      <c r="Q399" t="s">
        <v>124</v>
      </c>
      <c r="R399">
        <v>0</v>
      </c>
      <c r="S399">
        <v>-28800</v>
      </c>
      <c r="T399" s="1">
        <v>42043</v>
      </c>
      <c r="U399" t="s">
        <v>51</v>
      </c>
      <c r="V399" t="s">
        <v>91</v>
      </c>
      <c r="W399" t="s">
        <v>68</v>
      </c>
      <c r="X399" t="s">
        <v>104</v>
      </c>
      <c r="Y399" t="s">
        <v>69</v>
      </c>
      <c r="Z399" t="s">
        <v>127</v>
      </c>
      <c r="AA399" t="s">
        <v>581</v>
      </c>
      <c r="AB399">
        <v>17</v>
      </c>
      <c r="AC399" t="str">
        <f t="shared" si="19"/>
        <v>Afternoon</v>
      </c>
      <c r="AD399">
        <v>1</v>
      </c>
      <c r="AE399" t="s">
        <v>58</v>
      </c>
      <c r="AF399">
        <v>0</v>
      </c>
      <c r="AG399">
        <v>2</v>
      </c>
      <c r="AH399" t="s">
        <v>58</v>
      </c>
      <c r="AI399">
        <v>74900</v>
      </c>
      <c r="AJ399">
        <v>14980</v>
      </c>
      <c r="AK399">
        <v>7490</v>
      </c>
      <c r="AL399">
        <v>52430</v>
      </c>
      <c r="AM399" t="s">
        <v>202</v>
      </c>
      <c r="AN399" t="s">
        <v>380</v>
      </c>
      <c r="AO399">
        <v>2015</v>
      </c>
      <c r="AP399">
        <v>2003</v>
      </c>
      <c r="AQ399">
        <f t="shared" si="20"/>
        <v>12</v>
      </c>
      <c r="AR399" t="s">
        <v>87</v>
      </c>
    </row>
    <row r="400" spans="1:44" x14ac:dyDescent="0.25">
      <c r="A400">
        <v>6</v>
      </c>
      <c r="B400" t="str">
        <f t="shared" si="18"/>
        <v>0-2 years</v>
      </c>
      <c r="C400">
        <v>27</v>
      </c>
      <c r="D400" t="str" cm="1">
        <f t="array" ref="D400">_xlfn.IFS(C400&lt;26, "19-25", C400&lt;33, "26-32", C400&lt;40, "33-39", C400&lt;47, "40-46",C400&lt;54, "47-53", TRUE, "54+")</f>
        <v>26-32</v>
      </c>
      <c r="E400">
        <v>463727</v>
      </c>
      <c r="F400" s="1">
        <v>33821</v>
      </c>
      <c r="G400" t="s">
        <v>44</v>
      </c>
      <c r="H400" t="s">
        <v>45</v>
      </c>
      <c r="I400">
        <v>500</v>
      </c>
      <c r="J400">
        <v>1075.71</v>
      </c>
      <c r="K400">
        <v>0</v>
      </c>
      <c r="L400">
        <v>604328</v>
      </c>
      <c r="M400" t="s">
        <v>75</v>
      </c>
      <c r="N400" t="s">
        <v>136</v>
      </c>
      <c r="O400" t="s">
        <v>106</v>
      </c>
      <c r="P400" t="s">
        <v>131</v>
      </c>
      <c r="Q400" t="s">
        <v>90</v>
      </c>
      <c r="R400">
        <v>0</v>
      </c>
      <c r="S400">
        <v>-47400</v>
      </c>
      <c r="T400" s="1">
        <v>42052</v>
      </c>
      <c r="U400" t="s">
        <v>66</v>
      </c>
      <c r="V400" t="s">
        <v>67</v>
      </c>
      <c r="W400" t="s">
        <v>217</v>
      </c>
      <c r="X400" t="s">
        <v>54</v>
      </c>
      <c r="Y400" t="s">
        <v>118</v>
      </c>
      <c r="Z400" t="s">
        <v>56</v>
      </c>
      <c r="AA400" t="s">
        <v>582</v>
      </c>
      <c r="AB400">
        <v>7</v>
      </c>
      <c r="AC400" t="str">
        <f t="shared" si="19"/>
        <v>Morning</v>
      </c>
      <c r="AD400">
        <v>1</v>
      </c>
      <c r="AE400" t="s">
        <v>67</v>
      </c>
      <c r="AF400">
        <v>0</v>
      </c>
      <c r="AG400">
        <v>1</v>
      </c>
      <c r="AH400" t="s">
        <v>58</v>
      </c>
      <c r="AI400">
        <v>3190</v>
      </c>
      <c r="AJ400">
        <v>580</v>
      </c>
      <c r="AK400">
        <v>290</v>
      </c>
      <c r="AL400">
        <v>2320</v>
      </c>
      <c r="AM400" t="s">
        <v>59</v>
      </c>
      <c r="AN400">
        <v>95</v>
      </c>
      <c r="AO400">
        <v>2015</v>
      </c>
      <c r="AP400">
        <v>2015</v>
      </c>
      <c r="AQ400">
        <f t="shared" si="20"/>
        <v>0</v>
      </c>
      <c r="AR400" t="s">
        <v>87</v>
      </c>
    </row>
    <row r="401" spans="1:44" x14ac:dyDescent="0.25">
      <c r="A401">
        <v>103</v>
      </c>
      <c r="B401" t="str">
        <f t="shared" si="18"/>
        <v>5-10 years</v>
      </c>
      <c r="C401">
        <v>33</v>
      </c>
      <c r="D401" t="str" cm="1">
        <f t="array" ref="D401">_xlfn.IFS(C401&lt;26, "19-25", C401&lt;33, "26-32", C401&lt;40, "33-39", C401&lt;47, "40-46",C401&lt;54, "47-53", TRUE, "54+")</f>
        <v>33-39</v>
      </c>
      <c r="E401">
        <v>552618</v>
      </c>
      <c r="F401" s="1">
        <v>33991</v>
      </c>
      <c r="G401" t="s">
        <v>62</v>
      </c>
      <c r="H401" t="s">
        <v>74</v>
      </c>
      <c r="I401">
        <v>1000</v>
      </c>
      <c r="J401">
        <v>969.88</v>
      </c>
      <c r="K401">
        <v>6000000</v>
      </c>
      <c r="L401">
        <v>614385</v>
      </c>
      <c r="M401" t="s">
        <v>46</v>
      </c>
      <c r="N401" t="s">
        <v>47</v>
      </c>
      <c r="O401" t="s">
        <v>89</v>
      </c>
      <c r="P401" t="s">
        <v>269</v>
      </c>
      <c r="Q401" t="s">
        <v>79</v>
      </c>
      <c r="R401">
        <v>0</v>
      </c>
      <c r="S401">
        <v>0</v>
      </c>
      <c r="T401" s="1">
        <v>42025</v>
      </c>
      <c r="U401" t="s">
        <v>51</v>
      </c>
      <c r="V401" t="s">
        <v>81</v>
      </c>
      <c r="W401" t="s">
        <v>68</v>
      </c>
      <c r="X401" t="s">
        <v>141</v>
      </c>
      <c r="Y401" t="s">
        <v>82</v>
      </c>
      <c r="Z401" t="s">
        <v>56</v>
      </c>
      <c r="AA401" t="s">
        <v>583</v>
      </c>
      <c r="AB401">
        <v>21</v>
      </c>
      <c r="AC401" t="str">
        <f t="shared" si="19"/>
        <v>Evening</v>
      </c>
      <c r="AD401">
        <v>1</v>
      </c>
      <c r="AE401" t="s">
        <v>84</v>
      </c>
      <c r="AF401">
        <v>1</v>
      </c>
      <c r="AG401">
        <v>0</v>
      </c>
      <c r="AH401" t="s">
        <v>58</v>
      </c>
      <c r="AI401">
        <v>76920</v>
      </c>
      <c r="AJ401">
        <v>12820</v>
      </c>
      <c r="AK401">
        <v>6410</v>
      </c>
      <c r="AL401">
        <v>57690</v>
      </c>
      <c r="AM401" t="s">
        <v>94</v>
      </c>
      <c r="AN401" t="s">
        <v>250</v>
      </c>
      <c r="AO401">
        <v>2015</v>
      </c>
      <c r="AP401">
        <v>2002</v>
      </c>
      <c r="AQ401">
        <f t="shared" si="20"/>
        <v>13</v>
      </c>
      <c r="AR401" t="s">
        <v>87</v>
      </c>
    </row>
    <row r="402" spans="1:44" x14ac:dyDescent="0.25">
      <c r="A402">
        <v>369</v>
      </c>
      <c r="B402" t="str">
        <f t="shared" si="18"/>
        <v>10+ years</v>
      </c>
      <c r="C402">
        <v>53</v>
      </c>
      <c r="D402" t="str" cm="1">
        <f t="array" ref="D402">_xlfn.IFS(C402&lt;26, "19-25", C402&lt;33, "26-32", C402&lt;40, "33-39", C402&lt;47, "40-46",C402&lt;54, "47-53", TRUE, "54+")</f>
        <v>47-53</v>
      </c>
      <c r="E402">
        <v>936638</v>
      </c>
      <c r="F402" s="1">
        <v>34839</v>
      </c>
      <c r="G402" t="s">
        <v>44</v>
      </c>
      <c r="H402" t="s">
        <v>45</v>
      </c>
      <c r="I402">
        <v>2000</v>
      </c>
      <c r="J402">
        <v>1459.93</v>
      </c>
      <c r="K402">
        <v>0</v>
      </c>
      <c r="L402">
        <v>438584</v>
      </c>
      <c r="M402" t="s">
        <v>75</v>
      </c>
      <c r="N402" t="s">
        <v>129</v>
      </c>
      <c r="O402" t="s">
        <v>122</v>
      </c>
      <c r="P402" t="s">
        <v>186</v>
      </c>
      <c r="Q402" t="s">
        <v>147</v>
      </c>
      <c r="R402">
        <v>0</v>
      </c>
      <c r="S402">
        <v>0</v>
      </c>
      <c r="T402" s="1">
        <v>42044</v>
      </c>
      <c r="U402" t="s">
        <v>80</v>
      </c>
      <c r="V402" t="s">
        <v>91</v>
      </c>
      <c r="W402" t="s">
        <v>112</v>
      </c>
      <c r="X402" t="s">
        <v>54</v>
      </c>
      <c r="Y402" t="s">
        <v>118</v>
      </c>
      <c r="Z402" t="s">
        <v>107</v>
      </c>
      <c r="AA402" t="s">
        <v>584</v>
      </c>
      <c r="AB402">
        <v>10</v>
      </c>
      <c r="AC402" t="str">
        <f t="shared" si="19"/>
        <v>Morning</v>
      </c>
      <c r="AD402">
        <v>2</v>
      </c>
      <c r="AE402" t="s">
        <v>58</v>
      </c>
      <c r="AF402">
        <v>1</v>
      </c>
      <c r="AG402">
        <v>3</v>
      </c>
      <c r="AH402" t="s">
        <v>84</v>
      </c>
      <c r="AI402">
        <v>77990</v>
      </c>
      <c r="AJ402">
        <v>7090</v>
      </c>
      <c r="AK402">
        <v>14180</v>
      </c>
      <c r="AL402">
        <v>56720</v>
      </c>
      <c r="AM402" t="s">
        <v>202</v>
      </c>
      <c r="AN402" t="s">
        <v>203</v>
      </c>
      <c r="AO402">
        <v>2015</v>
      </c>
      <c r="AP402">
        <v>2012</v>
      </c>
      <c r="AQ402">
        <f t="shared" si="20"/>
        <v>3</v>
      </c>
      <c r="AR402" t="s">
        <v>87</v>
      </c>
    </row>
    <row r="403" spans="1:44" x14ac:dyDescent="0.25">
      <c r="A403">
        <v>261</v>
      </c>
      <c r="B403" t="str">
        <f t="shared" si="18"/>
        <v>10+ years</v>
      </c>
      <c r="C403">
        <v>46</v>
      </c>
      <c r="D403" t="str" cm="1">
        <f t="array" ref="D403">_xlfn.IFS(C403&lt;26, "19-25", C403&lt;33, "26-32", C403&lt;40, "33-39", C403&lt;47, "40-46",C403&lt;54, "47-53", TRUE, "54+")</f>
        <v>40-46</v>
      </c>
      <c r="E403">
        <v>348814</v>
      </c>
      <c r="F403" s="1">
        <v>33871</v>
      </c>
      <c r="G403" t="s">
        <v>88</v>
      </c>
      <c r="H403" t="s">
        <v>96</v>
      </c>
      <c r="I403">
        <v>1000</v>
      </c>
      <c r="J403">
        <v>1245.6099999999999</v>
      </c>
      <c r="K403">
        <v>0</v>
      </c>
      <c r="L403">
        <v>478703</v>
      </c>
      <c r="M403" t="s">
        <v>46</v>
      </c>
      <c r="N403" t="s">
        <v>47</v>
      </c>
      <c r="O403" t="s">
        <v>150</v>
      </c>
      <c r="P403" t="s">
        <v>111</v>
      </c>
      <c r="Q403" t="s">
        <v>79</v>
      </c>
      <c r="R403">
        <v>0</v>
      </c>
      <c r="S403">
        <v>0</v>
      </c>
      <c r="T403" s="1">
        <v>42047</v>
      </c>
      <c r="U403" t="s">
        <v>51</v>
      </c>
      <c r="V403" t="s">
        <v>91</v>
      </c>
      <c r="W403" t="s">
        <v>112</v>
      </c>
      <c r="X403" t="s">
        <v>104</v>
      </c>
      <c r="Y403" t="s">
        <v>82</v>
      </c>
      <c r="Z403" t="s">
        <v>56</v>
      </c>
      <c r="AA403" t="s">
        <v>585</v>
      </c>
      <c r="AB403">
        <v>11</v>
      </c>
      <c r="AC403" t="str">
        <f t="shared" si="19"/>
        <v>Morning</v>
      </c>
      <c r="AD403">
        <v>1</v>
      </c>
      <c r="AE403" t="s">
        <v>58</v>
      </c>
      <c r="AF403">
        <v>1</v>
      </c>
      <c r="AG403">
        <v>0</v>
      </c>
      <c r="AH403" t="s">
        <v>67</v>
      </c>
      <c r="AI403">
        <v>59670</v>
      </c>
      <c r="AJ403">
        <v>9180</v>
      </c>
      <c r="AK403">
        <v>9180</v>
      </c>
      <c r="AL403">
        <v>41310</v>
      </c>
      <c r="AM403" t="s">
        <v>134</v>
      </c>
      <c r="AN403" t="s">
        <v>177</v>
      </c>
      <c r="AO403">
        <v>2015</v>
      </c>
      <c r="AP403">
        <v>2008</v>
      </c>
      <c r="AQ403">
        <f t="shared" si="20"/>
        <v>7</v>
      </c>
      <c r="AR403" t="s">
        <v>87</v>
      </c>
    </row>
    <row r="404" spans="1:44" x14ac:dyDescent="0.25">
      <c r="A404">
        <v>159</v>
      </c>
      <c r="B404" t="str">
        <f t="shared" si="18"/>
        <v>10+ years</v>
      </c>
      <c r="C404">
        <v>33</v>
      </c>
      <c r="D404" t="str" cm="1">
        <f t="array" ref="D404">_xlfn.IFS(C404&lt;26, "19-25", C404&lt;33, "26-32", C404&lt;40, "33-39", C404&lt;47, "40-46",C404&lt;54, "47-53", TRUE, "54+")</f>
        <v>33-39</v>
      </c>
      <c r="E404">
        <v>944102</v>
      </c>
      <c r="F404" s="1">
        <v>39283</v>
      </c>
      <c r="G404" t="s">
        <v>62</v>
      </c>
      <c r="H404" t="s">
        <v>74</v>
      </c>
      <c r="I404">
        <v>2000</v>
      </c>
      <c r="J404">
        <v>1462.76</v>
      </c>
      <c r="K404">
        <v>0</v>
      </c>
      <c r="L404">
        <v>615683</v>
      </c>
      <c r="M404" t="s">
        <v>75</v>
      </c>
      <c r="N404" t="s">
        <v>146</v>
      </c>
      <c r="O404" t="s">
        <v>48</v>
      </c>
      <c r="P404" t="s">
        <v>137</v>
      </c>
      <c r="Q404" t="s">
        <v>50</v>
      </c>
      <c r="R404">
        <v>69200</v>
      </c>
      <c r="S404">
        <v>-36900</v>
      </c>
      <c r="T404" s="1">
        <v>42059</v>
      </c>
      <c r="U404" t="s">
        <v>80</v>
      </c>
      <c r="V404" t="s">
        <v>81</v>
      </c>
      <c r="W404" t="s">
        <v>53</v>
      </c>
      <c r="X404" t="s">
        <v>141</v>
      </c>
      <c r="Y404" t="s">
        <v>82</v>
      </c>
      <c r="Z404" t="s">
        <v>56</v>
      </c>
      <c r="AA404" t="s">
        <v>586</v>
      </c>
      <c r="AB404">
        <v>23</v>
      </c>
      <c r="AC404" t="str">
        <f t="shared" si="19"/>
        <v>Evening</v>
      </c>
      <c r="AD404">
        <v>3</v>
      </c>
      <c r="AE404" t="s">
        <v>58</v>
      </c>
      <c r="AF404">
        <v>2</v>
      </c>
      <c r="AG404">
        <v>0</v>
      </c>
      <c r="AH404" t="s">
        <v>84</v>
      </c>
      <c r="AI404">
        <v>44880</v>
      </c>
      <c r="AJ404">
        <v>8160</v>
      </c>
      <c r="AK404">
        <v>4080</v>
      </c>
      <c r="AL404">
        <v>32640</v>
      </c>
      <c r="AM404" t="s">
        <v>72</v>
      </c>
      <c r="AN404" t="s">
        <v>198</v>
      </c>
      <c r="AO404">
        <v>2015</v>
      </c>
      <c r="AP404">
        <v>2004</v>
      </c>
      <c r="AQ404">
        <f t="shared" si="20"/>
        <v>11</v>
      </c>
      <c r="AR404" t="s">
        <v>61</v>
      </c>
    </row>
    <row r="405" spans="1:44" x14ac:dyDescent="0.25">
      <c r="A405">
        <v>344</v>
      </c>
      <c r="B405" t="str">
        <f t="shared" si="18"/>
        <v>10+ years</v>
      </c>
      <c r="C405">
        <v>51</v>
      </c>
      <c r="D405" t="str" cm="1">
        <f t="array" ref="D405">_xlfn.IFS(C405&lt;26, "19-25", C405&lt;33, "26-32", C405&lt;40, "33-39", C405&lt;47, "40-46",C405&lt;54, "47-53", TRUE, "54+")</f>
        <v>47-53</v>
      </c>
      <c r="E405">
        <v>689901</v>
      </c>
      <c r="F405" s="1">
        <v>33722</v>
      </c>
      <c r="G405" t="s">
        <v>62</v>
      </c>
      <c r="H405" t="s">
        <v>74</v>
      </c>
      <c r="I405">
        <v>2000</v>
      </c>
      <c r="J405">
        <v>1398.46</v>
      </c>
      <c r="K405">
        <v>0</v>
      </c>
      <c r="L405">
        <v>455672</v>
      </c>
      <c r="M405" t="s">
        <v>46</v>
      </c>
      <c r="N405" t="s">
        <v>97</v>
      </c>
      <c r="O405" t="s">
        <v>77</v>
      </c>
      <c r="P405" t="s">
        <v>137</v>
      </c>
      <c r="Q405" t="s">
        <v>65</v>
      </c>
      <c r="R405">
        <v>0</v>
      </c>
      <c r="S405">
        <v>0</v>
      </c>
      <c r="T405" s="1">
        <v>42037</v>
      </c>
      <c r="U405" t="s">
        <v>51</v>
      </c>
      <c r="V405" t="s">
        <v>52</v>
      </c>
      <c r="W405" t="s">
        <v>68</v>
      </c>
      <c r="X405" t="s">
        <v>141</v>
      </c>
      <c r="Y405" t="s">
        <v>126</v>
      </c>
      <c r="Z405" t="s">
        <v>132</v>
      </c>
      <c r="AA405" t="s">
        <v>587</v>
      </c>
      <c r="AB405">
        <v>14</v>
      </c>
      <c r="AC405" t="str">
        <f t="shared" si="19"/>
        <v>Afternoon</v>
      </c>
      <c r="AD405">
        <v>1</v>
      </c>
      <c r="AE405" t="s">
        <v>67</v>
      </c>
      <c r="AF405">
        <v>0</v>
      </c>
      <c r="AG405">
        <v>2</v>
      </c>
      <c r="AH405" t="s">
        <v>84</v>
      </c>
      <c r="AI405">
        <v>82830</v>
      </c>
      <c r="AJ405">
        <v>7530</v>
      </c>
      <c r="AK405">
        <v>15060</v>
      </c>
      <c r="AL405">
        <v>60240</v>
      </c>
      <c r="AM405" t="s">
        <v>114</v>
      </c>
      <c r="AN405" t="s">
        <v>115</v>
      </c>
      <c r="AO405">
        <v>2015</v>
      </c>
      <c r="AP405">
        <v>2004</v>
      </c>
      <c r="AQ405">
        <f t="shared" si="20"/>
        <v>11</v>
      </c>
      <c r="AR405" t="s">
        <v>87</v>
      </c>
    </row>
    <row r="406" spans="1:44" x14ac:dyDescent="0.25">
      <c r="A406">
        <v>437</v>
      </c>
      <c r="B406" t="str">
        <f t="shared" si="18"/>
        <v>10+ years</v>
      </c>
      <c r="C406">
        <v>60</v>
      </c>
      <c r="D406" t="str" cm="1">
        <f t="array" ref="D406">_xlfn.IFS(C406&lt;26, "19-25", C406&lt;33, "26-32", C406&lt;40, "33-39", C406&lt;47, "40-46",C406&lt;54, "47-53", TRUE, "54+")</f>
        <v>54+</v>
      </c>
      <c r="E406">
        <v>901083</v>
      </c>
      <c r="F406" s="1">
        <v>35814</v>
      </c>
      <c r="G406" t="s">
        <v>44</v>
      </c>
      <c r="H406" t="s">
        <v>96</v>
      </c>
      <c r="I406">
        <v>1000</v>
      </c>
      <c r="J406">
        <v>1269.6400000000001</v>
      </c>
      <c r="K406">
        <v>0</v>
      </c>
      <c r="L406">
        <v>602942</v>
      </c>
      <c r="M406" t="s">
        <v>75</v>
      </c>
      <c r="N406" t="s">
        <v>146</v>
      </c>
      <c r="O406" t="s">
        <v>89</v>
      </c>
      <c r="P406" t="s">
        <v>247</v>
      </c>
      <c r="Q406" t="s">
        <v>90</v>
      </c>
      <c r="R406">
        <v>48800</v>
      </c>
      <c r="S406">
        <v>0</v>
      </c>
      <c r="T406" s="1">
        <v>42049</v>
      </c>
      <c r="U406" t="s">
        <v>51</v>
      </c>
      <c r="V406" t="s">
        <v>91</v>
      </c>
      <c r="W406" t="s">
        <v>68</v>
      </c>
      <c r="X406" t="s">
        <v>125</v>
      </c>
      <c r="Y406" t="s">
        <v>55</v>
      </c>
      <c r="Z406" t="s">
        <v>70</v>
      </c>
      <c r="AA406" t="s">
        <v>588</v>
      </c>
      <c r="AB406">
        <v>10</v>
      </c>
      <c r="AC406" t="str">
        <f t="shared" si="19"/>
        <v>Morning</v>
      </c>
      <c r="AD406">
        <v>1</v>
      </c>
      <c r="AE406" t="s">
        <v>84</v>
      </c>
      <c r="AF406">
        <v>1</v>
      </c>
      <c r="AG406">
        <v>3</v>
      </c>
      <c r="AH406" t="s">
        <v>84</v>
      </c>
      <c r="AI406">
        <v>84480</v>
      </c>
      <c r="AJ406">
        <v>7680</v>
      </c>
      <c r="AK406">
        <v>15360</v>
      </c>
      <c r="AL406">
        <v>61440</v>
      </c>
      <c r="AM406" t="s">
        <v>94</v>
      </c>
      <c r="AN406" t="s">
        <v>228</v>
      </c>
      <c r="AO406">
        <v>2015</v>
      </c>
      <c r="AP406">
        <v>2012</v>
      </c>
      <c r="AQ406">
        <f t="shared" si="20"/>
        <v>3</v>
      </c>
      <c r="AR406" t="s">
        <v>61</v>
      </c>
    </row>
    <row r="407" spans="1:44" x14ac:dyDescent="0.25">
      <c r="A407">
        <v>65</v>
      </c>
      <c r="B407" t="str">
        <f t="shared" si="18"/>
        <v>5-10 years</v>
      </c>
      <c r="C407">
        <v>30</v>
      </c>
      <c r="D407" t="str" cm="1">
        <f t="array" ref="D407">_xlfn.IFS(C407&lt;26, "19-25", C407&lt;33, "26-32", C407&lt;40, "33-39", C407&lt;47, "40-46",C407&lt;54, "47-53", TRUE, "54+")</f>
        <v>26-32</v>
      </c>
      <c r="E407">
        <v>396224</v>
      </c>
      <c r="F407" s="1">
        <v>40064</v>
      </c>
      <c r="G407" t="s">
        <v>62</v>
      </c>
      <c r="H407" t="s">
        <v>74</v>
      </c>
      <c r="I407">
        <v>500</v>
      </c>
      <c r="J407">
        <v>1455.65</v>
      </c>
      <c r="K407">
        <v>4000000</v>
      </c>
      <c r="L407">
        <v>616706</v>
      </c>
      <c r="M407" t="s">
        <v>75</v>
      </c>
      <c r="N407" t="s">
        <v>146</v>
      </c>
      <c r="O407" t="s">
        <v>150</v>
      </c>
      <c r="P407" t="s">
        <v>137</v>
      </c>
      <c r="Q407" t="s">
        <v>124</v>
      </c>
      <c r="R407">
        <v>0</v>
      </c>
      <c r="S407">
        <v>-66300</v>
      </c>
      <c r="T407" s="1">
        <v>42050</v>
      </c>
      <c r="U407" t="s">
        <v>80</v>
      </c>
      <c r="V407" t="s">
        <v>52</v>
      </c>
      <c r="W407" t="s">
        <v>112</v>
      </c>
      <c r="X407" t="s">
        <v>104</v>
      </c>
      <c r="Y407" t="s">
        <v>118</v>
      </c>
      <c r="Z407" t="s">
        <v>127</v>
      </c>
      <c r="AA407" t="s">
        <v>589</v>
      </c>
      <c r="AB407">
        <v>6</v>
      </c>
      <c r="AC407" t="str">
        <f t="shared" si="19"/>
        <v>Morning</v>
      </c>
      <c r="AD407">
        <v>3</v>
      </c>
      <c r="AE407" t="s">
        <v>67</v>
      </c>
      <c r="AF407">
        <v>2</v>
      </c>
      <c r="AG407">
        <v>3</v>
      </c>
      <c r="AH407" t="s">
        <v>84</v>
      </c>
      <c r="AI407">
        <v>79800</v>
      </c>
      <c r="AJ407">
        <v>15960</v>
      </c>
      <c r="AK407">
        <v>7980</v>
      </c>
      <c r="AL407">
        <v>55860</v>
      </c>
      <c r="AM407" t="s">
        <v>214</v>
      </c>
      <c r="AN407" t="s">
        <v>215</v>
      </c>
      <c r="AO407">
        <v>2015</v>
      </c>
      <c r="AP407">
        <v>1999</v>
      </c>
      <c r="AQ407">
        <f t="shared" si="20"/>
        <v>16</v>
      </c>
      <c r="AR407" t="s">
        <v>87</v>
      </c>
    </row>
    <row r="408" spans="1:44" x14ac:dyDescent="0.25">
      <c r="A408">
        <v>280</v>
      </c>
      <c r="B408" t="str">
        <f t="shared" si="18"/>
        <v>10+ years</v>
      </c>
      <c r="C408">
        <v>41</v>
      </c>
      <c r="D408" t="str" cm="1">
        <f t="array" ref="D408">_xlfn.IFS(C408&lt;26, "19-25", C408&lt;33, "26-32", C408&lt;40, "33-39", C408&lt;47, "40-46",C408&lt;54, "47-53", TRUE, "54+")</f>
        <v>40-46</v>
      </c>
      <c r="E408">
        <v>682178</v>
      </c>
      <c r="F408" s="1">
        <v>34686</v>
      </c>
      <c r="G408" t="s">
        <v>44</v>
      </c>
      <c r="H408" t="s">
        <v>96</v>
      </c>
      <c r="I408">
        <v>2000</v>
      </c>
      <c r="J408">
        <v>1140.31</v>
      </c>
      <c r="K408">
        <v>0</v>
      </c>
      <c r="L408">
        <v>473243</v>
      </c>
      <c r="M408" t="s">
        <v>46</v>
      </c>
      <c r="N408" t="s">
        <v>47</v>
      </c>
      <c r="O408" t="s">
        <v>190</v>
      </c>
      <c r="P408" t="s">
        <v>269</v>
      </c>
      <c r="Q408" t="s">
        <v>50</v>
      </c>
      <c r="R408">
        <v>29300</v>
      </c>
      <c r="S408">
        <v>-64700</v>
      </c>
      <c r="T408" s="1">
        <v>42063</v>
      </c>
      <c r="U408" t="s">
        <v>80</v>
      </c>
      <c r="V408" t="s">
        <v>81</v>
      </c>
      <c r="W408" t="s">
        <v>68</v>
      </c>
      <c r="X408" t="s">
        <v>54</v>
      </c>
      <c r="Y408" t="s">
        <v>118</v>
      </c>
      <c r="Z408" t="s">
        <v>92</v>
      </c>
      <c r="AA408" t="s">
        <v>590</v>
      </c>
      <c r="AB408">
        <v>10</v>
      </c>
      <c r="AC408" t="str">
        <f t="shared" si="19"/>
        <v>Morning</v>
      </c>
      <c r="AD408">
        <v>3</v>
      </c>
      <c r="AE408" t="s">
        <v>67</v>
      </c>
      <c r="AF408">
        <v>0</v>
      </c>
      <c r="AG408">
        <v>3</v>
      </c>
      <c r="AH408" t="s">
        <v>58</v>
      </c>
      <c r="AI408">
        <v>53020</v>
      </c>
      <c r="AJ408">
        <v>9640</v>
      </c>
      <c r="AK408">
        <v>9640</v>
      </c>
      <c r="AL408">
        <v>33740</v>
      </c>
      <c r="AM408" t="s">
        <v>120</v>
      </c>
      <c r="AN408" t="s">
        <v>188</v>
      </c>
      <c r="AO408">
        <v>2015</v>
      </c>
      <c r="AP408">
        <v>1999</v>
      </c>
      <c r="AQ408">
        <f t="shared" si="20"/>
        <v>16</v>
      </c>
      <c r="AR408" t="s">
        <v>87</v>
      </c>
    </row>
    <row r="409" spans="1:44" x14ac:dyDescent="0.25">
      <c r="A409">
        <v>269</v>
      </c>
      <c r="B409" t="str">
        <f t="shared" si="18"/>
        <v>10+ years</v>
      </c>
      <c r="C409">
        <v>45</v>
      </c>
      <c r="D409" t="str" cm="1">
        <f t="array" ref="D409">_xlfn.IFS(C409&lt;26, "19-25", C409&lt;33, "26-32", C409&lt;40, "33-39", C409&lt;47, "40-46",C409&lt;54, "47-53", TRUE, "54+")</f>
        <v>40-46</v>
      </c>
      <c r="E409">
        <v>596298</v>
      </c>
      <c r="F409" s="1">
        <v>35300</v>
      </c>
      <c r="G409" t="s">
        <v>62</v>
      </c>
      <c r="H409" t="s">
        <v>96</v>
      </c>
      <c r="I409">
        <v>500</v>
      </c>
      <c r="J409">
        <v>1330.46</v>
      </c>
      <c r="K409">
        <v>0</v>
      </c>
      <c r="L409">
        <v>435552</v>
      </c>
      <c r="M409" t="s">
        <v>75</v>
      </c>
      <c r="N409" t="s">
        <v>136</v>
      </c>
      <c r="O409" t="s">
        <v>63</v>
      </c>
      <c r="P409" t="s">
        <v>49</v>
      </c>
      <c r="Q409" t="s">
        <v>124</v>
      </c>
      <c r="R409">
        <v>54800</v>
      </c>
      <c r="S409">
        <v>-64100</v>
      </c>
      <c r="T409" s="1">
        <v>42022</v>
      </c>
      <c r="U409" t="s">
        <v>80</v>
      </c>
      <c r="V409" t="s">
        <v>52</v>
      </c>
      <c r="W409" t="s">
        <v>112</v>
      </c>
      <c r="X409" t="s">
        <v>54</v>
      </c>
      <c r="Y409" t="s">
        <v>69</v>
      </c>
      <c r="Z409" t="s">
        <v>127</v>
      </c>
      <c r="AA409" t="s">
        <v>591</v>
      </c>
      <c r="AB409">
        <v>5</v>
      </c>
      <c r="AC409" t="str">
        <f t="shared" si="19"/>
        <v>Night</v>
      </c>
      <c r="AD409">
        <v>3</v>
      </c>
      <c r="AE409" t="s">
        <v>67</v>
      </c>
      <c r="AF409">
        <v>0</v>
      </c>
      <c r="AG409">
        <v>0</v>
      </c>
      <c r="AH409" t="s">
        <v>84</v>
      </c>
      <c r="AI409">
        <v>24200</v>
      </c>
      <c r="AJ409">
        <v>2200</v>
      </c>
      <c r="AK409">
        <v>4400</v>
      </c>
      <c r="AL409">
        <v>17600</v>
      </c>
      <c r="AM409" t="s">
        <v>158</v>
      </c>
      <c r="AN409" t="s">
        <v>172</v>
      </c>
      <c r="AO409">
        <v>2015</v>
      </c>
      <c r="AP409">
        <v>2008</v>
      </c>
      <c r="AQ409">
        <f t="shared" si="20"/>
        <v>7</v>
      </c>
      <c r="AR409" t="s">
        <v>87</v>
      </c>
    </row>
    <row r="410" spans="1:44" x14ac:dyDescent="0.25">
      <c r="A410">
        <v>275</v>
      </c>
      <c r="B410" t="str">
        <f t="shared" si="18"/>
        <v>10+ years</v>
      </c>
      <c r="C410">
        <v>40</v>
      </c>
      <c r="D410" t="str" cm="1">
        <f t="array" ref="D410">_xlfn.IFS(C410&lt;26, "19-25", C410&lt;33, "26-32", C410&lt;40, "33-39", C410&lt;47, "40-46",C410&lt;54, "47-53", TRUE, "54+")</f>
        <v>40-46</v>
      </c>
      <c r="E410">
        <v>253005</v>
      </c>
      <c r="F410" s="1">
        <v>33562</v>
      </c>
      <c r="G410" t="s">
        <v>44</v>
      </c>
      <c r="H410" t="s">
        <v>45</v>
      </c>
      <c r="I410">
        <v>2000</v>
      </c>
      <c r="J410">
        <v>1190.5999999999999</v>
      </c>
      <c r="K410">
        <v>0</v>
      </c>
      <c r="L410">
        <v>434206</v>
      </c>
      <c r="M410" t="s">
        <v>46</v>
      </c>
      <c r="N410" t="s">
        <v>129</v>
      </c>
      <c r="O410" t="s">
        <v>130</v>
      </c>
      <c r="P410" t="s">
        <v>123</v>
      </c>
      <c r="Q410" t="s">
        <v>90</v>
      </c>
      <c r="R410">
        <v>0</v>
      </c>
      <c r="S410">
        <v>-45300</v>
      </c>
      <c r="T410" s="1">
        <v>42010</v>
      </c>
      <c r="U410" t="s">
        <v>51</v>
      </c>
      <c r="V410" t="s">
        <v>81</v>
      </c>
      <c r="W410" t="s">
        <v>68</v>
      </c>
      <c r="X410" t="s">
        <v>104</v>
      </c>
      <c r="Y410" t="s">
        <v>44</v>
      </c>
      <c r="Z410" t="s">
        <v>70</v>
      </c>
      <c r="AA410" t="s">
        <v>592</v>
      </c>
      <c r="AB410">
        <v>17</v>
      </c>
      <c r="AC410" t="str">
        <f t="shared" si="19"/>
        <v>Afternoon</v>
      </c>
      <c r="AD410">
        <v>1</v>
      </c>
      <c r="AE410" t="s">
        <v>67</v>
      </c>
      <c r="AF410">
        <v>1</v>
      </c>
      <c r="AG410">
        <v>3</v>
      </c>
      <c r="AH410" t="s">
        <v>58</v>
      </c>
      <c r="AI410">
        <v>43230</v>
      </c>
      <c r="AJ410">
        <v>7860</v>
      </c>
      <c r="AK410">
        <v>7860</v>
      </c>
      <c r="AL410">
        <v>27510</v>
      </c>
      <c r="AM410" t="s">
        <v>94</v>
      </c>
      <c r="AN410" t="s">
        <v>228</v>
      </c>
      <c r="AO410">
        <v>2015</v>
      </c>
      <c r="AP410">
        <v>2001</v>
      </c>
      <c r="AQ410">
        <f t="shared" si="20"/>
        <v>14</v>
      </c>
      <c r="AR410" t="s">
        <v>87</v>
      </c>
    </row>
    <row r="411" spans="1:44" x14ac:dyDescent="0.25">
      <c r="A411">
        <v>265</v>
      </c>
      <c r="B411" t="str">
        <f t="shared" si="18"/>
        <v>10+ years</v>
      </c>
      <c r="C411">
        <v>45</v>
      </c>
      <c r="D411" t="str" cm="1">
        <f t="array" ref="D411">_xlfn.IFS(C411&lt;26, "19-25", C411&lt;33, "26-32", C411&lt;40, "33-39", C411&lt;47, "40-46",C411&lt;54, "47-53", TRUE, "54+")</f>
        <v>40-46</v>
      </c>
      <c r="E411">
        <v>985924</v>
      </c>
      <c r="F411" s="1">
        <v>36096</v>
      </c>
      <c r="G411" t="s">
        <v>44</v>
      </c>
      <c r="H411" t="s">
        <v>45</v>
      </c>
      <c r="I411">
        <v>500</v>
      </c>
      <c r="J411">
        <v>972.5</v>
      </c>
      <c r="K411">
        <v>0</v>
      </c>
      <c r="L411">
        <v>469895</v>
      </c>
      <c r="M411" t="s">
        <v>75</v>
      </c>
      <c r="N411" t="s">
        <v>146</v>
      </c>
      <c r="O411" t="s">
        <v>130</v>
      </c>
      <c r="P411" t="s">
        <v>247</v>
      </c>
      <c r="Q411" t="s">
        <v>90</v>
      </c>
      <c r="R411">
        <v>0</v>
      </c>
      <c r="S411">
        <v>0</v>
      </c>
      <c r="T411" s="1">
        <v>42023</v>
      </c>
      <c r="U411" t="s">
        <v>66</v>
      </c>
      <c r="V411" t="s">
        <v>67</v>
      </c>
      <c r="W411" t="s">
        <v>217</v>
      </c>
      <c r="X411" t="s">
        <v>98</v>
      </c>
      <c r="Y411" t="s">
        <v>126</v>
      </c>
      <c r="Z411" t="s">
        <v>107</v>
      </c>
      <c r="AA411" t="s">
        <v>593</v>
      </c>
      <c r="AB411">
        <v>3</v>
      </c>
      <c r="AC411" t="str">
        <f t="shared" si="19"/>
        <v>Night</v>
      </c>
      <c r="AD411">
        <v>1</v>
      </c>
      <c r="AE411" t="s">
        <v>84</v>
      </c>
      <c r="AF411">
        <v>2</v>
      </c>
      <c r="AG411">
        <v>3</v>
      </c>
      <c r="AH411" t="s">
        <v>84</v>
      </c>
      <c r="AI411">
        <v>3190</v>
      </c>
      <c r="AJ411">
        <v>290</v>
      </c>
      <c r="AK411">
        <v>580</v>
      </c>
      <c r="AL411">
        <v>2320</v>
      </c>
      <c r="AM411" t="s">
        <v>134</v>
      </c>
      <c r="AN411" t="s">
        <v>177</v>
      </c>
      <c r="AO411">
        <v>2015</v>
      </c>
      <c r="AP411">
        <v>1995</v>
      </c>
      <c r="AQ411">
        <f t="shared" si="20"/>
        <v>20</v>
      </c>
      <c r="AR411" t="s">
        <v>87</v>
      </c>
    </row>
    <row r="412" spans="1:44" x14ac:dyDescent="0.25">
      <c r="A412">
        <v>283</v>
      </c>
      <c r="B412" t="str">
        <f t="shared" si="18"/>
        <v>10+ years</v>
      </c>
      <c r="C412">
        <v>43</v>
      </c>
      <c r="D412" t="str" cm="1">
        <f t="array" ref="D412">_xlfn.IFS(C412&lt;26, "19-25", C412&lt;33, "26-32", C412&lt;40, "33-39", C412&lt;47, "40-46",C412&lt;54, "47-53", TRUE, "54+")</f>
        <v>40-46</v>
      </c>
      <c r="E412">
        <v>631565</v>
      </c>
      <c r="F412" s="1">
        <v>35625</v>
      </c>
      <c r="G412" t="s">
        <v>62</v>
      </c>
      <c r="H412" t="s">
        <v>74</v>
      </c>
      <c r="I412">
        <v>2000</v>
      </c>
      <c r="J412">
        <v>1161.9100000000001</v>
      </c>
      <c r="K412">
        <v>0</v>
      </c>
      <c r="L412">
        <v>457722</v>
      </c>
      <c r="M412" t="s">
        <v>75</v>
      </c>
      <c r="N412" t="s">
        <v>97</v>
      </c>
      <c r="O412" t="s">
        <v>190</v>
      </c>
      <c r="P412" t="s">
        <v>178</v>
      </c>
      <c r="Q412" t="s">
        <v>147</v>
      </c>
      <c r="R412">
        <v>0</v>
      </c>
      <c r="S412">
        <v>-50400</v>
      </c>
      <c r="T412" s="1">
        <v>42021</v>
      </c>
      <c r="U412" t="s">
        <v>143</v>
      </c>
      <c r="V412" t="s">
        <v>67</v>
      </c>
      <c r="W412" t="s">
        <v>68</v>
      </c>
      <c r="X412" t="s">
        <v>98</v>
      </c>
      <c r="Y412" t="s">
        <v>118</v>
      </c>
      <c r="Z412" t="s">
        <v>161</v>
      </c>
      <c r="AA412" t="s">
        <v>594</v>
      </c>
      <c r="AB412">
        <v>9</v>
      </c>
      <c r="AC412" t="str">
        <f t="shared" si="19"/>
        <v>Morning</v>
      </c>
      <c r="AD412">
        <v>1</v>
      </c>
      <c r="AE412" t="s">
        <v>67</v>
      </c>
      <c r="AF412">
        <v>0</v>
      </c>
      <c r="AG412">
        <v>3</v>
      </c>
      <c r="AH412" t="s">
        <v>84</v>
      </c>
      <c r="AI412">
        <v>5850</v>
      </c>
      <c r="AJ412">
        <v>1300</v>
      </c>
      <c r="AK412">
        <v>650</v>
      </c>
      <c r="AL412">
        <v>3900</v>
      </c>
      <c r="AM412" t="s">
        <v>192</v>
      </c>
      <c r="AN412" t="s">
        <v>206</v>
      </c>
      <c r="AO412">
        <v>2015</v>
      </c>
      <c r="AP412">
        <v>2006</v>
      </c>
      <c r="AQ412">
        <f t="shared" si="20"/>
        <v>9</v>
      </c>
      <c r="AR412" t="s">
        <v>87</v>
      </c>
    </row>
    <row r="413" spans="1:44" x14ac:dyDescent="0.25">
      <c r="A413">
        <v>84</v>
      </c>
      <c r="B413" t="str">
        <f t="shared" si="18"/>
        <v>5-10 years</v>
      </c>
      <c r="C413">
        <v>29</v>
      </c>
      <c r="D413" t="str" cm="1">
        <f t="array" ref="D413">_xlfn.IFS(C413&lt;26, "19-25", C413&lt;33, "26-32", C413&lt;40, "33-39", C413&lt;47, "40-46",C413&lt;54, "47-53", TRUE, "54+")</f>
        <v>26-32</v>
      </c>
      <c r="E413">
        <v>630998</v>
      </c>
      <c r="F413" s="1">
        <v>37720</v>
      </c>
      <c r="G413" t="s">
        <v>44</v>
      </c>
      <c r="H413" t="s">
        <v>45</v>
      </c>
      <c r="I413">
        <v>1000</v>
      </c>
      <c r="J413">
        <v>1117.17</v>
      </c>
      <c r="K413">
        <v>0</v>
      </c>
      <c r="L413">
        <v>473645</v>
      </c>
      <c r="M413" t="s">
        <v>75</v>
      </c>
      <c r="N413" t="s">
        <v>136</v>
      </c>
      <c r="O413" t="s">
        <v>63</v>
      </c>
      <c r="P413" t="s">
        <v>186</v>
      </c>
      <c r="Q413" t="s">
        <v>147</v>
      </c>
      <c r="R413">
        <v>0</v>
      </c>
      <c r="S413">
        <v>-29900</v>
      </c>
      <c r="T413" s="1">
        <v>42047</v>
      </c>
      <c r="U413" t="s">
        <v>143</v>
      </c>
      <c r="V413" t="s">
        <v>67</v>
      </c>
      <c r="W413" t="s">
        <v>217</v>
      </c>
      <c r="X413" t="s">
        <v>54</v>
      </c>
      <c r="Y413" t="s">
        <v>55</v>
      </c>
      <c r="Z413" t="s">
        <v>92</v>
      </c>
      <c r="AA413" t="s">
        <v>595</v>
      </c>
      <c r="AB413">
        <v>6</v>
      </c>
      <c r="AC413" t="str">
        <f t="shared" si="19"/>
        <v>Morning</v>
      </c>
      <c r="AD413">
        <v>1</v>
      </c>
      <c r="AE413" t="s">
        <v>58</v>
      </c>
      <c r="AF413">
        <v>2</v>
      </c>
      <c r="AG413">
        <v>0</v>
      </c>
      <c r="AH413" t="s">
        <v>58</v>
      </c>
      <c r="AI413">
        <v>6820</v>
      </c>
      <c r="AJ413">
        <v>620</v>
      </c>
      <c r="AK413">
        <v>1240</v>
      </c>
      <c r="AL413">
        <v>4960</v>
      </c>
      <c r="AM413" t="s">
        <v>192</v>
      </c>
      <c r="AN413" t="s">
        <v>193</v>
      </c>
      <c r="AO413">
        <v>2015</v>
      </c>
      <c r="AP413">
        <v>2005</v>
      </c>
      <c r="AQ413">
        <f t="shared" si="20"/>
        <v>10</v>
      </c>
      <c r="AR413" t="s">
        <v>87</v>
      </c>
    </row>
    <row r="414" spans="1:44" x14ac:dyDescent="0.25">
      <c r="A414">
        <v>247</v>
      </c>
      <c r="B414" t="str">
        <f t="shared" si="18"/>
        <v>10+ years</v>
      </c>
      <c r="C414">
        <v>44</v>
      </c>
      <c r="D414" t="str" cm="1">
        <f t="array" ref="D414">_xlfn.IFS(C414&lt;26, "19-25", C414&lt;33, "26-32", C414&lt;40, "33-39", C414&lt;47, "40-46",C414&lt;54, "47-53", TRUE, "54+")</f>
        <v>40-46</v>
      </c>
      <c r="E414">
        <v>926665</v>
      </c>
      <c r="F414" s="1">
        <v>33638</v>
      </c>
      <c r="G414" t="s">
        <v>44</v>
      </c>
      <c r="H414" t="s">
        <v>45</v>
      </c>
      <c r="I414">
        <v>2000</v>
      </c>
      <c r="J414">
        <v>1101.51</v>
      </c>
      <c r="K414">
        <v>0</v>
      </c>
      <c r="L414">
        <v>619108</v>
      </c>
      <c r="M414" t="s">
        <v>75</v>
      </c>
      <c r="N414" t="s">
        <v>146</v>
      </c>
      <c r="O414" t="s">
        <v>194</v>
      </c>
      <c r="P414" t="s">
        <v>123</v>
      </c>
      <c r="Q414" t="s">
        <v>147</v>
      </c>
      <c r="R414">
        <v>64000</v>
      </c>
      <c r="S414">
        <v>0</v>
      </c>
      <c r="T414" s="1">
        <v>42046</v>
      </c>
      <c r="U414" t="s">
        <v>80</v>
      </c>
      <c r="V414" t="s">
        <v>91</v>
      </c>
      <c r="W414" t="s">
        <v>68</v>
      </c>
      <c r="X414" t="s">
        <v>104</v>
      </c>
      <c r="Y414" t="s">
        <v>82</v>
      </c>
      <c r="Z414" t="s">
        <v>70</v>
      </c>
      <c r="AA414" t="s">
        <v>596</v>
      </c>
      <c r="AB414">
        <v>22</v>
      </c>
      <c r="AC414" t="str">
        <f t="shared" si="19"/>
        <v>Evening</v>
      </c>
      <c r="AD414">
        <v>3</v>
      </c>
      <c r="AE414" t="s">
        <v>84</v>
      </c>
      <c r="AF414">
        <v>2</v>
      </c>
      <c r="AG414">
        <v>2</v>
      </c>
      <c r="AH414" t="s">
        <v>84</v>
      </c>
      <c r="AI414">
        <v>69480</v>
      </c>
      <c r="AJ414">
        <v>11580</v>
      </c>
      <c r="AK414">
        <v>11580</v>
      </c>
      <c r="AL414">
        <v>46320</v>
      </c>
      <c r="AM414" t="s">
        <v>94</v>
      </c>
      <c r="AN414" t="s">
        <v>95</v>
      </c>
      <c r="AO414">
        <v>2015</v>
      </c>
      <c r="AP414">
        <v>2008</v>
      </c>
      <c r="AQ414">
        <f t="shared" si="20"/>
        <v>7</v>
      </c>
      <c r="AR414" t="s">
        <v>87</v>
      </c>
    </row>
    <row r="415" spans="1:44" x14ac:dyDescent="0.25">
      <c r="A415">
        <v>56</v>
      </c>
      <c r="B415" t="str">
        <f t="shared" si="18"/>
        <v>2-5 years</v>
      </c>
      <c r="C415">
        <v>29</v>
      </c>
      <c r="D415" t="str" cm="1">
        <f t="array" ref="D415">_xlfn.IFS(C415&lt;26, "19-25", C415&lt;33, "26-32", C415&lt;40, "33-39", C415&lt;47, "40-46",C415&lt;54, "47-53", TRUE, "54+")</f>
        <v>26-32</v>
      </c>
      <c r="E415">
        <v>302669</v>
      </c>
      <c r="F415" s="1">
        <v>38897</v>
      </c>
      <c r="G415" t="s">
        <v>88</v>
      </c>
      <c r="H415" t="s">
        <v>74</v>
      </c>
      <c r="I415">
        <v>1000</v>
      </c>
      <c r="J415">
        <v>1523.17</v>
      </c>
      <c r="K415">
        <v>0</v>
      </c>
      <c r="L415">
        <v>610479</v>
      </c>
      <c r="M415" t="s">
        <v>46</v>
      </c>
      <c r="N415" t="s">
        <v>129</v>
      </c>
      <c r="O415" t="s">
        <v>106</v>
      </c>
      <c r="P415" t="s">
        <v>151</v>
      </c>
      <c r="Q415" t="s">
        <v>79</v>
      </c>
      <c r="R415">
        <v>0</v>
      </c>
      <c r="S415">
        <v>0</v>
      </c>
      <c r="T415" s="1">
        <v>42056</v>
      </c>
      <c r="U415" t="s">
        <v>80</v>
      </c>
      <c r="V415" t="s">
        <v>91</v>
      </c>
      <c r="W415" t="s">
        <v>53</v>
      </c>
      <c r="X415" t="s">
        <v>104</v>
      </c>
      <c r="Y415" t="s">
        <v>180</v>
      </c>
      <c r="Z415" t="s">
        <v>132</v>
      </c>
      <c r="AA415" t="s">
        <v>597</v>
      </c>
      <c r="AB415">
        <v>10</v>
      </c>
      <c r="AC415" t="str">
        <f t="shared" si="19"/>
        <v>Morning</v>
      </c>
      <c r="AD415">
        <v>3</v>
      </c>
      <c r="AE415" t="s">
        <v>67</v>
      </c>
      <c r="AF415">
        <v>1</v>
      </c>
      <c r="AG415">
        <v>2</v>
      </c>
      <c r="AH415" t="s">
        <v>58</v>
      </c>
      <c r="AI415">
        <v>94560</v>
      </c>
      <c r="AJ415">
        <v>7880</v>
      </c>
      <c r="AK415">
        <v>15760</v>
      </c>
      <c r="AL415">
        <v>70920</v>
      </c>
      <c r="AM415" t="s">
        <v>202</v>
      </c>
      <c r="AN415" t="s">
        <v>380</v>
      </c>
      <c r="AO415">
        <v>2015</v>
      </c>
      <c r="AP415">
        <v>1995</v>
      </c>
      <c r="AQ415">
        <f t="shared" si="20"/>
        <v>20</v>
      </c>
      <c r="AR415" t="s">
        <v>87</v>
      </c>
    </row>
    <row r="416" spans="1:44" x14ac:dyDescent="0.25">
      <c r="A416">
        <v>210</v>
      </c>
      <c r="B416" t="str">
        <f t="shared" si="18"/>
        <v>10+ years</v>
      </c>
      <c r="C416">
        <v>39</v>
      </c>
      <c r="D416" t="str" cm="1">
        <f t="array" ref="D416">_xlfn.IFS(C416&lt;26, "19-25", C416&lt;33, "26-32", C416&lt;40, "33-39", C416&lt;47, "40-46",C416&lt;54, "47-53", TRUE, "54+")</f>
        <v>33-39</v>
      </c>
      <c r="E416">
        <v>620020</v>
      </c>
      <c r="F416" s="1">
        <v>35602</v>
      </c>
      <c r="G416" t="s">
        <v>44</v>
      </c>
      <c r="H416" t="s">
        <v>96</v>
      </c>
      <c r="I416">
        <v>1000</v>
      </c>
      <c r="J416">
        <v>984.45</v>
      </c>
      <c r="K416">
        <v>0</v>
      </c>
      <c r="L416">
        <v>474998</v>
      </c>
      <c r="M416" t="s">
        <v>46</v>
      </c>
      <c r="N416" t="s">
        <v>97</v>
      </c>
      <c r="O416" t="s">
        <v>89</v>
      </c>
      <c r="P416" t="s">
        <v>170</v>
      </c>
      <c r="Q416" t="s">
        <v>90</v>
      </c>
      <c r="R416">
        <v>0</v>
      </c>
      <c r="S416">
        <v>0</v>
      </c>
      <c r="T416" s="1">
        <v>42006</v>
      </c>
      <c r="U416" t="s">
        <v>66</v>
      </c>
      <c r="V416" t="s">
        <v>67</v>
      </c>
      <c r="W416" t="s">
        <v>68</v>
      </c>
      <c r="X416" t="s">
        <v>98</v>
      </c>
      <c r="Y416" t="s">
        <v>126</v>
      </c>
      <c r="Z416" t="s">
        <v>70</v>
      </c>
      <c r="AA416" t="s">
        <v>598</v>
      </c>
      <c r="AB416">
        <v>4</v>
      </c>
      <c r="AC416" t="str">
        <f t="shared" si="19"/>
        <v>Night</v>
      </c>
      <c r="AD416">
        <v>1</v>
      </c>
      <c r="AE416" t="s">
        <v>58</v>
      </c>
      <c r="AF416">
        <v>1</v>
      </c>
      <c r="AG416">
        <v>2</v>
      </c>
      <c r="AH416" t="s">
        <v>67</v>
      </c>
      <c r="AI416">
        <v>7800</v>
      </c>
      <c r="AJ416">
        <v>780</v>
      </c>
      <c r="AK416">
        <v>780</v>
      </c>
      <c r="AL416">
        <v>6240</v>
      </c>
      <c r="AM416" t="s">
        <v>85</v>
      </c>
      <c r="AN416" t="s">
        <v>86</v>
      </c>
      <c r="AO416">
        <v>2015</v>
      </c>
      <c r="AP416">
        <v>1997</v>
      </c>
      <c r="AQ416">
        <f t="shared" si="20"/>
        <v>18</v>
      </c>
      <c r="AR416" t="s">
        <v>87</v>
      </c>
    </row>
    <row r="417" spans="1:44" x14ac:dyDescent="0.25">
      <c r="A417">
        <v>108</v>
      </c>
      <c r="B417" t="str">
        <f t="shared" si="18"/>
        <v>5-10 years</v>
      </c>
      <c r="C417">
        <v>32</v>
      </c>
      <c r="D417" t="str" cm="1">
        <f t="array" ref="D417">_xlfn.IFS(C417&lt;26, "19-25", C417&lt;33, "26-32", C417&lt;40, "33-39", C417&lt;47, "40-46",C417&lt;54, "47-53", TRUE, "54+")</f>
        <v>26-32</v>
      </c>
      <c r="E417">
        <v>439828</v>
      </c>
      <c r="F417" s="1">
        <v>38967</v>
      </c>
      <c r="G417" t="s">
        <v>44</v>
      </c>
      <c r="H417" t="s">
        <v>96</v>
      </c>
      <c r="I417">
        <v>2000</v>
      </c>
      <c r="J417">
        <v>1257</v>
      </c>
      <c r="K417">
        <v>4000000</v>
      </c>
      <c r="L417">
        <v>616341</v>
      </c>
      <c r="M417" t="s">
        <v>75</v>
      </c>
      <c r="N417" t="s">
        <v>136</v>
      </c>
      <c r="O417" t="s">
        <v>63</v>
      </c>
      <c r="P417" t="s">
        <v>184</v>
      </c>
      <c r="Q417" t="s">
        <v>90</v>
      </c>
      <c r="R417">
        <v>63900</v>
      </c>
      <c r="S417">
        <v>-43700</v>
      </c>
      <c r="T417" s="1">
        <v>42015</v>
      </c>
      <c r="U417" t="s">
        <v>51</v>
      </c>
      <c r="V417" t="s">
        <v>91</v>
      </c>
      <c r="W417" t="s">
        <v>112</v>
      </c>
      <c r="X417" t="s">
        <v>125</v>
      </c>
      <c r="Y417" t="s">
        <v>118</v>
      </c>
      <c r="Z417" t="s">
        <v>161</v>
      </c>
      <c r="AA417" t="s">
        <v>599</v>
      </c>
      <c r="AB417">
        <v>23</v>
      </c>
      <c r="AC417" t="str">
        <f t="shared" si="19"/>
        <v>Evening</v>
      </c>
      <c r="AD417">
        <v>1</v>
      </c>
      <c r="AE417" t="s">
        <v>84</v>
      </c>
      <c r="AF417">
        <v>1</v>
      </c>
      <c r="AG417">
        <v>3</v>
      </c>
      <c r="AH417" t="s">
        <v>84</v>
      </c>
      <c r="AI417">
        <v>61270</v>
      </c>
      <c r="AJ417">
        <v>5570</v>
      </c>
      <c r="AK417">
        <v>11140</v>
      </c>
      <c r="AL417">
        <v>44560</v>
      </c>
      <c r="AM417" t="s">
        <v>158</v>
      </c>
      <c r="AN417" t="s">
        <v>159</v>
      </c>
      <c r="AO417">
        <v>2015</v>
      </c>
      <c r="AP417">
        <v>1999</v>
      </c>
      <c r="AQ417">
        <f t="shared" si="20"/>
        <v>16</v>
      </c>
      <c r="AR417" t="s">
        <v>87</v>
      </c>
    </row>
    <row r="418" spans="1:44" x14ac:dyDescent="0.25">
      <c r="A418">
        <v>328</v>
      </c>
      <c r="B418" t="str">
        <f t="shared" si="18"/>
        <v>10+ years</v>
      </c>
      <c r="C418">
        <v>49</v>
      </c>
      <c r="D418" t="str" cm="1">
        <f t="array" ref="D418">_xlfn.IFS(C418&lt;26, "19-25", C418&lt;33, "26-32", C418&lt;40, "33-39", C418&lt;47, "40-46",C418&lt;54, "47-53", TRUE, "54+")</f>
        <v>47-53</v>
      </c>
      <c r="E418">
        <v>971295</v>
      </c>
      <c r="F418" s="1">
        <v>37165</v>
      </c>
      <c r="G418" t="s">
        <v>44</v>
      </c>
      <c r="H418" t="s">
        <v>96</v>
      </c>
      <c r="I418">
        <v>500</v>
      </c>
      <c r="J418">
        <v>1434.51</v>
      </c>
      <c r="K418">
        <v>0</v>
      </c>
      <c r="L418">
        <v>460535</v>
      </c>
      <c r="M418" t="s">
        <v>75</v>
      </c>
      <c r="N418" t="s">
        <v>129</v>
      </c>
      <c r="O418" t="s">
        <v>150</v>
      </c>
      <c r="P418" t="s">
        <v>103</v>
      </c>
      <c r="Q418" t="s">
        <v>124</v>
      </c>
      <c r="R418">
        <v>0</v>
      </c>
      <c r="S418">
        <v>0</v>
      </c>
      <c r="T418" s="1">
        <v>42058</v>
      </c>
      <c r="U418" t="s">
        <v>51</v>
      </c>
      <c r="V418" t="s">
        <v>81</v>
      </c>
      <c r="W418" t="s">
        <v>112</v>
      </c>
      <c r="X418" t="s">
        <v>54</v>
      </c>
      <c r="Y418" t="s">
        <v>82</v>
      </c>
      <c r="Z418" t="s">
        <v>70</v>
      </c>
      <c r="AA418" t="s">
        <v>600</v>
      </c>
      <c r="AB418">
        <v>19</v>
      </c>
      <c r="AC418" t="str">
        <f t="shared" si="19"/>
        <v>Evening</v>
      </c>
      <c r="AD418">
        <v>1</v>
      </c>
      <c r="AE418" t="s">
        <v>67</v>
      </c>
      <c r="AF418">
        <v>0</v>
      </c>
      <c r="AG418">
        <v>2</v>
      </c>
      <c r="AH418" t="s">
        <v>58</v>
      </c>
      <c r="AI418">
        <v>71440</v>
      </c>
      <c r="AJ418">
        <v>8930</v>
      </c>
      <c r="AK418">
        <v>8930</v>
      </c>
      <c r="AL418">
        <v>53580</v>
      </c>
      <c r="AM418" t="s">
        <v>72</v>
      </c>
      <c r="AN418" t="s">
        <v>276</v>
      </c>
      <c r="AO418">
        <v>2015</v>
      </c>
      <c r="AP418">
        <v>2005</v>
      </c>
      <c r="AQ418">
        <f t="shared" si="20"/>
        <v>10</v>
      </c>
      <c r="AR418" t="s">
        <v>87</v>
      </c>
    </row>
    <row r="419" spans="1:44" x14ac:dyDescent="0.25">
      <c r="A419">
        <v>186</v>
      </c>
      <c r="B419" t="str">
        <f t="shared" si="18"/>
        <v>10+ years</v>
      </c>
      <c r="C419">
        <v>37</v>
      </c>
      <c r="D419" t="str" cm="1">
        <f t="array" ref="D419">_xlfn.IFS(C419&lt;26, "19-25", C419&lt;33, "26-32", C419&lt;40, "33-39", C419&lt;47, "40-46",C419&lt;54, "47-53", TRUE, "54+")</f>
        <v>33-39</v>
      </c>
      <c r="E419">
        <v>165565</v>
      </c>
      <c r="F419" s="1">
        <v>39864</v>
      </c>
      <c r="G419" t="s">
        <v>44</v>
      </c>
      <c r="H419" t="s">
        <v>45</v>
      </c>
      <c r="I419">
        <v>2000</v>
      </c>
      <c r="J419">
        <v>1628</v>
      </c>
      <c r="K419">
        <v>0</v>
      </c>
      <c r="L419">
        <v>606487</v>
      </c>
      <c r="M419" t="s">
        <v>75</v>
      </c>
      <c r="N419" t="s">
        <v>166</v>
      </c>
      <c r="O419" t="s">
        <v>122</v>
      </c>
      <c r="P419" t="s">
        <v>269</v>
      </c>
      <c r="Q419" t="s">
        <v>90</v>
      </c>
      <c r="R419">
        <v>0</v>
      </c>
      <c r="S419">
        <v>0</v>
      </c>
      <c r="T419" s="1">
        <v>42032</v>
      </c>
      <c r="U419" t="s">
        <v>51</v>
      </c>
      <c r="V419" t="s">
        <v>81</v>
      </c>
      <c r="W419" t="s">
        <v>112</v>
      </c>
      <c r="X419" t="s">
        <v>141</v>
      </c>
      <c r="Y419" t="s">
        <v>82</v>
      </c>
      <c r="Z419" t="s">
        <v>127</v>
      </c>
      <c r="AA419" t="s">
        <v>601</v>
      </c>
      <c r="AB419">
        <v>22</v>
      </c>
      <c r="AC419" t="str">
        <f t="shared" si="19"/>
        <v>Evening</v>
      </c>
      <c r="AD419">
        <v>1</v>
      </c>
      <c r="AE419" t="s">
        <v>58</v>
      </c>
      <c r="AF419">
        <v>1</v>
      </c>
      <c r="AG419">
        <v>2</v>
      </c>
      <c r="AH419" t="s">
        <v>58</v>
      </c>
      <c r="AI419">
        <v>55600</v>
      </c>
      <c r="AJ419">
        <v>11120</v>
      </c>
      <c r="AK419">
        <v>5560</v>
      </c>
      <c r="AL419">
        <v>38920</v>
      </c>
      <c r="AM419" t="s">
        <v>202</v>
      </c>
      <c r="AN419" t="s">
        <v>380</v>
      </c>
      <c r="AO419">
        <v>2015</v>
      </c>
      <c r="AP419">
        <v>2009</v>
      </c>
      <c r="AQ419">
        <f t="shared" si="20"/>
        <v>6</v>
      </c>
      <c r="AR419" t="s">
        <v>87</v>
      </c>
    </row>
    <row r="420" spans="1:44" x14ac:dyDescent="0.25">
      <c r="A420">
        <v>277</v>
      </c>
      <c r="B420" t="str">
        <f t="shared" si="18"/>
        <v>10+ years</v>
      </c>
      <c r="C420">
        <v>44</v>
      </c>
      <c r="D420" t="str" cm="1">
        <f t="array" ref="D420">_xlfn.IFS(C420&lt;26, "19-25", C420&lt;33, "26-32", C420&lt;40, "33-39", C420&lt;47, "40-46",C420&lt;54, "47-53", TRUE, "54+")</f>
        <v>40-46</v>
      </c>
      <c r="E420">
        <v>936543</v>
      </c>
      <c r="F420" s="1">
        <v>37068</v>
      </c>
      <c r="G420" t="s">
        <v>62</v>
      </c>
      <c r="H420" t="s">
        <v>96</v>
      </c>
      <c r="I420">
        <v>500</v>
      </c>
      <c r="J420">
        <v>1412.31</v>
      </c>
      <c r="K420">
        <v>0</v>
      </c>
      <c r="L420">
        <v>620737</v>
      </c>
      <c r="M420" t="s">
        <v>46</v>
      </c>
      <c r="N420" t="s">
        <v>136</v>
      </c>
      <c r="O420" t="s">
        <v>122</v>
      </c>
      <c r="P420" t="s">
        <v>78</v>
      </c>
      <c r="Q420" t="s">
        <v>90</v>
      </c>
      <c r="R420">
        <v>0</v>
      </c>
      <c r="S420">
        <v>0</v>
      </c>
      <c r="T420" s="1">
        <v>42036</v>
      </c>
      <c r="U420" t="s">
        <v>66</v>
      </c>
      <c r="V420" t="s">
        <v>67</v>
      </c>
      <c r="W420" t="s">
        <v>217</v>
      </c>
      <c r="X420" t="s">
        <v>54</v>
      </c>
      <c r="Y420" t="s">
        <v>126</v>
      </c>
      <c r="Z420" t="s">
        <v>70</v>
      </c>
      <c r="AA420" t="s">
        <v>602</v>
      </c>
      <c r="AB420">
        <v>6</v>
      </c>
      <c r="AC420" t="str">
        <f t="shared" si="19"/>
        <v>Morning</v>
      </c>
      <c r="AD420">
        <v>1</v>
      </c>
      <c r="AE420" t="s">
        <v>84</v>
      </c>
      <c r="AF420">
        <v>1</v>
      </c>
      <c r="AG420">
        <v>3</v>
      </c>
      <c r="AH420" t="s">
        <v>84</v>
      </c>
      <c r="AI420">
        <v>5000</v>
      </c>
      <c r="AJ420">
        <v>1000</v>
      </c>
      <c r="AK420">
        <v>500</v>
      </c>
      <c r="AL420">
        <v>3500</v>
      </c>
      <c r="AM420" t="s">
        <v>202</v>
      </c>
      <c r="AN420" t="s">
        <v>203</v>
      </c>
      <c r="AO420">
        <v>2015</v>
      </c>
      <c r="AP420">
        <v>2005</v>
      </c>
      <c r="AQ420">
        <f t="shared" si="20"/>
        <v>10</v>
      </c>
      <c r="AR420" t="s">
        <v>87</v>
      </c>
    </row>
    <row r="421" spans="1:44" x14ac:dyDescent="0.25">
      <c r="A421">
        <v>138</v>
      </c>
      <c r="B421" t="str">
        <f t="shared" si="18"/>
        <v>10+ years</v>
      </c>
      <c r="C421">
        <v>33</v>
      </c>
      <c r="D421" t="str" cm="1">
        <f t="array" ref="D421">_xlfn.IFS(C421&lt;26, "19-25", C421&lt;33, "26-32", C421&lt;40, "33-39", C421&lt;47, "40-46",C421&lt;54, "47-53", TRUE, "54+")</f>
        <v>33-39</v>
      </c>
      <c r="E421">
        <v>296960</v>
      </c>
      <c r="F421" s="1">
        <v>35448</v>
      </c>
      <c r="G421" t="s">
        <v>88</v>
      </c>
      <c r="H421" t="s">
        <v>45</v>
      </c>
      <c r="I421">
        <v>500</v>
      </c>
      <c r="J421">
        <v>1362.87</v>
      </c>
      <c r="K421">
        <v>5000000</v>
      </c>
      <c r="L421">
        <v>445904</v>
      </c>
      <c r="M421" t="s">
        <v>75</v>
      </c>
      <c r="N421" t="s">
        <v>166</v>
      </c>
      <c r="O421" t="s">
        <v>130</v>
      </c>
      <c r="P421" t="s">
        <v>170</v>
      </c>
      <c r="Q421" t="s">
        <v>79</v>
      </c>
      <c r="R421">
        <v>56900</v>
      </c>
      <c r="S421">
        <v>-56900</v>
      </c>
      <c r="T421" s="1">
        <v>42059</v>
      </c>
      <c r="U421" t="s">
        <v>51</v>
      </c>
      <c r="V421" t="s">
        <v>52</v>
      </c>
      <c r="W421" t="s">
        <v>68</v>
      </c>
      <c r="X421" t="s">
        <v>125</v>
      </c>
      <c r="Y421" t="s">
        <v>82</v>
      </c>
      <c r="Z421" t="s">
        <v>107</v>
      </c>
      <c r="AA421" t="s">
        <v>603</v>
      </c>
      <c r="AB421">
        <v>6</v>
      </c>
      <c r="AC421" t="str">
        <f t="shared" si="19"/>
        <v>Morning</v>
      </c>
      <c r="AD421">
        <v>1</v>
      </c>
      <c r="AE421" t="s">
        <v>84</v>
      </c>
      <c r="AF421">
        <v>2</v>
      </c>
      <c r="AG421">
        <v>0</v>
      </c>
      <c r="AH421" t="s">
        <v>67</v>
      </c>
      <c r="AI421">
        <v>95810</v>
      </c>
      <c r="AJ421">
        <v>14740</v>
      </c>
      <c r="AK421">
        <v>14740</v>
      </c>
      <c r="AL421">
        <v>66330</v>
      </c>
      <c r="AM421" t="s">
        <v>192</v>
      </c>
      <c r="AN421" t="s">
        <v>208</v>
      </c>
      <c r="AO421">
        <v>2015</v>
      </c>
      <c r="AP421">
        <v>2007</v>
      </c>
      <c r="AQ421">
        <f t="shared" si="20"/>
        <v>8</v>
      </c>
      <c r="AR421" t="s">
        <v>87</v>
      </c>
    </row>
    <row r="422" spans="1:44" x14ac:dyDescent="0.25">
      <c r="A422">
        <v>208</v>
      </c>
      <c r="B422" t="str">
        <f t="shared" si="18"/>
        <v>10+ years</v>
      </c>
      <c r="C422">
        <v>41</v>
      </c>
      <c r="D422" t="str" cm="1">
        <f t="array" ref="D422">_xlfn.IFS(C422&lt;26, "19-25", C422&lt;33, "26-32", C422&lt;40, "33-39", C422&lt;47, "40-46",C422&lt;54, "47-53", TRUE, "54+")</f>
        <v>40-46</v>
      </c>
      <c r="E422">
        <v>501692</v>
      </c>
      <c r="F422" s="1">
        <v>41814</v>
      </c>
      <c r="G422" t="s">
        <v>62</v>
      </c>
      <c r="H422" t="s">
        <v>74</v>
      </c>
      <c r="I422">
        <v>1000</v>
      </c>
      <c r="J422">
        <v>1134.68</v>
      </c>
      <c r="K422">
        <v>0</v>
      </c>
      <c r="L422">
        <v>464145</v>
      </c>
      <c r="M422" t="s">
        <v>75</v>
      </c>
      <c r="N422" t="s">
        <v>146</v>
      </c>
      <c r="O422" t="s">
        <v>102</v>
      </c>
      <c r="P422" t="s">
        <v>173</v>
      </c>
      <c r="Q422" t="s">
        <v>50</v>
      </c>
      <c r="R422">
        <v>0</v>
      </c>
      <c r="S422">
        <v>0</v>
      </c>
      <c r="T422" s="1">
        <v>42024</v>
      </c>
      <c r="U422" t="s">
        <v>51</v>
      </c>
      <c r="V422" t="s">
        <v>81</v>
      </c>
      <c r="W422" t="s">
        <v>53</v>
      </c>
      <c r="X422" t="s">
        <v>141</v>
      </c>
      <c r="Y422" t="s">
        <v>55</v>
      </c>
      <c r="Z422" t="s">
        <v>132</v>
      </c>
      <c r="AA422" t="s">
        <v>604</v>
      </c>
      <c r="AB422">
        <v>18</v>
      </c>
      <c r="AC422" t="str">
        <f t="shared" si="19"/>
        <v>Evening</v>
      </c>
      <c r="AD422">
        <v>1</v>
      </c>
      <c r="AE422" t="s">
        <v>84</v>
      </c>
      <c r="AF422">
        <v>2</v>
      </c>
      <c r="AG422">
        <v>2</v>
      </c>
      <c r="AH422" t="s">
        <v>67</v>
      </c>
      <c r="AI422">
        <v>69300</v>
      </c>
      <c r="AJ422">
        <v>6930</v>
      </c>
      <c r="AK422">
        <v>13860</v>
      </c>
      <c r="AL422">
        <v>48510</v>
      </c>
      <c r="AM422" t="s">
        <v>219</v>
      </c>
      <c r="AN422" t="s">
        <v>263</v>
      </c>
      <c r="AO422">
        <v>2015</v>
      </c>
      <c r="AP422">
        <v>1996</v>
      </c>
      <c r="AQ422">
        <f t="shared" si="20"/>
        <v>19</v>
      </c>
      <c r="AR422" t="s">
        <v>87</v>
      </c>
    </row>
    <row r="423" spans="1:44" x14ac:dyDescent="0.25">
      <c r="A423">
        <v>147</v>
      </c>
      <c r="B423" t="str">
        <f t="shared" si="18"/>
        <v>10+ years</v>
      </c>
      <c r="C423">
        <v>37</v>
      </c>
      <c r="D423" t="str" cm="1">
        <f t="array" ref="D423">_xlfn.IFS(C423&lt;26, "19-25", C423&lt;33, "26-32", C423&lt;40, "33-39", C423&lt;47, "40-46",C423&lt;54, "47-53", TRUE, "54+")</f>
        <v>33-39</v>
      </c>
      <c r="E423">
        <v>525224</v>
      </c>
      <c r="F423" s="1">
        <v>33879</v>
      </c>
      <c r="G423" t="s">
        <v>62</v>
      </c>
      <c r="H423" t="s">
        <v>45</v>
      </c>
      <c r="I423">
        <v>1000</v>
      </c>
      <c r="J423">
        <v>1306.78</v>
      </c>
      <c r="K423">
        <v>0</v>
      </c>
      <c r="L423">
        <v>466818</v>
      </c>
      <c r="M423" t="s">
        <v>46</v>
      </c>
      <c r="N423" t="s">
        <v>47</v>
      </c>
      <c r="O423" t="s">
        <v>106</v>
      </c>
      <c r="P423" t="s">
        <v>186</v>
      </c>
      <c r="Q423" t="s">
        <v>65</v>
      </c>
      <c r="R423">
        <v>0</v>
      </c>
      <c r="S423">
        <v>0</v>
      </c>
      <c r="T423" s="1">
        <v>42018</v>
      </c>
      <c r="U423" t="s">
        <v>51</v>
      </c>
      <c r="V423" t="s">
        <v>91</v>
      </c>
      <c r="W423" t="s">
        <v>112</v>
      </c>
      <c r="X423" t="s">
        <v>141</v>
      </c>
      <c r="Y423" t="s">
        <v>55</v>
      </c>
      <c r="Z423" t="s">
        <v>132</v>
      </c>
      <c r="AA423" t="s">
        <v>605</v>
      </c>
      <c r="AB423">
        <v>22</v>
      </c>
      <c r="AC423" t="str">
        <f t="shared" si="19"/>
        <v>Evening</v>
      </c>
      <c r="AD423">
        <v>1</v>
      </c>
      <c r="AE423" t="s">
        <v>67</v>
      </c>
      <c r="AF423">
        <v>1</v>
      </c>
      <c r="AG423">
        <v>0</v>
      </c>
      <c r="AH423" t="s">
        <v>84</v>
      </c>
      <c r="AI423">
        <v>81120</v>
      </c>
      <c r="AJ423">
        <v>13520</v>
      </c>
      <c r="AK423">
        <v>20280</v>
      </c>
      <c r="AL423">
        <v>47320</v>
      </c>
      <c r="AM423" t="s">
        <v>120</v>
      </c>
      <c r="AN423" t="s">
        <v>121</v>
      </c>
      <c r="AO423">
        <v>2015</v>
      </c>
      <c r="AP423">
        <v>1995</v>
      </c>
      <c r="AQ423">
        <f t="shared" si="20"/>
        <v>20</v>
      </c>
      <c r="AR423" t="s">
        <v>87</v>
      </c>
    </row>
    <row r="424" spans="1:44" x14ac:dyDescent="0.25">
      <c r="A424">
        <v>8</v>
      </c>
      <c r="B424" t="str">
        <f t="shared" si="18"/>
        <v>0-2 years</v>
      </c>
      <c r="C424">
        <v>21</v>
      </c>
      <c r="D424" t="str" cm="1">
        <f t="array" ref="D424">_xlfn.IFS(C424&lt;26, "19-25", C424&lt;33, "26-32", C424&lt;40, "33-39", C424&lt;47, "40-46",C424&lt;54, "47-53", TRUE, "54+")</f>
        <v>19-25</v>
      </c>
      <c r="E424">
        <v>355085</v>
      </c>
      <c r="F424" s="1">
        <v>41191</v>
      </c>
      <c r="G424" t="s">
        <v>62</v>
      </c>
      <c r="H424" t="s">
        <v>96</v>
      </c>
      <c r="I424">
        <v>500</v>
      </c>
      <c r="J424">
        <v>1021.9</v>
      </c>
      <c r="K424">
        <v>0</v>
      </c>
      <c r="L424">
        <v>464237</v>
      </c>
      <c r="M424" t="s">
        <v>46</v>
      </c>
      <c r="N424" t="s">
        <v>136</v>
      </c>
      <c r="O424" t="s">
        <v>164</v>
      </c>
      <c r="P424" t="s">
        <v>154</v>
      </c>
      <c r="Q424" t="s">
        <v>50</v>
      </c>
      <c r="R424">
        <v>0</v>
      </c>
      <c r="S424">
        <v>0</v>
      </c>
      <c r="T424" s="1">
        <v>42040</v>
      </c>
      <c r="U424" t="s">
        <v>51</v>
      </c>
      <c r="V424" t="s">
        <v>91</v>
      </c>
      <c r="W424" t="s">
        <v>53</v>
      </c>
      <c r="X424" t="s">
        <v>125</v>
      </c>
      <c r="Y424" t="s">
        <v>118</v>
      </c>
      <c r="Z424" t="s">
        <v>56</v>
      </c>
      <c r="AA424" t="s">
        <v>606</v>
      </c>
      <c r="AB424">
        <v>21</v>
      </c>
      <c r="AC424" t="str">
        <f t="shared" si="19"/>
        <v>Evening</v>
      </c>
      <c r="AD424">
        <v>1</v>
      </c>
      <c r="AE424" t="s">
        <v>67</v>
      </c>
      <c r="AF424">
        <v>0</v>
      </c>
      <c r="AG424">
        <v>0</v>
      </c>
      <c r="AH424" t="s">
        <v>67</v>
      </c>
      <c r="AI424">
        <v>91260</v>
      </c>
      <c r="AJ424">
        <v>14040</v>
      </c>
      <c r="AK424">
        <v>14040</v>
      </c>
      <c r="AL424">
        <v>63180</v>
      </c>
      <c r="AM424" t="s">
        <v>120</v>
      </c>
      <c r="AN424" t="s">
        <v>188</v>
      </c>
      <c r="AO424">
        <v>2015</v>
      </c>
      <c r="AP424">
        <v>2012</v>
      </c>
      <c r="AQ424">
        <f t="shared" si="20"/>
        <v>3</v>
      </c>
      <c r="AR424" t="s">
        <v>87</v>
      </c>
    </row>
    <row r="425" spans="1:44" x14ac:dyDescent="0.25">
      <c r="A425">
        <v>297</v>
      </c>
      <c r="B425" t="str">
        <f t="shared" si="18"/>
        <v>10+ years</v>
      </c>
      <c r="C425">
        <v>48</v>
      </c>
      <c r="D425" t="str" cm="1">
        <f t="array" ref="D425">_xlfn.IFS(C425&lt;26, "19-25", C425&lt;33, "26-32", C425&lt;40, "33-39", C425&lt;47, "40-46",C425&lt;54, "47-53", TRUE, "54+")</f>
        <v>47-53</v>
      </c>
      <c r="E425">
        <v>830729</v>
      </c>
      <c r="F425" s="1">
        <v>34010</v>
      </c>
      <c r="G425" t="s">
        <v>62</v>
      </c>
      <c r="H425" t="s">
        <v>74</v>
      </c>
      <c r="I425">
        <v>1000</v>
      </c>
      <c r="J425">
        <v>1538.6</v>
      </c>
      <c r="K425">
        <v>0</v>
      </c>
      <c r="L425">
        <v>618455</v>
      </c>
      <c r="M425" t="s">
        <v>75</v>
      </c>
      <c r="N425" t="s">
        <v>47</v>
      </c>
      <c r="O425" t="s">
        <v>116</v>
      </c>
      <c r="P425" t="s">
        <v>175</v>
      </c>
      <c r="Q425" t="s">
        <v>124</v>
      </c>
      <c r="R425">
        <v>0</v>
      </c>
      <c r="S425">
        <v>-54700</v>
      </c>
      <c r="T425" s="1">
        <v>42015</v>
      </c>
      <c r="U425" t="s">
        <v>51</v>
      </c>
      <c r="V425" t="s">
        <v>52</v>
      </c>
      <c r="W425" t="s">
        <v>68</v>
      </c>
      <c r="X425" t="s">
        <v>104</v>
      </c>
      <c r="Y425" t="s">
        <v>55</v>
      </c>
      <c r="Z425" t="s">
        <v>132</v>
      </c>
      <c r="AA425" t="s">
        <v>607</v>
      </c>
      <c r="AB425">
        <v>12</v>
      </c>
      <c r="AC425" t="str">
        <f t="shared" si="19"/>
        <v>Afternoon</v>
      </c>
      <c r="AD425">
        <v>1</v>
      </c>
      <c r="AE425" t="s">
        <v>67</v>
      </c>
      <c r="AF425">
        <v>0</v>
      </c>
      <c r="AG425">
        <v>0</v>
      </c>
      <c r="AH425" t="s">
        <v>67</v>
      </c>
      <c r="AI425">
        <v>60600</v>
      </c>
      <c r="AJ425">
        <v>6060</v>
      </c>
      <c r="AK425">
        <v>12120</v>
      </c>
      <c r="AL425">
        <v>42420</v>
      </c>
      <c r="AM425" t="s">
        <v>134</v>
      </c>
      <c r="AN425" t="s">
        <v>254</v>
      </c>
      <c r="AO425">
        <v>2015</v>
      </c>
      <c r="AP425">
        <v>2004</v>
      </c>
      <c r="AQ425">
        <f t="shared" si="20"/>
        <v>11</v>
      </c>
      <c r="AR425" t="s">
        <v>87</v>
      </c>
    </row>
    <row r="426" spans="1:44" x14ac:dyDescent="0.25">
      <c r="A426">
        <v>150</v>
      </c>
      <c r="B426" t="str">
        <f t="shared" si="18"/>
        <v>10+ years</v>
      </c>
      <c r="C426">
        <v>31</v>
      </c>
      <c r="D426" t="str" cm="1">
        <f t="array" ref="D426">_xlfn.IFS(C426&lt;26, "19-25", C426&lt;33, "26-32", C426&lt;40, "33-39", C426&lt;47, "40-46",C426&lt;54, "47-53", TRUE, "54+")</f>
        <v>26-32</v>
      </c>
      <c r="E426">
        <v>651948</v>
      </c>
      <c r="F426" s="1">
        <v>34605</v>
      </c>
      <c r="G426" t="s">
        <v>62</v>
      </c>
      <c r="H426" t="s">
        <v>96</v>
      </c>
      <c r="I426">
        <v>1000</v>
      </c>
      <c r="J426">
        <v>1354.5</v>
      </c>
      <c r="K426">
        <v>0</v>
      </c>
      <c r="L426">
        <v>456602</v>
      </c>
      <c r="M426" t="s">
        <v>46</v>
      </c>
      <c r="N426" t="s">
        <v>129</v>
      </c>
      <c r="O426" t="s">
        <v>63</v>
      </c>
      <c r="P426" t="s">
        <v>111</v>
      </c>
      <c r="Q426" t="s">
        <v>50</v>
      </c>
      <c r="R426">
        <v>52800</v>
      </c>
      <c r="S426">
        <v>0</v>
      </c>
      <c r="T426" s="1">
        <v>42006</v>
      </c>
      <c r="U426" t="s">
        <v>80</v>
      </c>
      <c r="V426" t="s">
        <v>91</v>
      </c>
      <c r="W426" t="s">
        <v>53</v>
      </c>
      <c r="X426" t="s">
        <v>141</v>
      </c>
      <c r="Y426" t="s">
        <v>82</v>
      </c>
      <c r="Z426" t="s">
        <v>92</v>
      </c>
      <c r="AA426" t="s">
        <v>608</v>
      </c>
      <c r="AB426">
        <v>6</v>
      </c>
      <c r="AC426" t="str">
        <f t="shared" si="19"/>
        <v>Morning</v>
      </c>
      <c r="AD426">
        <v>3</v>
      </c>
      <c r="AE426" t="s">
        <v>67</v>
      </c>
      <c r="AF426">
        <v>0</v>
      </c>
      <c r="AG426">
        <v>3</v>
      </c>
      <c r="AH426" t="s">
        <v>58</v>
      </c>
      <c r="AI426">
        <v>64800</v>
      </c>
      <c r="AJ426">
        <v>6480</v>
      </c>
      <c r="AK426">
        <v>12960</v>
      </c>
      <c r="AL426">
        <v>45360</v>
      </c>
      <c r="AM426" t="s">
        <v>158</v>
      </c>
      <c r="AN426" t="s">
        <v>172</v>
      </c>
      <c r="AO426">
        <v>2015</v>
      </c>
      <c r="AP426">
        <v>2000</v>
      </c>
      <c r="AQ426">
        <f t="shared" si="20"/>
        <v>15</v>
      </c>
      <c r="AR426" t="s">
        <v>61</v>
      </c>
    </row>
    <row r="427" spans="1:44" x14ac:dyDescent="0.25">
      <c r="A427">
        <v>4</v>
      </c>
      <c r="B427" t="str">
        <f t="shared" si="18"/>
        <v>0-2 years</v>
      </c>
      <c r="C427">
        <v>34</v>
      </c>
      <c r="D427" t="str" cm="1">
        <f t="array" ref="D427">_xlfn.IFS(C427&lt;26, "19-25", C427&lt;33, "26-32", C427&lt;40, "33-39", C427&lt;47, "40-46",C427&lt;54, "47-53", TRUE, "54+")</f>
        <v>33-39</v>
      </c>
      <c r="E427">
        <v>424358</v>
      </c>
      <c r="F427" s="1">
        <v>37765</v>
      </c>
      <c r="G427" t="s">
        <v>44</v>
      </c>
      <c r="H427" t="s">
        <v>96</v>
      </c>
      <c r="I427">
        <v>500</v>
      </c>
      <c r="J427">
        <v>1282.93</v>
      </c>
      <c r="K427">
        <v>0</v>
      </c>
      <c r="L427">
        <v>616126</v>
      </c>
      <c r="M427" t="s">
        <v>75</v>
      </c>
      <c r="N427" t="s">
        <v>146</v>
      </c>
      <c r="O427" t="s">
        <v>130</v>
      </c>
      <c r="P427" t="s">
        <v>184</v>
      </c>
      <c r="Q427" t="s">
        <v>65</v>
      </c>
      <c r="R427">
        <v>0</v>
      </c>
      <c r="S427">
        <v>0</v>
      </c>
      <c r="T427" s="1">
        <v>42047</v>
      </c>
      <c r="U427" t="s">
        <v>80</v>
      </c>
      <c r="V427" t="s">
        <v>52</v>
      </c>
      <c r="W427" t="s">
        <v>53</v>
      </c>
      <c r="X427" t="s">
        <v>54</v>
      </c>
      <c r="Y427" t="s">
        <v>118</v>
      </c>
      <c r="Z427" t="s">
        <v>161</v>
      </c>
      <c r="AA427" t="s">
        <v>609</v>
      </c>
      <c r="AB427">
        <v>0</v>
      </c>
      <c r="AC427" t="str">
        <f t="shared" si="19"/>
        <v>Night</v>
      </c>
      <c r="AD427">
        <v>4</v>
      </c>
      <c r="AE427" t="s">
        <v>67</v>
      </c>
      <c r="AF427">
        <v>0</v>
      </c>
      <c r="AG427">
        <v>0</v>
      </c>
      <c r="AH427" t="s">
        <v>67</v>
      </c>
      <c r="AI427">
        <v>66880</v>
      </c>
      <c r="AJ427">
        <v>6080</v>
      </c>
      <c r="AK427">
        <v>12160</v>
      </c>
      <c r="AL427">
        <v>48640</v>
      </c>
      <c r="AM427" t="s">
        <v>94</v>
      </c>
      <c r="AN427" t="s">
        <v>228</v>
      </c>
      <c r="AO427">
        <v>2015</v>
      </c>
      <c r="AP427">
        <v>1996</v>
      </c>
      <c r="AQ427">
        <f t="shared" si="20"/>
        <v>19</v>
      </c>
      <c r="AR427" t="s">
        <v>61</v>
      </c>
    </row>
    <row r="428" spans="1:44" x14ac:dyDescent="0.25">
      <c r="A428">
        <v>210</v>
      </c>
      <c r="B428" t="str">
        <f t="shared" si="18"/>
        <v>10+ years</v>
      </c>
      <c r="C428">
        <v>35</v>
      </c>
      <c r="D428" t="str" cm="1">
        <f t="array" ref="D428">_xlfn.IFS(C428&lt;26, "19-25", C428&lt;33, "26-32", C428&lt;40, "33-39", C428&lt;47, "40-46",C428&lt;54, "47-53", TRUE, "54+")</f>
        <v>33-39</v>
      </c>
      <c r="E428">
        <v>131478</v>
      </c>
      <c r="F428" s="1">
        <v>33597</v>
      </c>
      <c r="G428" t="s">
        <v>88</v>
      </c>
      <c r="H428" t="s">
        <v>96</v>
      </c>
      <c r="I428">
        <v>1000</v>
      </c>
      <c r="J428">
        <v>1346.27</v>
      </c>
      <c r="K428">
        <v>0</v>
      </c>
      <c r="L428">
        <v>468508</v>
      </c>
      <c r="M428" t="s">
        <v>46</v>
      </c>
      <c r="N428" t="s">
        <v>129</v>
      </c>
      <c r="O428" t="s">
        <v>194</v>
      </c>
      <c r="P428" t="s">
        <v>247</v>
      </c>
      <c r="Q428" t="s">
        <v>147</v>
      </c>
      <c r="R428">
        <v>44900</v>
      </c>
      <c r="S428">
        <v>-91400</v>
      </c>
      <c r="T428" s="1">
        <v>42007</v>
      </c>
      <c r="U428" t="s">
        <v>51</v>
      </c>
      <c r="V428" t="s">
        <v>91</v>
      </c>
      <c r="W428" t="s">
        <v>112</v>
      </c>
      <c r="X428" t="s">
        <v>141</v>
      </c>
      <c r="Y428" t="s">
        <v>118</v>
      </c>
      <c r="Z428" t="s">
        <v>92</v>
      </c>
      <c r="AA428" t="s">
        <v>610</v>
      </c>
      <c r="AB428">
        <v>11</v>
      </c>
      <c r="AC428" t="str">
        <f t="shared" si="19"/>
        <v>Morning</v>
      </c>
      <c r="AD428">
        <v>1</v>
      </c>
      <c r="AE428" t="s">
        <v>84</v>
      </c>
      <c r="AF428">
        <v>0</v>
      </c>
      <c r="AG428">
        <v>2</v>
      </c>
      <c r="AH428" t="s">
        <v>67</v>
      </c>
      <c r="AI428">
        <v>58200</v>
      </c>
      <c r="AJ428">
        <v>5820</v>
      </c>
      <c r="AK428">
        <v>5820</v>
      </c>
      <c r="AL428">
        <v>46560</v>
      </c>
      <c r="AM428" t="s">
        <v>192</v>
      </c>
      <c r="AN428" t="s">
        <v>208</v>
      </c>
      <c r="AO428">
        <v>2015</v>
      </c>
      <c r="AP428">
        <v>2013</v>
      </c>
      <c r="AQ428">
        <f t="shared" si="20"/>
        <v>2</v>
      </c>
      <c r="AR428" t="s">
        <v>87</v>
      </c>
    </row>
    <row r="429" spans="1:44" x14ac:dyDescent="0.25">
      <c r="A429">
        <v>91</v>
      </c>
      <c r="B429" t="str">
        <f t="shared" si="18"/>
        <v>5-10 years</v>
      </c>
      <c r="C429">
        <v>31</v>
      </c>
      <c r="D429" t="str" cm="1">
        <f t="array" ref="D429">_xlfn.IFS(C429&lt;26, "19-25", C429&lt;33, "26-32", C429&lt;40, "33-39", C429&lt;47, "40-46",C429&lt;54, "47-53", TRUE, "54+")</f>
        <v>26-32</v>
      </c>
      <c r="E429">
        <v>268833</v>
      </c>
      <c r="F429" s="1">
        <v>36421</v>
      </c>
      <c r="G429" t="s">
        <v>62</v>
      </c>
      <c r="H429" t="s">
        <v>74</v>
      </c>
      <c r="I429">
        <v>1000</v>
      </c>
      <c r="J429">
        <v>1338.4</v>
      </c>
      <c r="K429">
        <v>4000000</v>
      </c>
      <c r="L429">
        <v>431937</v>
      </c>
      <c r="M429" t="s">
        <v>75</v>
      </c>
      <c r="N429" t="s">
        <v>136</v>
      </c>
      <c r="O429" t="s">
        <v>122</v>
      </c>
      <c r="P429" t="s">
        <v>178</v>
      </c>
      <c r="Q429" t="s">
        <v>79</v>
      </c>
      <c r="R429">
        <v>63600</v>
      </c>
      <c r="S429">
        <v>0</v>
      </c>
      <c r="T429" s="1">
        <v>42060</v>
      </c>
      <c r="U429" t="s">
        <v>51</v>
      </c>
      <c r="V429" t="s">
        <v>52</v>
      </c>
      <c r="W429" t="s">
        <v>68</v>
      </c>
      <c r="X429" t="s">
        <v>54</v>
      </c>
      <c r="Y429" t="s">
        <v>126</v>
      </c>
      <c r="Z429" t="s">
        <v>127</v>
      </c>
      <c r="AA429" t="s">
        <v>611</v>
      </c>
      <c r="AB429">
        <v>19</v>
      </c>
      <c r="AC429" t="str">
        <f t="shared" si="19"/>
        <v>Evening</v>
      </c>
      <c r="AD429">
        <v>1</v>
      </c>
      <c r="AE429" t="s">
        <v>67</v>
      </c>
      <c r="AF429">
        <v>1</v>
      </c>
      <c r="AG429">
        <v>0</v>
      </c>
      <c r="AH429" t="s">
        <v>84</v>
      </c>
      <c r="AI429">
        <v>60570</v>
      </c>
      <c r="AJ429">
        <v>6730</v>
      </c>
      <c r="AK429">
        <v>6730</v>
      </c>
      <c r="AL429">
        <v>47110</v>
      </c>
      <c r="AM429" t="s">
        <v>109</v>
      </c>
      <c r="AN429" t="s">
        <v>156</v>
      </c>
      <c r="AO429">
        <v>2015</v>
      </c>
      <c r="AP429">
        <v>2011</v>
      </c>
      <c r="AQ429">
        <f t="shared" si="20"/>
        <v>4</v>
      </c>
      <c r="AR429" t="s">
        <v>87</v>
      </c>
    </row>
    <row r="430" spans="1:44" x14ac:dyDescent="0.25">
      <c r="A430">
        <v>167</v>
      </c>
      <c r="B430" t="str">
        <f t="shared" si="18"/>
        <v>10+ years</v>
      </c>
      <c r="C430">
        <v>36</v>
      </c>
      <c r="D430" t="str" cm="1">
        <f t="array" ref="D430">_xlfn.IFS(C430&lt;26, "19-25", C430&lt;33, "26-32", C430&lt;40, "33-39", C430&lt;47, "40-46",C430&lt;54, "47-53", TRUE, "54+")</f>
        <v>33-39</v>
      </c>
      <c r="E430">
        <v>287489</v>
      </c>
      <c r="F430" s="1">
        <v>34368</v>
      </c>
      <c r="G430" t="s">
        <v>88</v>
      </c>
      <c r="H430" t="s">
        <v>74</v>
      </c>
      <c r="I430">
        <v>1000</v>
      </c>
      <c r="J430">
        <v>949.44</v>
      </c>
      <c r="K430">
        <v>0</v>
      </c>
      <c r="L430">
        <v>448603</v>
      </c>
      <c r="M430" t="s">
        <v>75</v>
      </c>
      <c r="N430" t="s">
        <v>129</v>
      </c>
      <c r="O430" t="s">
        <v>130</v>
      </c>
      <c r="P430" t="s">
        <v>123</v>
      </c>
      <c r="Q430" t="s">
        <v>65</v>
      </c>
      <c r="R430">
        <v>0</v>
      </c>
      <c r="S430">
        <v>-38400</v>
      </c>
      <c r="T430" s="1">
        <v>42023</v>
      </c>
      <c r="U430" t="s">
        <v>80</v>
      </c>
      <c r="V430" t="s">
        <v>81</v>
      </c>
      <c r="W430" t="s">
        <v>53</v>
      </c>
      <c r="X430" t="s">
        <v>141</v>
      </c>
      <c r="Y430" t="s">
        <v>126</v>
      </c>
      <c r="Z430" t="s">
        <v>107</v>
      </c>
      <c r="AA430" t="s">
        <v>612</v>
      </c>
      <c r="AB430">
        <v>22</v>
      </c>
      <c r="AC430" t="str">
        <f t="shared" si="19"/>
        <v>Evening</v>
      </c>
      <c r="AD430">
        <v>3</v>
      </c>
      <c r="AE430" t="s">
        <v>67</v>
      </c>
      <c r="AF430">
        <v>0</v>
      </c>
      <c r="AG430">
        <v>0</v>
      </c>
      <c r="AH430" t="s">
        <v>84</v>
      </c>
      <c r="AI430">
        <v>69680</v>
      </c>
      <c r="AJ430">
        <v>8710</v>
      </c>
      <c r="AK430">
        <v>8710</v>
      </c>
      <c r="AL430">
        <v>52260</v>
      </c>
      <c r="AM430" t="s">
        <v>72</v>
      </c>
      <c r="AN430" t="s">
        <v>276</v>
      </c>
      <c r="AO430">
        <v>2015</v>
      </c>
      <c r="AP430">
        <v>2008</v>
      </c>
      <c r="AQ430">
        <f t="shared" si="20"/>
        <v>7</v>
      </c>
      <c r="AR430" t="s">
        <v>61</v>
      </c>
    </row>
    <row r="431" spans="1:44" x14ac:dyDescent="0.25">
      <c r="A431">
        <v>467</v>
      </c>
      <c r="B431" t="str">
        <f t="shared" si="18"/>
        <v>10+ years</v>
      </c>
      <c r="C431">
        <v>58</v>
      </c>
      <c r="D431" t="str" cm="1">
        <f t="array" ref="D431">_xlfn.IFS(C431&lt;26, "19-25", C431&lt;33, "26-32", C431&lt;40, "33-39", C431&lt;47, "40-46",C431&lt;54, "47-53", TRUE, "54+")</f>
        <v>54+</v>
      </c>
      <c r="E431">
        <v>808153</v>
      </c>
      <c r="F431" s="1">
        <v>37639</v>
      </c>
      <c r="G431" t="s">
        <v>62</v>
      </c>
      <c r="H431" t="s">
        <v>96</v>
      </c>
      <c r="I431">
        <v>2000</v>
      </c>
      <c r="J431">
        <v>977.4</v>
      </c>
      <c r="K431">
        <v>0</v>
      </c>
      <c r="L431">
        <v>444500</v>
      </c>
      <c r="M431" t="s">
        <v>46</v>
      </c>
      <c r="N431" t="s">
        <v>129</v>
      </c>
      <c r="O431" t="s">
        <v>150</v>
      </c>
      <c r="P431" t="s">
        <v>103</v>
      </c>
      <c r="Q431" t="s">
        <v>79</v>
      </c>
      <c r="R431">
        <v>82200</v>
      </c>
      <c r="S431">
        <v>0</v>
      </c>
      <c r="T431" s="1">
        <v>42007</v>
      </c>
      <c r="U431" t="s">
        <v>51</v>
      </c>
      <c r="V431" t="s">
        <v>91</v>
      </c>
      <c r="W431" t="s">
        <v>112</v>
      </c>
      <c r="X431" t="s">
        <v>104</v>
      </c>
      <c r="Y431" t="s">
        <v>82</v>
      </c>
      <c r="Z431" t="s">
        <v>56</v>
      </c>
      <c r="AA431" t="s">
        <v>613</v>
      </c>
      <c r="AB431">
        <v>2</v>
      </c>
      <c r="AC431" t="str">
        <f t="shared" si="19"/>
        <v>Night</v>
      </c>
      <c r="AD431">
        <v>1</v>
      </c>
      <c r="AE431" t="s">
        <v>58</v>
      </c>
      <c r="AF431">
        <v>2</v>
      </c>
      <c r="AG431">
        <v>3</v>
      </c>
      <c r="AH431" t="s">
        <v>84</v>
      </c>
      <c r="AI431">
        <v>55700</v>
      </c>
      <c r="AJ431">
        <v>5570</v>
      </c>
      <c r="AK431">
        <v>11140</v>
      </c>
      <c r="AL431">
        <v>38990</v>
      </c>
      <c r="AM431" t="s">
        <v>109</v>
      </c>
      <c r="AN431" t="s">
        <v>156</v>
      </c>
      <c r="AO431">
        <v>2015</v>
      </c>
      <c r="AP431">
        <v>2014</v>
      </c>
      <c r="AQ431">
        <f t="shared" si="20"/>
        <v>1</v>
      </c>
      <c r="AR431" t="s">
        <v>87</v>
      </c>
    </row>
    <row r="432" spans="1:44" x14ac:dyDescent="0.25">
      <c r="A432">
        <v>264</v>
      </c>
      <c r="B432" t="str">
        <f t="shared" si="18"/>
        <v>10+ years</v>
      </c>
      <c r="C432">
        <v>47</v>
      </c>
      <c r="D432" t="str" cm="1">
        <f t="array" ref="D432">_xlfn.IFS(C432&lt;26, "19-25", C432&lt;33, "26-32", C432&lt;40, "33-39", C432&lt;47, "40-46",C432&lt;54, "47-53", TRUE, "54+")</f>
        <v>47-53</v>
      </c>
      <c r="E432">
        <v>687639</v>
      </c>
      <c r="F432" s="1">
        <v>38418</v>
      </c>
      <c r="G432" t="s">
        <v>62</v>
      </c>
      <c r="H432" t="s">
        <v>45</v>
      </c>
      <c r="I432">
        <v>2000</v>
      </c>
      <c r="J432">
        <v>1181.46</v>
      </c>
      <c r="K432">
        <v>10000000</v>
      </c>
      <c r="L432">
        <v>601117</v>
      </c>
      <c r="M432" t="s">
        <v>75</v>
      </c>
      <c r="N432" t="s">
        <v>166</v>
      </c>
      <c r="O432" t="s">
        <v>150</v>
      </c>
      <c r="P432" t="s">
        <v>49</v>
      </c>
      <c r="Q432" t="s">
        <v>65</v>
      </c>
      <c r="R432">
        <v>0</v>
      </c>
      <c r="S432">
        <v>-67400</v>
      </c>
      <c r="T432" s="1">
        <v>42047</v>
      </c>
      <c r="U432" t="s">
        <v>80</v>
      </c>
      <c r="V432" t="s">
        <v>91</v>
      </c>
      <c r="W432" t="s">
        <v>112</v>
      </c>
      <c r="X432" t="s">
        <v>141</v>
      </c>
      <c r="Y432" t="s">
        <v>44</v>
      </c>
      <c r="Z432" t="s">
        <v>92</v>
      </c>
      <c r="AA432" t="s">
        <v>614</v>
      </c>
      <c r="AB432">
        <v>16</v>
      </c>
      <c r="AC432" t="str">
        <f t="shared" si="19"/>
        <v>Afternoon</v>
      </c>
      <c r="AD432">
        <v>4</v>
      </c>
      <c r="AE432" t="s">
        <v>58</v>
      </c>
      <c r="AF432">
        <v>1</v>
      </c>
      <c r="AG432">
        <v>2</v>
      </c>
      <c r="AH432" t="s">
        <v>58</v>
      </c>
      <c r="AI432">
        <v>62370</v>
      </c>
      <c r="AJ432">
        <v>5670</v>
      </c>
      <c r="AK432">
        <v>5670</v>
      </c>
      <c r="AL432">
        <v>51030</v>
      </c>
      <c r="AM432" t="s">
        <v>85</v>
      </c>
      <c r="AN432" t="s">
        <v>149</v>
      </c>
      <c r="AO432">
        <v>2015</v>
      </c>
      <c r="AP432">
        <v>2001</v>
      </c>
      <c r="AQ432">
        <f t="shared" si="20"/>
        <v>14</v>
      </c>
      <c r="AR432" t="s">
        <v>87</v>
      </c>
    </row>
    <row r="433" spans="1:44" x14ac:dyDescent="0.25">
      <c r="A433">
        <v>270</v>
      </c>
      <c r="B433" t="str">
        <f t="shared" si="18"/>
        <v>10+ years</v>
      </c>
      <c r="C433">
        <v>45</v>
      </c>
      <c r="D433" t="str" cm="1">
        <f t="array" ref="D433">_xlfn.IFS(C433&lt;26, "19-25", C433&lt;33, "26-32", C433&lt;40, "33-39", C433&lt;47, "40-46",C433&lt;54, "47-53", TRUE, "54+")</f>
        <v>40-46</v>
      </c>
      <c r="E433">
        <v>497347</v>
      </c>
      <c r="F433" s="1">
        <v>37856</v>
      </c>
      <c r="G433" t="s">
        <v>44</v>
      </c>
      <c r="H433" t="s">
        <v>96</v>
      </c>
      <c r="I433">
        <v>500</v>
      </c>
      <c r="J433">
        <v>1187.53</v>
      </c>
      <c r="K433">
        <v>0</v>
      </c>
      <c r="L433">
        <v>615383</v>
      </c>
      <c r="M433" t="s">
        <v>75</v>
      </c>
      <c r="N433" t="s">
        <v>76</v>
      </c>
      <c r="O433" t="s">
        <v>122</v>
      </c>
      <c r="P433" t="s">
        <v>160</v>
      </c>
      <c r="Q433" t="s">
        <v>147</v>
      </c>
      <c r="R433">
        <v>83200</v>
      </c>
      <c r="S433">
        <v>-53300</v>
      </c>
      <c r="T433" s="1">
        <v>42059</v>
      </c>
      <c r="U433" t="s">
        <v>80</v>
      </c>
      <c r="V433" t="s">
        <v>52</v>
      </c>
      <c r="W433" t="s">
        <v>112</v>
      </c>
      <c r="X433" t="s">
        <v>125</v>
      </c>
      <c r="Y433" t="s">
        <v>69</v>
      </c>
      <c r="Z433" t="s">
        <v>56</v>
      </c>
      <c r="AA433" t="s">
        <v>615</v>
      </c>
      <c r="AB433">
        <v>23</v>
      </c>
      <c r="AC433" t="str">
        <f t="shared" si="19"/>
        <v>Evening</v>
      </c>
      <c r="AD433">
        <v>3</v>
      </c>
      <c r="AE433" t="s">
        <v>67</v>
      </c>
      <c r="AF433">
        <v>0</v>
      </c>
      <c r="AG433">
        <v>0</v>
      </c>
      <c r="AH433" t="s">
        <v>58</v>
      </c>
      <c r="AI433">
        <v>54340</v>
      </c>
      <c r="AJ433">
        <v>9880</v>
      </c>
      <c r="AK433">
        <v>0</v>
      </c>
      <c r="AL433">
        <v>44460</v>
      </c>
      <c r="AM433" t="s">
        <v>59</v>
      </c>
      <c r="AN433" t="s">
        <v>60</v>
      </c>
      <c r="AO433">
        <v>2015</v>
      </c>
      <c r="AP433">
        <v>2005</v>
      </c>
      <c r="AQ433">
        <f t="shared" si="20"/>
        <v>10</v>
      </c>
      <c r="AR433" t="s">
        <v>87</v>
      </c>
    </row>
    <row r="434" spans="1:44" x14ac:dyDescent="0.25">
      <c r="A434">
        <v>310</v>
      </c>
      <c r="B434" t="str">
        <f t="shared" si="18"/>
        <v>10+ years</v>
      </c>
      <c r="C434">
        <v>48</v>
      </c>
      <c r="D434" t="str" cm="1">
        <f t="array" ref="D434">_xlfn.IFS(C434&lt;26, "19-25", C434&lt;33, "26-32", C434&lt;40, "33-39", C434&lt;47, "40-46",C434&lt;54, "47-53", TRUE, "54+")</f>
        <v>47-53</v>
      </c>
      <c r="E434">
        <v>439660</v>
      </c>
      <c r="F434" s="1">
        <v>37448</v>
      </c>
      <c r="G434" t="s">
        <v>44</v>
      </c>
      <c r="H434" t="s">
        <v>74</v>
      </c>
      <c r="I434">
        <v>1000</v>
      </c>
      <c r="J434">
        <v>845.16</v>
      </c>
      <c r="K434">
        <v>0</v>
      </c>
      <c r="L434">
        <v>434342</v>
      </c>
      <c r="M434" t="s">
        <v>75</v>
      </c>
      <c r="N434" t="s">
        <v>129</v>
      </c>
      <c r="O434" t="s">
        <v>122</v>
      </c>
      <c r="P434" t="s">
        <v>111</v>
      </c>
      <c r="Q434" t="s">
        <v>65</v>
      </c>
      <c r="R434">
        <v>0</v>
      </c>
      <c r="S434">
        <v>0</v>
      </c>
      <c r="T434" s="1">
        <v>42060</v>
      </c>
      <c r="U434" t="s">
        <v>51</v>
      </c>
      <c r="V434" t="s">
        <v>91</v>
      </c>
      <c r="W434" t="s">
        <v>53</v>
      </c>
      <c r="X434" t="s">
        <v>54</v>
      </c>
      <c r="Y434" t="s">
        <v>126</v>
      </c>
      <c r="Z434" t="s">
        <v>132</v>
      </c>
      <c r="AA434" t="s">
        <v>616</v>
      </c>
      <c r="AB434">
        <v>21</v>
      </c>
      <c r="AC434" t="str">
        <f t="shared" si="19"/>
        <v>Evening</v>
      </c>
      <c r="AD434">
        <v>1</v>
      </c>
      <c r="AE434" t="s">
        <v>58</v>
      </c>
      <c r="AF434">
        <v>1</v>
      </c>
      <c r="AG434">
        <v>0</v>
      </c>
      <c r="AH434" t="s">
        <v>84</v>
      </c>
      <c r="AI434">
        <v>55170</v>
      </c>
      <c r="AJ434">
        <v>6130</v>
      </c>
      <c r="AK434">
        <v>6130</v>
      </c>
      <c r="AL434">
        <v>42910</v>
      </c>
      <c r="AM434" t="s">
        <v>114</v>
      </c>
      <c r="AN434" t="s">
        <v>115</v>
      </c>
      <c r="AO434">
        <v>2015</v>
      </c>
      <c r="AP434">
        <v>2005</v>
      </c>
      <c r="AQ434">
        <f t="shared" si="20"/>
        <v>10</v>
      </c>
      <c r="AR434" t="s">
        <v>61</v>
      </c>
    </row>
    <row r="435" spans="1:44" x14ac:dyDescent="0.25">
      <c r="A435">
        <v>143</v>
      </c>
      <c r="B435" t="str">
        <f t="shared" si="18"/>
        <v>10+ years</v>
      </c>
      <c r="C435">
        <v>34</v>
      </c>
      <c r="D435" t="str" cm="1">
        <f t="array" ref="D435">_xlfn.IFS(C435&lt;26, "19-25", C435&lt;33, "26-32", C435&lt;40, "33-39", C435&lt;47, "40-46",C435&lt;54, "47-53", TRUE, "54+")</f>
        <v>33-39</v>
      </c>
      <c r="E435">
        <v>847123</v>
      </c>
      <c r="F435" s="1">
        <v>41717</v>
      </c>
      <c r="G435" t="s">
        <v>88</v>
      </c>
      <c r="H435" t="s">
        <v>74</v>
      </c>
      <c r="I435">
        <v>500</v>
      </c>
      <c r="J435">
        <v>1442.27</v>
      </c>
      <c r="K435">
        <v>0</v>
      </c>
      <c r="L435">
        <v>435100</v>
      </c>
      <c r="M435" t="s">
        <v>46</v>
      </c>
      <c r="N435" t="s">
        <v>146</v>
      </c>
      <c r="O435" t="s">
        <v>122</v>
      </c>
      <c r="P435" t="s">
        <v>269</v>
      </c>
      <c r="Q435" t="s">
        <v>124</v>
      </c>
      <c r="R435">
        <v>67900</v>
      </c>
      <c r="S435">
        <v>0</v>
      </c>
      <c r="T435" s="1">
        <v>42052</v>
      </c>
      <c r="U435" t="s">
        <v>51</v>
      </c>
      <c r="V435" t="s">
        <v>91</v>
      </c>
      <c r="W435" t="s">
        <v>68</v>
      </c>
      <c r="X435" t="s">
        <v>125</v>
      </c>
      <c r="Y435" t="s">
        <v>82</v>
      </c>
      <c r="Z435" t="s">
        <v>56</v>
      </c>
      <c r="AA435" t="s">
        <v>617</v>
      </c>
      <c r="AB435">
        <v>10</v>
      </c>
      <c r="AC435" t="str">
        <f t="shared" si="19"/>
        <v>Morning</v>
      </c>
      <c r="AD435">
        <v>1</v>
      </c>
      <c r="AE435" t="s">
        <v>67</v>
      </c>
      <c r="AF435">
        <v>2</v>
      </c>
      <c r="AG435">
        <v>3</v>
      </c>
      <c r="AH435" t="s">
        <v>58</v>
      </c>
      <c r="AI435">
        <v>58500</v>
      </c>
      <c r="AJ435">
        <v>11700</v>
      </c>
      <c r="AK435">
        <v>5850</v>
      </c>
      <c r="AL435">
        <v>40950</v>
      </c>
      <c r="AM435" t="s">
        <v>85</v>
      </c>
      <c r="AN435" t="s">
        <v>86</v>
      </c>
      <c r="AO435">
        <v>2015</v>
      </c>
      <c r="AP435">
        <v>1999</v>
      </c>
      <c r="AQ435">
        <f t="shared" si="20"/>
        <v>16</v>
      </c>
      <c r="AR435" t="s">
        <v>87</v>
      </c>
    </row>
    <row r="436" spans="1:44" x14ac:dyDescent="0.25">
      <c r="A436">
        <v>146</v>
      </c>
      <c r="B436" t="str">
        <f t="shared" si="18"/>
        <v>10+ years</v>
      </c>
      <c r="C436">
        <v>32</v>
      </c>
      <c r="D436" t="str" cm="1">
        <f t="array" ref="D436">_xlfn.IFS(C436&lt;26, "19-25", C436&lt;33, "26-32", C436&lt;40, "33-39", C436&lt;47, "40-46",C436&lt;54, "47-53", TRUE, "54+")</f>
        <v>26-32</v>
      </c>
      <c r="E436">
        <v>172307</v>
      </c>
      <c r="F436" s="1">
        <v>34309</v>
      </c>
      <c r="G436" t="s">
        <v>44</v>
      </c>
      <c r="H436" t="s">
        <v>74</v>
      </c>
      <c r="I436">
        <v>2000</v>
      </c>
      <c r="J436">
        <v>1276.43</v>
      </c>
      <c r="K436">
        <v>0</v>
      </c>
      <c r="L436">
        <v>431278</v>
      </c>
      <c r="M436" t="s">
        <v>46</v>
      </c>
      <c r="N436" t="s">
        <v>97</v>
      </c>
      <c r="O436" t="s">
        <v>122</v>
      </c>
      <c r="P436" t="s">
        <v>137</v>
      </c>
      <c r="Q436" t="s">
        <v>79</v>
      </c>
      <c r="R436">
        <v>0</v>
      </c>
      <c r="S436">
        <v>0</v>
      </c>
      <c r="T436" s="1">
        <v>42044</v>
      </c>
      <c r="U436" t="s">
        <v>51</v>
      </c>
      <c r="V436" t="s">
        <v>81</v>
      </c>
      <c r="W436" t="s">
        <v>53</v>
      </c>
      <c r="X436" t="s">
        <v>104</v>
      </c>
      <c r="Y436" t="s">
        <v>126</v>
      </c>
      <c r="Z436" t="s">
        <v>70</v>
      </c>
      <c r="AA436" t="s">
        <v>618</v>
      </c>
      <c r="AB436">
        <v>12</v>
      </c>
      <c r="AC436" t="str">
        <f t="shared" si="19"/>
        <v>Afternoon</v>
      </c>
      <c r="AD436">
        <v>1</v>
      </c>
      <c r="AE436" t="s">
        <v>67</v>
      </c>
      <c r="AF436">
        <v>0</v>
      </c>
      <c r="AG436">
        <v>3</v>
      </c>
      <c r="AH436" t="s">
        <v>67</v>
      </c>
      <c r="AI436">
        <v>59940</v>
      </c>
      <c r="AJ436">
        <v>6660</v>
      </c>
      <c r="AK436">
        <v>6660</v>
      </c>
      <c r="AL436">
        <v>46620</v>
      </c>
      <c r="AM436" t="s">
        <v>214</v>
      </c>
      <c r="AN436" t="s">
        <v>230</v>
      </c>
      <c r="AO436">
        <v>2015</v>
      </c>
      <c r="AP436">
        <v>1995</v>
      </c>
      <c r="AQ436">
        <f t="shared" si="20"/>
        <v>20</v>
      </c>
      <c r="AR436" t="s">
        <v>87</v>
      </c>
    </row>
    <row r="437" spans="1:44" x14ac:dyDescent="0.25">
      <c r="A437">
        <v>102</v>
      </c>
      <c r="B437" t="str">
        <f t="shared" si="18"/>
        <v>5-10 years</v>
      </c>
      <c r="C437">
        <v>28</v>
      </c>
      <c r="D437" t="str" cm="1">
        <f t="array" ref="D437">_xlfn.IFS(C437&lt;26, "19-25", C437&lt;33, "26-32", C437&lt;40, "33-39", C437&lt;47, "40-46",C437&lt;54, "47-53", TRUE, "54+")</f>
        <v>26-32</v>
      </c>
      <c r="E437">
        <v>810189</v>
      </c>
      <c r="F437" s="1">
        <v>36401</v>
      </c>
      <c r="G437" t="s">
        <v>44</v>
      </c>
      <c r="H437" t="s">
        <v>45</v>
      </c>
      <c r="I437">
        <v>500</v>
      </c>
      <c r="J437">
        <v>1075.4100000000001</v>
      </c>
      <c r="K437">
        <v>0</v>
      </c>
      <c r="L437">
        <v>445648</v>
      </c>
      <c r="M437" t="s">
        <v>46</v>
      </c>
      <c r="N437" t="s">
        <v>47</v>
      </c>
      <c r="O437" t="s">
        <v>63</v>
      </c>
      <c r="P437" t="s">
        <v>64</v>
      </c>
      <c r="Q437" t="s">
        <v>124</v>
      </c>
      <c r="R437">
        <v>55200</v>
      </c>
      <c r="S437">
        <v>0</v>
      </c>
      <c r="T437" s="1">
        <v>42050</v>
      </c>
      <c r="U437" t="s">
        <v>51</v>
      </c>
      <c r="V437" t="s">
        <v>52</v>
      </c>
      <c r="W437" t="s">
        <v>112</v>
      </c>
      <c r="X437" t="s">
        <v>54</v>
      </c>
      <c r="Y437" t="s">
        <v>180</v>
      </c>
      <c r="Z437" t="s">
        <v>132</v>
      </c>
      <c r="AA437" t="s">
        <v>619</v>
      </c>
      <c r="AB437">
        <v>6</v>
      </c>
      <c r="AC437" t="str">
        <f t="shared" si="19"/>
        <v>Morning</v>
      </c>
      <c r="AD437">
        <v>1</v>
      </c>
      <c r="AE437" t="s">
        <v>84</v>
      </c>
      <c r="AF437">
        <v>1</v>
      </c>
      <c r="AG437">
        <v>0</v>
      </c>
      <c r="AH437" t="s">
        <v>84</v>
      </c>
      <c r="AI437">
        <v>73400</v>
      </c>
      <c r="AJ437">
        <v>7340</v>
      </c>
      <c r="AK437">
        <v>7340</v>
      </c>
      <c r="AL437">
        <v>58720</v>
      </c>
      <c r="AM437" t="s">
        <v>85</v>
      </c>
      <c r="AN437" t="s">
        <v>149</v>
      </c>
      <c r="AO437">
        <v>2015</v>
      </c>
      <c r="AP437">
        <v>1996</v>
      </c>
      <c r="AQ437">
        <f t="shared" si="20"/>
        <v>19</v>
      </c>
      <c r="AR437" t="s">
        <v>87</v>
      </c>
    </row>
    <row r="438" spans="1:44" x14ac:dyDescent="0.25">
      <c r="A438">
        <v>61</v>
      </c>
      <c r="B438" t="str">
        <f t="shared" si="18"/>
        <v>5-10 years</v>
      </c>
      <c r="C438">
        <v>23</v>
      </c>
      <c r="D438" t="str" cm="1">
        <f t="array" ref="D438">_xlfn.IFS(C438&lt;26, "19-25", C438&lt;33, "26-32", C438&lt;40, "33-39", C438&lt;47, "40-46",C438&lt;54, "47-53", TRUE, "54+")</f>
        <v>19-25</v>
      </c>
      <c r="E438">
        <v>432068</v>
      </c>
      <c r="F438" s="1">
        <v>39150</v>
      </c>
      <c r="G438" t="s">
        <v>88</v>
      </c>
      <c r="H438" t="s">
        <v>74</v>
      </c>
      <c r="I438">
        <v>500</v>
      </c>
      <c r="J438">
        <v>1111.72</v>
      </c>
      <c r="K438">
        <v>0</v>
      </c>
      <c r="L438">
        <v>448857</v>
      </c>
      <c r="M438" t="s">
        <v>46</v>
      </c>
      <c r="N438" t="s">
        <v>166</v>
      </c>
      <c r="O438" t="s">
        <v>130</v>
      </c>
      <c r="P438" t="s">
        <v>103</v>
      </c>
      <c r="Q438" t="s">
        <v>65</v>
      </c>
      <c r="R438">
        <v>54600</v>
      </c>
      <c r="S438">
        <v>0</v>
      </c>
      <c r="T438" s="1">
        <v>42060</v>
      </c>
      <c r="U438" t="s">
        <v>51</v>
      </c>
      <c r="V438" t="s">
        <v>52</v>
      </c>
      <c r="W438" t="s">
        <v>53</v>
      </c>
      <c r="X438" t="s">
        <v>104</v>
      </c>
      <c r="Y438" t="s">
        <v>180</v>
      </c>
      <c r="Z438" t="s">
        <v>70</v>
      </c>
      <c r="AA438" t="s">
        <v>620</v>
      </c>
      <c r="AB438">
        <v>6</v>
      </c>
      <c r="AC438" t="str">
        <f t="shared" si="19"/>
        <v>Morning</v>
      </c>
      <c r="AD438">
        <v>1</v>
      </c>
      <c r="AE438" t="s">
        <v>67</v>
      </c>
      <c r="AF438">
        <v>1</v>
      </c>
      <c r="AG438">
        <v>2</v>
      </c>
      <c r="AH438" t="s">
        <v>67</v>
      </c>
      <c r="AI438">
        <v>41850</v>
      </c>
      <c r="AJ438">
        <v>4650</v>
      </c>
      <c r="AK438">
        <v>4650</v>
      </c>
      <c r="AL438">
        <v>32550</v>
      </c>
      <c r="AM438" t="s">
        <v>158</v>
      </c>
      <c r="AN438" t="s">
        <v>159</v>
      </c>
      <c r="AO438">
        <v>2015</v>
      </c>
      <c r="AP438">
        <v>1997</v>
      </c>
      <c r="AQ438">
        <f t="shared" si="20"/>
        <v>18</v>
      </c>
      <c r="AR438" t="s">
        <v>87</v>
      </c>
    </row>
    <row r="439" spans="1:44" x14ac:dyDescent="0.25">
      <c r="A439">
        <v>255</v>
      </c>
      <c r="B439" t="str">
        <f t="shared" si="18"/>
        <v>10+ years</v>
      </c>
      <c r="C439">
        <v>44</v>
      </c>
      <c r="D439" t="str" cm="1">
        <f t="array" ref="D439">_xlfn.IFS(C439&lt;26, "19-25", C439&lt;33, "26-32", C439&lt;40, "33-39", C439&lt;47, "40-46",C439&lt;54, "47-53", TRUE, "54+")</f>
        <v>40-46</v>
      </c>
      <c r="E439">
        <v>903203</v>
      </c>
      <c r="F439" s="1">
        <v>37989</v>
      </c>
      <c r="G439" t="s">
        <v>44</v>
      </c>
      <c r="H439" t="s">
        <v>96</v>
      </c>
      <c r="I439">
        <v>2000</v>
      </c>
      <c r="J439">
        <v>814.96</v>
      </c>
      <c r="K439">
        <v>6000000</v>
      </c>
      <c r="L439">
        <v>435267</v>
      </c>
      <c r="M439" t="s">
        <v>75</v>
      </c>
      <c r="N439" t="s">
        <v>76</v>
      </c>
      <c r="O439" t="s">
        <v>122</v>
      </c>
      <c r="P439" t="s">
        <v>173</v>
      </c>
      <c r="Q439" t="s">
        <v>147</v>
      </c>
      <c r="R439">
        <v>68500</v>
      </c>
      <c r="S439">
        <v>0</v>
      </c>
      <c r="T439" s="1">
        <v>42040</v>
      </c>
      <c r="U439" t="s">
        <v>143</v>
      </c>
      <c r="V439" t="s">
        <v>67</v>
      </c>
      <c r="W439" t="s">
        <v>217</v>
      </c>
      <c r="X439" t="s">
        <v>54</v>
      </c>
      <c r="Y439" t="s">
        <v>126</v>
      </c>
      <c r="Z439" t="s">
        <v>127</v>
      </c>
      <c r="AA439" t="s">
        <v>621</v>
      </c>
      <c r="AB439">
        <v>7</v>
      </c>
      <c r="AC439" t="str">
        <f t="shared" si="19"/>
        <v>Morning</v>
      </c>
      <c r="AD439">
        <v>1</v>
      </c>
      <c r="AE439" t="s">
        <v>67</v>
      </c>
      <c r="AF439">
        <v>2</v>
      </c>
      <c r="AG439">
        <v>2</v>
      </c>
      <c r="AH439" t="s">
        <v>84</v>
      </c>
      <c r="AI439">
        <v>6400</v>
      </c>
      <c r="AJ439">
        <v>640</v>
      </c>
      <c r="AK439">
        <v>1280</v>
      </c>
      <c r="AL439">
        <v>4480</v>
      </c>
      <c r="AM439" t="s">
        <v>72</v>
      </c>
      <c r="AN439" t="s">
        <v>276</v>
      </c>
      <c r="AO439">
        <v>2015</v>
      </c>
      <c r="AP439">
        <v>2005</v>
      </c>
      <c r="AQ439">
        <f t="shared" si="20"/>
        <v>10</v>
      </c>
      <c r="AR439" t="s">
        <v>61</v>
      </c>
    </row>
    <row r="440" spans="1:44" x14ac:dyDescent="0.25">
      <c r="A440">
        <v>211</v>
      </c>
      <c r="B440" t="str">
        <f t="shared" si="18"/>
        <v>10+ years</v>
      </c>
      <c r="C440">
        <v>40</v>
      </c>
      <c r="D440" t="str" cm="1">
        <f t="array" ref="D440">_xlfn.IFS(C440&lt;26, "19-25", C440&lt;33, "26-32", C440&lt;40, "33-39", C440&lt;47, "40-46",C440&lt;54, "47-53", TRUE, "54+")</f>
        <v>40-46</v>
      </c>
      <c r="E440">
        <v>253085</v>
      </c>
      <c r="F440" s="1">
        <v>33353</v>
      </c>
      <c r="G440" t="s">
        <v>88</v>
      </c>
      <c r="H440" t="s">
        <v>96</v>
      </c>
      <c r="I440">
        <v>1000</v>
      </c>
      <c r="J440">
        <v>1575.86</v>
      </c>
      <c r="K440">
        <v>0</v>
      </c>
      <c r="L440">
        <v>461275</v>
      </c>
      <c r="M440" t="s">
        <v>75</v>
      </c>
      <c r="N440" t="s">
        <v>76</v>
      </c>
      <c r="O440" t="s">
        <v>116</v>
      </c>
      <c r="P440" t="s">
        <v>49</v>
      </c>
      <c r="Q440" t="s">
        <v>79</v>
      </c>
      <c r="R440">
        <v>0</v>
      </c>
      <c r="S440">
        <v>0</v>
      </c>
      <c r="T440" s="1">
        <v>42016</v>
      </c>
      <c r="U440" t="s">
        <v>66</v>
      </c>
      <c r="V440" t="s">
        <v>67</v>
      </c>
      <c r="W440" t="s">
        <v>217</v>
      </c>
      <c r="X440" t="s">
        <v>54</v>
      </c>
      <c r="Y440" t="s">
        <v>118</v>
      </c>
      <c r="Z440" t="s">
        <v>161</v>
      </c>
      <c r="AA440" t="s">
        <v>622</v>
      </c>
      <c r="AB440">
        <v>3</v>
      </c>
      <c r="AC440" t="str">
        <f t="shared" si="19"/>
        <v>Night</v>
      </c>
      <c r="AD440">
        <v>1</v>
      </c>
      <c r="AE440" t="s">
        <v>84</v>
      </c>
      <c r="AF440">
        <v>1</v>
      </c>
      <c r="AG440">
        <v>1</v>
      </c>
      <c r="AH440" t="s">
        <v>84</v>
      </c>
      <c r="AI440">
        <v>3190</v>
      </c>
      <c r="AJ440">
        <v>580</v>
      </c>
      <c r="AK440">
        <v>290</v>
      </c>
      <c r="AL440">
        <v>2320</v>
      </c>
      <c r="AM440" t="s">
        <v>114</v>
      </c>
      <c r="AN440" t="s">
        <v>115</v>
      </c>
      <c r="AO440">
        <v>2015</v>
      </c>
      <c r="AP440">
        <v>2004</v>
      </c>
      <c r="AQ440">
        <f t="shared" si="20"/>
        <v>11</v>
      </c>
      <c r="AR440" t="s">
        <v>87</v>
      </c>
    </row>
    <row r="441" spans="1:44" x14ac:dyDescent="0.25">
      <c r="A441">
        <v>61</v>
      </c>
      <c r="B441" t="str">
        <f t="shared" si="18"/>
        <v>5-10 years</v>
      </c>
      <c r="C441">
        <v>29</v>
      </c>
      <c r="D441" t="str" cm="1">
        <f t="array" ref="D441">_xlfn.IFS(C441&lt;26, "19-25", C441&lt;33, "26-32", C441&lt;40, "33-39", C441&lt;47, "40-46",C441&lt;54, "47-53", TRUE, "54+")</f>
        <v>26-32</v>
      </c>
      <c r="E441">
        <v>180720</v>
      </c>
      <c r="F441" s="1">
        <v>34772</v>
      </c>
      <c r="G441" t="s">
        <v>62</v>
      </c>
      <c r="H441" t="s">
        <v>45</v>
      </c>
      <c r="I441">
        <v>1000</v>
      </c>
      <c r="J441">
        <v>1115.27</v>
      </c>
      <c r="K441">
        <v>0</v>
      </c>
      <c r="L441">
        <v>613816</v>
      </c>
      <c r="M441" t="s">
        <v>46</v>
      </c>
      <c r="N441" t="s">
        <v>166</v>
      </c>
      <c r="O441" t="s">
        <v>164</v>
      </c>
      <c r="P441" t="s">
        <v>178</v>
      </c>
      <c r="Q441" t="s">
        <v>90</v>
      </c>
      <c r="R441">
        <v>0</v>
      </c>
      <c r="S441">
        <v>-66000</v>
      </c>
      <c r="T441" s="1">
        <v>42005</v>
      </c>
      <c r="U441" t="s">
        <v>143</v>
      </c>
      <c r="V441" t="s">
        <v>67</v>
      </c>
      <c r="W441" t="s">
        <v>217</v>
      </c>
      <c r="X441" t="s">
        <v>98</v>
      </c>
      <c r="Y441" t="s">
        <v>69</v>
      </c>
      <c r="Z441" t="s">
        <v>127</v>
      </c>
      <c r="AA441" t="s">
        <v>623</v>
      </c>
      <c r="AB441">
        <v>10</v>
      </c>
      <c r="AC441" t="str">
        <f t="shared" si="19"/>
        <v>Morning</v>
      </c>
      <c r="AD441">
        <v>1</v>
      </c>
      <c r="AE441" t="s">
        <v>58</v>
      </c>
      <c r="AF441">
        <v>2</v>
      </c>
      <c r="AG441">
        <v>1</v>
      </c>
      <c r="AH441" t="s">
        <v>58</v>
      </c>
      <c r="AI441">
        <v>5900</v>
      </c>
      <c r="AJ441">
        <v>590</v>
      </c>
      <c r="AK441">
        <v>590</v>
      </c>
      <c r="AL441">
        <v>4720</v>
      </c>
      <c r="AM441" t="s">
        <v>109</v>
      </c>
      <c r="AN441" t="s">
        <v>110</v>
      </c>
      <c r="AO441">
        <v>2015</v>
      </c>
      <c r="AP441">
        <v>2010</v>
      </c>
      <c r="AQ441">
        <f t="shared" si="20"/>
        <v>5</v>
      </c>
      <c r="AR441" t="s">
        <v>87</v>
      </c>
    </row>
    <row r="442" spans="1:44" x14ac:dyDescent="0.25">
      <c r="A442">
        <v>108</v>
      </c>
      <c r="B442" t="str">
        <f t="shared" si="18"/>
        <v>5-10 years</v>
      </c>
      <c r="C442">
        <v>31</v>
      </c>
      <c r="D442" t="str" cm="1">
        <f t="array" ref="D442">_xlfn.IFS(C442&lt;26, "19-25", C442&lt;33, "26-32", C442&lt;40, "33-39", C442&lt;47, "40-46",C442&lt;54, "47-53", TRUE, "54+")</f>
        <v>26-32</v>
      </c>
      <c r="E442">
        <v>492224</v>
      </c>
      <c r="F442" s="1">
        <v>38695</v>
      </c>
      <c r="G442" t="s">
        <v>62</v>
      </c>
      <c r="H442" t="s">
        <v>96</v>
      </c>
      <c r="I442">
        <v>2000</v>
      </c>
      <c r="J442">
        <v>1175.7</v>
      </c>
      <c r="K442">
        <v>0</v>
      </c>
      <c r="L442">
        <v>608767</v>
      </c>
      <c r="M442" t="s">
        <v>46</v>
      </c>
      <c r="N442" t="s">
        <v>129</v>
      </c>
      <c r="O442" t="s">
        <v>140</v>
      </c>
      <c r="P442" t="s">
        <v>160</v>
      </c>
      <c r="Q442" t="s">
        <v>147</v>
      </c>
      <c r="R442">
        <v>0</v>
      </c>
      <c r="S442">
        <v>0</v>
      </c>
      <c r="T442" s="1">
        <v>42054</v>
      </c>
      <c r="U442" t="s">
        <v>51</v>
      </c>
      <c r="V442" t="s">
        <v>81</v>
      </c>
      <c r="W442" t="s">
        <v>112</v>
      </c>
      <c r="X442" t="s">
        <v>104</v>
      </c>
      <c r="Y442" t="s">
        <v>82</v>
      </c>
      <c r="Z442" t="s">
        <v>56</v>
      </c>
      <c r="AA442" t="s">
        <v>624</v>
      </c>
      <c r="AB442">
        <v>14</v>
      </c>
      <c r="AC442" t="str">
        <f t="shared" si="19"/>
        <v>Afternoon</v>
      </c>
      <c r="AD442">
        <v>1</v>
      </c>
      <c r="AE442" t="s">
        <v>84</v>
      </c>
      <c r="AF442">
        <v>0</v>
      </c>
      <c r="AG442">
        <v>2</v>
      </c>
      <c r="AH442" t="s">
        <v>84</v>
      </c>
      <c r="AI442">
        <v>57330</v>
      </c>
      <c r="AJ442">
        <v>6370</v>
      </c>
      <c r="AK442">
        <v>6370</v>
      </c>
      <c r="AL442">
        <v>44590</v>
      </c>
      <c r="AM442" t="s">
        <v>85</v>
      </c>
      <c r="AN442" t="s">
        <v>149</v>
      </c>
      <c r="AO442">
        <v>2015</v>
      </c>
      <c r="AP442">
        <v>2006</v>
      </c>
      <c r="AQ442">
        <f t="shared" si="20"/>
        <v>9</v>
      </c>
      <c r="AR442" t="s">
        <v>87</v>
      </c>
    </row>
    <row r="443" spans="1:44" x14ac:dyDescent="0.25">
      <c r="A443">
        <v>303</v>
      </c>
      <c r="B443" t="str">
        <f t="shared" si="18"/>
        <v>10+ years</v>
      </c>
      <c r="C443">
        <v>50</v>
      </c>
      <c r="D443" t="str" cm="1">
        <f t="array" ref="D443">_xlfn.IFS(C443&lt;26, "19-25", C443&lt;33, "26-32", C443&lt;40, "33-39", C443&lt;47, "40-46",C443&lt;54, "47-53", TRUE, "54+")</f>
        <v>47-53</v>
      </c>
      <c r="E443">
        <v>411477</v>
      </c>
      <c r="F443" s="1">
        <v>37250</v>
      </c>
      <c r="G443" t="s">
        <v>44</v>
      </c>
      <c r="H443" t="s">
        <v>74</v>
      </c>
      <c r="I443">
        <v>500</v>
      </c>
      <c r="J443">
        <v>793.15</v>
      </c>
      <c r="K443">
        <v>0</v>
      </c>
      <c r="L443">
        <v>620869</v>
      </c>
      <c r="M443" t="s">
        <v>46</v>
      </c>
      <c r="N443" t="s">
        <v>47</v>
      </c>
      <c r="O443" t="s">
        <v>102</v>
      </c>
      <c r="P443" t="s">
        <v>78</v>
      </c>
      <c r="Q443" t="s">
        <v>79</v>
      </c>
      <c r="R443">
        <v>54600</v>
      </c>
      <c r="S443">
        <v>-45500</v>
      </c>
      <c r="T443" s="1">
        <v>42018</v>
      </c>
      <c r="U443" t="s">
        <v>80</v>
      </c>
      <c r="V443" t="s">
        <v>91</v>
      </c>
      <c r="W443" t="s">
        <v>112</v>
      </c>
      <c r="X443" t="s">
        <v>125</v>
      </c>
      <c r="Y443" t="s">
        <v>118</v>
      </c>
      <c r="Z443" t="s">
        <v>127</v>
      </c>
      <c r="AA443" t="s">
        <v>625</v>
      </c>
      <c r="AB443">
        <v>17</v>
      </c>
      <c r="AC443" t="str">
        <f t="shared" si="19"/>
        <v>Afternoon</v>
      </c>
      <c r="AD443">
        <v>3</v>
      </c>
      <c r="AE443" t="s">
        <v>84</v>
      </c>
      <c r="AF443">
        <v>0</v>
      </c>
      <c r="AG443">
        <v>3</v>
      </c>
      <c r="AH443" t="s">
        <v>84</v>
      </c>
      <c r="AI443">
        <v>81960</v>
      </c>
      <c r="AJ443">
        <v>13660</v>
      </c>
      <c r="AK443">
        <v>13660</v>
      </c>
      <c r="AL443">
        <v>54640</v>
      </c>
      <c r="AM443" t="s">
        <v>85</v>
      </c>
      <c r="AN443" t="s">
        <v>149</v>
      </c>
      <c r="AO443">
        <v>2015</v>
      </c>
      <c r="AP443">
        <v>2008</v>
      </c>
      <c r="AQ443">
        <f t="shared" si="20"/>
        <v>7</v>
      </c>
      <c r="AR443" t="s">
        <v>87</v>
      </c>
    </row>
    <row r="444" spans="1:44" x14ac:dyDescent="0.25">
      <c r="A444">
        <v>152</v>
      </c>
      <c r="B444" t="str">
        <f t="shared" si="18"/>
        <v>10+ years</v>
      </c>
      <c r="C444">
        <v>33</v>
      </c>
      <c r="D444" t="str" cm="1">
        <f t="array" ref="D444">_xlfn.IFS(C444&lt;26, "19-25", C444&lt;33, "26-32", C444&lt;40, "33-39", C444&lt;47, "40-46",C444&lt;54, "47-53", TRUE, "54+")</f>
        <v>33-39</v>
      </c>
      <c r="E444">
        <v>107181</v>
      </c>
      <c r="F444" s="1">
        <v>36478</v>
      </c>
      <c r="G444" t="s">
        <v>62</v>
      </c>
      <c r="H444" t="s">
        <v>45</v>
      </c>
      <c r="I444">
        <v>500</v>
      </c>
      <c r="J444">
        <v>942.51</v>
      </c>
      <c r="K444">
        <v>0</v>
      </c>
      <c r="L444">
        <v>478981</v>
      </c>
      <c r="M444" t="s">
        <v>75</v>
      </c>
      <c r="N444" t="s">
        <v>76</v>
      </c>
      <c r="O444" t="s">
        <v>150</v>
      </c>
      <c r="P444" t="s">
        <v>269</v>
      </c>
      <c r="Q444" t="s">
        <v>124</v>
      </c>
      <c r="R444">
        <v>0</v>
      </c>
      <c r="S444">
        <v>0</v>
      </c>
      <c r="T444" s="1">
        <v>42034</v>
      </c>
      <c r="U444" t="s">
        <v>51</v>
      </c>
      <c r="V444" t="s">
        <v>52</v>
      </c>
      <c r="W444" t="s">
        <v>53</v>
      </c>
      <c r="X444" t="s">
        <v>104</v>
      </c>
      <c r="Y444" t="s">
        <v>55</v>
      </c>
      <c r="Z444" t="s">
        <v>127</v>
      </c>
      <c r="AA444" t="s">
        <v>626</v>
      </c>
      <c r="AB444">
        <v>16</v>
      </c>
      <c r="AC444" t="str">
        <f t="shared" si="19"/>
        <v>Afternoon</v>
      </c>
      <c r="AD444">
        <v>1</v>
      </c>
      <c r="AE444" t="s">
        <v>58</v>
      </c>
      <c r="AF444">
        <v>0</v>
      </c>
      <c r="AG444">
        <v>0</v>
      </c>
      <c r="AH444" t="s">
        <v>67</v>
      </c>
      <c r="AI444">
        <v>70400</v>
      </c>
      <c r="AJ444">
        <v>6400</v>
      </c>
      <c r="AK444">
        <v>19200</v>
      </c>
      <c r="AL444">
        <v>44800</v>
      </c>
      <c r="AM444" t="s">
        <v>158</v>
      </c>
      <c r="AN444" t="s">
        <v>159</v>
      </c>
      <c r="AO444">
        <v>2015</v>
      </c>
      <c r="AP444">
        <v>2001</v>
      </c>
      <c r="AQ444">
        <f t="shared" si="20"/>
        <v>14</v>
      </c>
      <c r="AR444" t="s">
        <v>61</v>
      </c>
    </row>
    <row r="445" spans="1:44" x14ac:dyDescent="0.25">
      <c r="A445">
        <v>120</v>
      </c>
      <c r="B445" t="str">
        <f t="shared" si="18"/>
        <v>5-10 years</v>
      </c>
      <c r="C445">
        <v>34</v>
      </c>
      <c r="D445" t="str" cm="1">
        <f t="array" ref="D445">_xlfn.IFS(C445&lt;26, "19-25", C445&lt;33, "26-32", C445&lt;40, "33-39", C445&lt;47, "40-46",C445&lt;54, "47-53", TRUE, "54+")</f>
        <v>33-39</v>
      </c>
      <c r="E445">
        <v>312940</v>
      </c>
      <c r="F445" s="1">
        <v>37191</v>
      </c>
      <c r="G445" t="s">
        <v>62</v>
      </c>
      <c r="H445" t="s">
        <v>96</v>
      </c>
      <c r="I445">
        <v>1000</v>
      </c>
      <c r="J445">
        <v>1056.71</v>
      </c>
      <c r="K445">
        <v>0</v>
      </c>
      <c r="L445">
        <v>464630</v>
      </c>
      <c r="M445" t="s">
        <v>75</v>
      </c>
      <c r="N445" t="s">
        <v>166</v>
      </c>
      <c r="O445" t="s">
        <v>140</v>
      </c>
      <c r="P445" t="s">
        <v>170</v>
      </c>
      <c r="Q445" t="s">
        <v>147</v>
      </c>
      <c r="R445">
        <v>77900</v>
      </c>
      <c r="S445">
        <v>0</v>
      </c>
      <c r="T445" s="1">
        <v>42024</v>
      </c>
      <c r="U445" t="s">
        <v>143</v>
      </c>
      <c r="V445" t="s">
        <v>67</v>
      </c>
      <c r="W445" t="s">
        <v>68</v>
      </c>
      <c r="X445" t="s">
        <v>98</v>
      </c>
      <c r="Y445" t="s">
        <v>69</v>
      </c>
      <c r="Z445" t="s">
        <v>56</v>
      </c>
      <c r="AA445" t="s">
        <v>627</v>
      </c>
      <c r="AB445">
        <v>3</v>
      </c>
      <c r="AC445" t="str">
        <f t="shared" si="19"/>
        <v>Night</v>
      </c>
      <c r="AD445">
        <v>1</v>
      </c>
      <c r="AE445" t="s">
        <v>84</v>
      </c>
      <c r="AF445">
        <v>2</v>
      </c>
      <c r="AG445">
        <v>1</v>
      </c>
      <c r="AH445" t="s">
        <v>67</v>
      </c>
      <c r="AI445">
        <v>3770</v>
      </c>
      <c r="AJ445">
        <v>580</v>
      </c>
      <c r="AK445">
        <v>580</v>
      </c>
      <c r="AL445">
        <v>2610</v>
      </c>
      <c r="AM445" t="s">
        <v>202</v>
      </c>
      <c r="AN445" t="s">
        <v>380</v>
      </c>
      <c r="AO445">
        <v>2015</v>
      </c>
      <c r="AP445">
        <v>2002</v>
      </c>
      <c r="AQ445">
        <f t="shared" si="20"/>
        <v>13</v>
      </c>
      <c r="AR445" t="s">
        <v>87</v>
      </c>
    </row>
    <row r="446" spans="1:44" x14ac:dyDescent="0.25">
      <c r="A446">
        <v>144</v>
      </c>
      <c r="B446" t="str">
        <f t="shared" si="18"/>
        <v>10+ years</v>
      </c>
      <c r="C446">
        <v>36</v>
      </c>
      <c r="D446" t="str" cm="1">
        <f t="array" ref="D446">_xlfn.IFS(C446&lt;26, "19-25", C446&lt;33, "26-32", C446&lt;40, "33-39", C446&lt;47, "40-46",C446&lt;54, "47-53", TRUE, "54+")</f>
        <v>33-39</v>
      </c>
      <c r="E446">
        <v>855186</v>
      </c>
      <c r="F446" s="1">
        <v>34273</v>
      </c>
      <c r="G446" t="s">
        <v>62</v>
      </c>
      <c r="H446" t="s">
        <v>96</v>
      </c>
      <c r="I446">
        <v>2000</v>
      </c>
      <c r="J446">
        <v>1255.68</v>
      </c>
      <c r="K446">
        <v>6000000</v>
      </c>
      <c r="L446">
        <v>466303</v>
      </c>
      <c r="M446" t="s">
        <v>75</v>
      </c>
      <c r="N446" t="s">
        <v>97</v>
      </c>
      <c r="O446" t="s">
        <v>77</v>
      </c>
      <c r="P446" t="s">
        <v>64</v>
      </c>
      <c r="Q446" t="s">
        <v>65</v>
      </c>
      <c r="R446">
        <v>23600</v>
      </c>
      <c r="S446">
        <v>-15600</v>
      </c>
      <c r="T446" s="1">
        <v>42053</v>
      </c>
      <c r="U446" t="s">
        <v>143</v>
      </c>
      <c r="V446" t="s">
        <v>67</v>
      </c>
      <c r="W446" t="s">
        <v>68</v>
      </c>
      <c r="X446" t="s">
        <v>98</v>
      </c>
      <c r="Y446" t="s">
        <v>126</v>
      </c>
      <c r="Z446" t="s">
        <v>92</v>
      </c>
      <c r="AA446" t="s">
        <v>628</v>
      </c>
      <c r="AB446">
        <v>7</v>
      </c>
      <c r="AC446" t="str">
        <f t="shared" si="19"/>
        <v>Morning</v>
      </c>
      <c r="AD446">
        <v>1</v>
      </c>
      <c r="AE446" t="s">
        <v>84</v>
      </c>
      <c r="AF446">
        <v>0</v>
      </c>
      <c r="AG446">
        <v>0</v>
      </c>
      <c r="AH446" t="s">
        <v>67</v>
      </c>
      <c r="AI446">
        <v>7400</v>
      </c>
      <c r="AJ446">
        <v>740</v>
      </c>
      <c r="AK446">
        <v>1480</v>
      </c>
      <c r="AL446">
        <v>5180</v>
      </c>
      <c r="AM446" t="s">
        <v>85</v>
      </c>
      <c r="AN446" t="s">
        <v>149</v>
      </c>
      <c r="AO446">
        <v>2015</v>
      </c>
      <c r="AP446">
        <v>2014</v>
      </c>
      <c r="AQ446">
        <f t="shared" si="20"/>
        <v>1</v>
      </c>
      <c r="AR446" t="s">
        <v>87</v>
      </c>
    </row>
    <row r="447" spans="1:44" x14ac:dyDescent="0.25">
      <c r="A447">
        <v>414</v>
      </c>
      <c r="B447" t="str">
        <f t="shared" si="18"/>
        <v>10+ years</v>
      </c>
      <c r="C447">
        <v>52</v>
      </c>
      <c r="D447" t="str" cm="1">
        <f t="array" ref="D447">_xlfn.IFS(C447&lt;26, "19-25", C447&lt;33, "26-32", C447&lt;40, "33-39", C447&lt;47, "40-46",C447&lt;54, "47-53", TRUE, "54+")</f>
        <v>47-53</v>
      </c>
      <c r="E447">
        <v>373935</v>
      </c>
      <c r="F447" s="1">
        <v>37665</v>
      </c>
      <c r="G447" t="s">
        <v>62</v>
      </c>
      <c r="H447" t="s">
        <v>96</v>
      </c>
      <c r="I447">
        <v>500</v>
      </c>
      <c r="J447">
        <v>1335.13</v>
      </c>
      <c r="K447">
        <v>0</v>
      </c>
      <c r="L447">
        <v>452647</v>
      </c>
      <c r="M447" t="s">
        <v>75</v>
      </c>
      <c r="N447" t="s">
        <v>136</v>
      </c>
      <c r="O447" t="s">
        <v>194</v>
      </c>
      <c r="P447" t="s">
        <v>173</v>
      </c>
      <c r="Q447" t="s">
        <v>90</v>
      </c>
      <c r="R447">
        <v>44000</v>
      </c>
      <c r="S447">
        <v>-71000</v>
      </c>
      <c r="T447" s="1">
        <v>42011</v>
      </c>
      <c r="U447" t="s">
        <v>51</v>
      </c>
      <c r="V447" t="s">
        <v>81</v>
      </c>
      <c r="W447" t="s">
        <v>112</v>
      </c>
      <c r="X447" t="s">
        <v>54</v>
      </c>
      <c r="Y447" t="s">
        <v>55</v>
      </c>
      <c r="Z447" t="s">
        <v>132</v>
      </c>
      <c r="AA447" t="s">
        <v>629</v>
      </c>
      <c r="AB447">
        <v>13</v>
      </c>
      <c r="AC447" t="str">
        <f t="shared" si="19"/>
        <v>Afternoon</v>
      </c>
      <c r="AD447">
        <v>1</v>
      </c>
      <c r="AE447" t="s">
        <v>58</v>
      </c>
      <c r="AF447">
        <v>1</v>
      </c>
      <c r="AG447">
        <v>1</v>
      </c>
      <c r="AH447" t="s">
        <v>67</v>
      </c>
      <c r="AI447">
        <v>54810</v>
      </c>
      <c r="AJ447">
        <v>6090</v>
      </c>
      <c r="AK447">
        <v>6090</v>
      </c>
      <c r="AL447">
        <v>42630</v>
      </c>
      <c r="AM447" t="s">
        <v>94</v>
      </c>
      <c r="AN447" t="s">
        <v>228</v>
      </c>
      <c r="AO447">
        <v>2015</v>
      </c>
      <c r="AP447">
        <v>1999</v>
      </c>
      <c r="AQ447">
        <f t="shared" si="20"/>
        <v>16</v>
      </c>
      <c r="AR447" t="s">
        <v>61</v>
      </c>
    </row>
    <row r="448" spans="1:44" x14ac:dyDescent="0.25">
      <c r="A448">
        <v>163</v>
      </c>
      <c r="B448" t="str">
        <f t="shared" si="18"/>
        <v>10+ years</v>
      </c>
      <c r="C448">
        <v>37</v>
      </c>
      <c r="D448" t="str" cm="1">
        <f t="array" ref="D448">_xlfn.IFS(C448&lt;26, "19-25", C448&lt;33, "26-32", C448&lt;40, "33-39", C448&lt;47, "40-46",C448&lt;54, "47-53", TRUE, "54+")</f>
        <v>33-39</v>
      </c>
      <c r="E448">
        <v>812989</v>
      </c>
      <c r="F448" s="1">
        <v>38052</v>
      </c>
      <c r="G448" t="s">
        <v>62</v>
      </c>
      <c r="H448" t="s">
        <v>45</v>
      </c>
      <c r="I448">
        <v>500</v>
      </c>
      <c r="J448">
        <v>1178.95</v>
      </c>
      <c r="K448">
        <v>6000000</v>
      </c>
      <c r="L448">
        <v>441370</v>
      </c>
      <c r="M448" t="s">
        <v>75</v>
      </c>
      <c r="N448" t="s">
        <v>166</v>
      </c>
      <c r="O448" t="s">
        <v>122</v>
      </c>
      <c r="P448" t="s">
        <v>131</v>
      </c>
      <c r="Q448" t="s">
        <v>79</v>
      </c>
      <c r="R448">
        <v>0</v>
      </c>
      <c r="S448">
        <v>-67300</v>
      </c>
      <c r="T448" s="1">
        <v>42020</v>
      </c>
      <c r="U448" t="s">
        <v>51</v>
      </c>
      <c r="V448" t="s">
        <v>81</v>
      </c>
      <c r="W448" t="s">
        <v>112</v>
      </c>
      <c r="X448" t="s">
        <v>104</v>
      </c>
      <c r="Y448" t="s">
        <v>82</v>
      </c>
      <c r="Z448" t="s">
        <v>107</v>
      </c>
      <c r="AA448" t="s">
        <v>630</v>
      </c>
      <c r="AB448">
        <v>20</v>
      </c>
      <c r="AC448" t="str">
        <f t="shared" si="19"/>
        <v>Evening</v>
      </c>
      <c r="AD448">
        <v>1</v>
      </c>
      <c r="AE448" t="s">
        <v>58</v>
      </c>
      <c r="AF448">
        <v>2</v>
      </c>
      <c r="AG448">
        <v>3</v>
      </c>
      <c r="AH448" t="s">
        <v>58</v>
      </c>
      <c r="AI448">
        <v>49400</v>
      </c>
      <c r="AJ448">
        <v>4940</v>
      </c>
      <c r="AK448">
        <v>9880</v>
      </c>
      <c r="AL448">
        <v>34580</v>
      </c>
      <c r="AM448" t="s">
        <v>202</v>
      </c>
      <c r="AN448" t="s">
        <v>203</v>
      </c>
      <c r="AO448">
        <v>2015</v>
      </c>
      <c r="AP448">
        <v>2005</v>
      </c>
      <c r="AQ448">
        <f t="shared" si="20"/>
        <v>10</v>
      </c>
      <c r="AR448" t="s">
        <v>87</v>
      </c>
    </row>
    <row r="449" spans="1:44" x14ac:dyDescent="0.25">
      <c r="A449">
        <v>352</v>
      </c>
      <c r="B449" t="str">
        <f t="shared" si="18"/>
        <v>10+ years</v>
      </c>
      <c r="C449">
        <v>53</v>
      </c>
      <c r="D449" t="str" cm="1">
        <f t="array" ref="D449">_xlfn.IFS(C449&lt;26, "19-25", C449&lt;33, "26-32", C449&lt;40, "33-39", C449&lt;47, "40-46",C449&lt;54, "47-53", TRUE, "54+")</f>
        <v>47-53</v>
      </c>
      <c r="E449">
        <v>993840</v>
      </c>
      <c r="F449" s="1">
        <v>41467</v>
      </c>
      <c r="G449" t="s">
        <v>88</v>
      </c>
      <c r="H449" t="s">
        <v>45</v>
      </c>
      <c r="I449">
        <v>500</v>
      </c>
      <c r="J449">
        <v>1793.16</v>
      </c>
      <c r="K449">
        <v>0</v>
      </c>
      <c r="L449">
        <v>619166</v>
      </c>
      <c r="M449" t="s">
        <v>46</v>
      </c>
      <c r="N449" t="s">
        <v>97</v>
      </c>
      <c r="O449" t="s">
        <v>102</v>
      </c>
      <c r="P449" t="s">
        <v>269</v>
      </c>
      <c r="Q449" t="s">
        <v>124</v>
      </c>
      <c r="R449">
        <v>0</v>
      </c>
      <c r="S449">
        <v>0</v>
      </c>
      <c r="T449" s="1">
        <v>42019</v>
      </c>
      <c r="U449" t="s">
        <v>51</v>
      </c>
      <c r="V449" t="s">
        <v>91</v>
      </c>
      <c r="W449" t="s">
        <v>68</v>
      </c>
      <c r="X449" t="s">
        <v>104</v>
      </c>
      <c r="Y449" t="s">
        <v>126</v>
      </c>
      <c r="Z449" t="s">
        <v>70</v>
      </c>
      <c r="AA449" t="s">
        <v>631</v>
      </c>
      <c r="AB449">
        <v>23</v>
      </c>
      <c r="AC449" t="str">
        <f t="shared" si="19"/>
        <v>Evening</v>
      </c>
      <c r="AD449">
        <v>1</v>
      </c>
      <c r="AE449" t="s">
        <v>58</v>
      </c>
      <c r="AF449">
        <v>2</v>
      </c>
      <c r="AG449">
        <v>2</v>
      </c>
      <c r="AH449" t="s">
        <v>84</v>
      </c>
      <c r="AI449">
        <v>68750</v>
      </c>
      <c r="AJ449">
        <v>12500</v>
      </c>
      <c r="AK449">
        <v>6250</v>
      </c>
      <c r="AL449">
        <v>50000</v>
      </c>
      <c r="AM449" t="s">
        <v>94</v>
      </c>
      <c r="AN449" t="s">
        <v>250</v>
      </c>
      <c r="AO449">
        <v>2015</v>
      </c>
      <c r="AP449">
        <v>2009</v>
      </c>
      <c r="AQ449">
        <f t="shared" si="20"/>
        <v>6</v>
      </c>
      <c r="AR449" t="s">
        <v>87</v>
      </c>
    </row>
    <row r="450" spans="1:44" x14ac:dyDescent="0.25">
      <c r="A450">
        <v>27</v>
      </c>
      <c r="B450" t="str">
        <f t="shared" si="18"/>
        <v>2-5 years</v>
      </c>
      <c r="C450">
        <v>32</v>
      </c>
      <c r="D450" t="str" cm="1">
        <f t="array" ref="D450">_xlfn.IFS(C450&lt;26, "19-25", C450&lt;33, "26-32", C450&lt;40, "33-39", C450&lt;47, "40-46",C450&lt;54, "47-53", TRUE, "54+")</f>
        <v>26-32</v>
      </c>
      <c r="E450">
        <v>327856</v>
      </c>
      <c r="F450" s="1">
        <v>41878</v>
      </c>
      <c r="G450" t="s">
        <v>44</v>
      </c>
      <c r="H450" t="s">
        <v>74</v>
      </c>
      <c r="I450">
        <v>500</v>
      </c>
      <c r="J450">
        <v>1008.38</v>
      </c>
      <c r="K450">
        <v>0</v>
      </c>
      <c r="L450">
        <v>472803</v>
      </c>
      <c r="M450" t="s">
        <v>75</v>
      </c>
      <c r="N450" t="s">
        <v>76</v>
      </c>
      <c r="O450" t="s">
        <v>190</v>
      </c>
      <c r="P450" t="s">
        <v>160</v>
      </c>
      <c r="Q450" t="s">
        <v>65</v>
      </c>
      <c r="R450">
        <v>37900</v>
      </c>
      <c r="S450">
        <v>0</v>
      </c>
      <c r="T450" s="1">
        <v>42036</v>
      </c>
      <c r="U450" t="s">
        <v>51</v>
      </c>
      <c r="V450" t="s">
        <v>91</v>
      </c>
      <c r="W450" t="s">
        <v>112</v>
      </c>
      <c r="X450" t="s">
        <v>141</v>
      </c>
      <c r="Y450" t="s">
        <v>55</v>
      </c>
      <c r="Z450" t="s">
        <v>92</v>
      </c>
      <c r="AA450" t="s">
        <v>632</v>
      </c>
      <c r="AB450">
        <v>11</v>
      </c>
      <c r="AC450" t="str">
        <f t="shared" si="19"/>
        <v>Morning</v>
      </c>
      <c r="AD450">
        <v>1</v>
      </c>
      <c r="AE450" t="s">
        <v>84</v>
      </c>
      <c r="AF450">
        <v>1</v>
      </c>
      <c r="AG450">
        <v>0</v>
      </c>
      <c r="AH450" t="s">
        <v>67</v>
      </c>
      <c r="AI450">
        <v>61500</v>
      </c>
      <c r="AJ450">
        <v>12300</v>
      </c>
      <c r="AK450">
        <v>6150</v>
      </c>
      <c r="AL450">
        <v>43050</v>
      </c>
      <c r="AM450" t="s">
        <v>85</v>
      </c>
      <c r="AN450" t="s">
        <v>149</v>
      </c>
      <c r="AO450">
        <v>2015</v>
      </c>
      <c r="AP450">
        <v>2013</v>
      </c>
      <c r="AQ450">
        <f t="shared" si="20"/>
        <v>2</v>
      </c>
      <c r="AR450" t="s">
        <v>87</v>
      </c>
    </row>
    <row r="451" spans="1:44" x14ac:dyDescent="0.25">
      <c r="A451">
        <v>239</v>
      </c>
      <c r="B451" t="str">
        <f t="shared" ref="B451:B514" si="21">IF(A451&lt;=24, "0-2 years", IF(A451&lt;=60, "2-5 years", IF(A451&lt;=120, "5-10 years", "10+ years")))</f>
        <v>10+ years</v>
      </c>
      <c r="C451">
        <v>39</v>
      </c>
      <c r="D451" t="str" cm="1">
        <f t="array" ref="D451">_xlfn.IFS(C451&lt;26, "19-25", C451&lt;33, "26-32", C451&lt;40, "33-39", C451&lt;47, "40-46",C451&lt;54, "47-53", TRUE, "54+")</f>
        <v>33-39</v>
      </c>
      <c r="E451">
        <v>506333</v>
      </c>
      <c r="F451" s="1">
        <v>33046</v>
      </c>
      <c r="G451" t="s">
        <v>88</v>
      </c>
      <c r="H451" t="s">
        <v>74</v>
      </c>
      <c r="I451">
        <v>500</v>
      </c>
      <c r="J451">
        <v>1396.83</v>
      </c>
      <c r="K451">
        <v>0</v>
      </c>
      <c r="L451">
        <v>442308</v>
      </c>
      <c r="M451" t="s">
        <v>75</v>
      </c>
      <c r="N451" t="s">
        <v>129</v>
      </c>
      <c r="O451" t="s">
        <v>116</v>
      </c>
      <c r="P451" t="s">
        <v>64</v>
      </c>
      <c r="Q451" t="s">
        <v>50</v>
      </c>
      <c r="R451">
        <v>0</v>
      </c>
      <c r="S451">
        <v>0</v>
      </c>
      <c r="T451" s="1">
        <v>42010</v>
      </c>
      <c r="U451" t="s">
        <v>80</v>
      </c>
      <c r="V451" t="s">
        <v>81</v>
      </c>
      <c r="W451" t="s">
        <v>53</v>
      </c>
      <c r="X451" t="s">
        <v>141</v>
      </c>
      <c r="Y451" t="s">
        <v>118</v>
      </c>
      <c r="Z451" t="s">
        <v>132</v>
      </c>
      <c r="AA451" t="s">
        <v>633</v>
      </c>
      <c r="AB451">
        <v>0</v>
      </c>
      <c r="AC451" t="str">
        <f t="shared" ref="AC451:AC514" si="22">IF(AB451&lt;6, "Night", IF(AB451&lt;12, "Morning", IF(AB451&lt;18, "Afternoon", "Evening")))</f>
        <v>Night</v>
      </c>
      <c r="AD451">
        <v>4</v>
      </c>
      <c r="AE451" t="s">
        <v>67</v>
      </c>
      <c r="AF451">
        <v>0</v>
      </c>
      <c r="AG451">
        <v>3</v>
      </c>
      <c r="AH451" t="s">
        <v>84</v>
      </c>
      <c r="AI451">
        <v>76890</v>
      </c>
      <c r="AJ451">
        <v>6990</v>
      </c>
      <c r="AK451">
        <v>13980</v>
      </c>
      <c r="AL451">
        <v>55920</v>
      </c>
      <c r="AM451" t="s">
        <v>192</v>
      </c>
      <c r="AN451" t="s">
        <v>243</v>
      </c>
      <c r="AO451">
        <v>2015</v>
      </c>
      <c r="AP451">
        <v>2007</v>
      </c>
      <c r="AQ451">
        <f t="shared" ref="AQ451:AQ514" si="23">AO451-AP451</f>
        <v>8</v>
      </c>
      <c r="AR451" t="s">
        <v>87</v>
      </c>
    </row>
    <row r="452" spans="1:44" x14ac:dyDescent="0.25">
      <c r="A452">
        <v>33</v>
      </c>
      <c r="B452" t="str">
        <f t="shared" si="21"/>
        <v>2-5 years</v>
      </c>
      <c r="C452">
        <v>32</v>
      </c>
      <c r="D452" t="str" cm="1">
        <f t="array" ref="D452">_xlfn.IFS(C452&lt;26, "19-25", C452&lt;33, "26-32", C452&lt;40, "33-39", C452&lt;47, "40-46",C452&lt;54, "47-53", TRUE, "54+")</f>
        <v>26-32</v>
      </c>
      <c r="E452">
        <v>263159</v>
      </c>
      <c r="F452" s="1">
        <v>39514</v>
      </c>
      <c r="G452" t="s">
        <v>44</v>
      </c>
      <c r="H452" t="s">
        <v>74</v>
      </c>
      <c r="I452">
        <v>500</v>
      </c>
      <c r="J452">
        <v>1402.78</v>
      </c>
      <c r="K452">
        <v>5000000</v>
      </c>
      <c r="L452">
        <v>469383</v>
      </c>
      <c r="M452" t="s">
        <v>75</v>
      </c>
      <c r="N452" t="s">
        <v>76</v>
      </c>
      <c r="O452" t="s">
        <v>116</v>
      </c>
      <c r="P452" t="s">
        <v>111</v>
      </c>
      <c r="Q452" t="s">
        <v>50</v>
      </c>
      <c r="R452">
        <v>70300</v>
      </c>
      <c r="S452">
        <v>-50300</v>
      </c>
      <c r="T452" s="1">
        <v>42037</v>
      </c>
      <c r="U452" t="s">
        <v>51</v>
      </c>
      <c r="V452" t="s">
        <v>81</v>
      </c>
      <c r="W452" t="s">
        <v>68</v>
      </c>
      <c r="X452" t="s">
        <v>141</v>
      </c>
      <c r="Y452" t="s">
        <v>82</v>
      </c>
      <c r="Z452" t="s">
        <v>161</v>
      </c>
      <c r="AA452" t="s">
        <v>634</v>
      </c>
      <c r="AB452">
        <v>2</v>
      </c>
      <c r="AC452" t="str">
        <f t="shared" si="22"/>
        <v>Night</v>
      </c>
      <c r="AD452">
        <v>1</v>
      </c>
      <c r="AE452" t="s">
        <v>58</v>
      </c>
      <c r="AF452">
        <v>0</v>
      </c>
      <c r="AG452">
        <v>1</v>
      </c>
      <c r="AH452" t="s">
        <v>67</v>
      </c>
      <c r="AI452">
        <v>56070</v>
      </c>
      <c r="AJ452">
        <v>6230</v>
      </c>
      <c r="AK452">
        <v>12460</v>
      </c>
      <c r="AL452">
        <v>37380</v>
      </c>
      <c r="AM452" t="s">
        <v>120</v>
      </c>
      <c r="AN452" t="s">
        <v>121</v>
      </c>
      <c r="AO452">
        <v>2015</v>
      </c>
      <c r="AP452">
        <v>2012</v>
      </c>
      <c r="AQ452">
        <f t="shared" si="23"/>
        <v>3</v>
      </c>
      <c r="AR452" t="s">
        <v>87</v>
      </c>
    </row>
    <row r="453" spans="1:44" x14ac:dyDescent="0.25">
      <c r="A453">
        <v>88</v>
      </c>
      <c r="B453" t="str">
        <f t="shared" si="21"/>
        <v>5-10 years</v>
      </c>
      <c r="C453">
        <v>30</v>
      </c>
      <c r="D453" t="str" cm="1">
        <f t="array" ref="D453">_xlfn.IFS(C453&lt;26, "19-25", C453&lt;33, "26-32", C453&lt;40, "33-39", C453&lt;47, "40-46",C453&lt;54, "47-53", TRUE, "54+")</f>
        <v>26-32</v>
      </c>
      <c r="E453">
        <v>372912</v>
      </c>
      <c r="F453" s="1">
        <v>33821</v>
      </c>
      <c r="G453" t="s">
        <v>62</v>
      </c>
      <c r="H453" t="s">
        <v>74</v>
      </c>
      <c r="I453">
        <v>1000</v>
      </c>
      <c r="J453">
        <v>1437.88</v>
      </c>
      <c r="K453">
        <v>0</v>
      </c>
      <c r="L453">
        <v>614383</v>
      </c>
      <c r="M453" t="s">
        <v>75</v>
      </c>
      <c r="N453" t="s">
        <v>146</v>
      </c>
      <c r="O453" t="s">
        <v>150</v>
      </c>
      <c r="P453" t="s">
        <v>64</v>
      </c>
      <c r="Q453" t="s">
        <v>50</v>
      </c>
      <c r="R453">
        <v>42800</v>
      </c>
      <c r="S453">
        <v>-51200</v>
      </c>
      <c r="T453" s="1">
        <v>42060</v>
      </c>
      <c r="U453" t="s">
        <v>51</v>
      </c>
      <c r="V453" t="s">
        <v>52</v>
      </c>
      <c r="W453" t="s">
        <v>112</v>
      </c>
      <c r="X453" t="s">
        <v>104</v>
      </c>
      <c r="Y453" t="s">
        <v>55</v>
      </c>
      <c r="Z453" t="s">
        <v>161</v>
      </c>
      <c r="AA453" t="s">
        <v>635</v>
      </c>
      <c r="AB453">
        <v>3</v>
      </c>
      <c r="AC453" t="str">
        <f t="shared" si="22"/>
        <v>Night</v>
      </c>
      <c r="AD453">
        <v>1</v>
      </c>
      <c r="AE453" t="s">
        <v>84</v>
      </c>
      <c r="AF453">
        <v>2</v>
      </c>
      <c r="AG453">
        <v>0</v>
      </c>
      <c r="AH453" t="s">
        <v>58</v>
      </c>
      <c r="AI453">
        <v>56000</v>
      </c>
      <c r="AJ453">
        <v>14000</v>
      </c>
      <c r="AK453">
        <v>0</v>
      </c>
      <c r="AL453">
        <v>42000</v>
      </c>
      <c r="AM453" t="s">
        <v>94</v>
      </c>
      <c r="AN453" t="s">
        <v>250</v>
      </c>
      <c r="AO453">
        <v>2015</v>
      </c>
      <c r="AP453">
        <v>2003</v>
      </c>
      <c r="AQ453">
        <f t="shared" si="23"/>
        <v>12</v>
      </c>
      <c r="AR453" t="s">
        <v>87</v>
      </c>
    </row>
    <row r="454" spans="1:44" x14ac:dyDescent="0.25">
      <c r="A454">
        <v>101</v>
      </c>
      <c r="B454" t="str">
        <f t="shared" si="21"/>
        <v>5-10 years</v>
      </c>
      <c r="C454">
        <v>33</v>
      </c>
      <c r="D454" t="str" cm="1">
        <f t="array" ref="D454">_xlfn.IFS(C454&lt;26, "19-25", C454&lt;33, "26-32", C454&lt;40, "33-39", C454&lt;47, "40-46",C454&lt;54, "47-53", TRUE, "54+")</f>
        <v>33-39</v>
      </c>
      <c r="E454">
        <v>552788</v>
      </c>
      <c r="F454" s="1">
        <v>33484</v>
      </c>
      <c r="G454" t="s">
        <v>88</v>
      </c>
      <c r="H454" t="s">
        <v>96</v>
      </c>
      <c r="I454">
        <v>1000</v>
      </c>
      <c r="J454">
        <v>1313.64</v>
      </c>
      <c r="K454">
        <v>0</v>
      </c>
      <c r="L454">
        <v>438617</v>
      </c>
      <c r="M454" t="s">
        <v>75</v>
      </c>
      <c r="N454" t="s">
        <v>146</v>
      </c>
      <c r="O454" t="s">
        <v>122</v>
      </c>
      <c r="P454" t="s">
        <v>78</v>
      </c>
      <c r="Q454" t="s">
        <v>90</v>
      </c>
      <c r="R454">
        <v>12100</v>
      </c>
      <c r="S454">
        <v>0</v>
      </c>
      <c r="T454" s="1">
        <v>42045</v>
      </c>
      <c r="U454" t="s">
        <v>143</v>
      </c>
      <c r="V454" t="s">
        <v>67</v>
      </c>
      <c r="W454" t="s">
        <v>217</v>
      </c>
      <c r="X454" t="s">
        <v>98</v>
      </c>
      <c r="Y454" t="s">
        <v>82</v>
      </c>
      <c r="Z454" t="s">
        <v>127</v>
      </c>
      <c r="AA454" t="s">
        <v>636</v>
      </c>
      <c r="AB454">
        <v>3</v>
      </c>
      <c r="AC454" t="str">
        <f t="shared" si="22"/>
        <v>Night</v>
      </c>
      <c r="AD454">
        <v>1</v>
      </c>
      <c r="AE454" t="s">
        <v>58</v>
      </c>
      <c r="AF454">
        <v>1</v>
      </c>
      <c r="AG454">
        <v>0</v>
      </c>
      <c r="AH454" t="s">
        <v>84</v>
      </c>
      <c r="AI454">
        <v>4290</v>
      </c>
      <c r="AJ454">
        <v>780</v>
      </c>
      <c r="AK454">
        <v>390</v>
      </c>
      <c r="AL454">
        <v>3120</v>
      </c>
      <c r="AM454" t="s">
        <v>114</v>
      </c>
      <c r="AN454" t="s">
        <v>139</v>
      </c>
      <c r="AO454">
        <v>2015</v>
      </c>
      <c r="AP454">
        <v>1997</v>
      </c>
      <c r="AQ454">
        <f t="shared" si="23"/>
        <v>18</v>
      </c>
      <c r="AR454" t="s">
        <v>87</v>
      </c>
    </row>
    <row r="455" spans="1:44" x14ac:dyDescent="0.25">
      <c r="A455">
        <v>20</v>
      </c>
      <c r="B455" t="str">
        <f t="shared" si="21"/>
        <v>0-2 years</v>
      </c>
      <c r="C455">
        <v>37</v>
      </c>
      <c r="D455" t="str" cm="1">
        <f t="array" ref="D455">_xlfn.IFS(C455&lt;26, "19-25", C455&lt;33, "26-32", C455&lt;40, "33-39", C455&lt;47, "40-46",C455&lt;54, "47-53", TRUE, "54+")</f>
        <v>33-39</v>
      </c>
      <c r="E455">
        <v>722747</v>
      </c>
      <c r="F455" s="1">
        <v>40788</v>
      </c>
      <c r="G455" t="s">
        <v>88</v>
      </c>
      <c r="H455" t="s">
        <v>45</v>
      </c>
      <c r="I455">
        <v>500</v>
      </c>
      <c r="J455">
        <v>1482.14</v>
      </c>
      <c r="K455">
        <v>0</v>
      </c>
      <c r="L455">
        <v>613936</v>
      </c>
      <c r="M455" t="s">
        <v>75</v>
      </c>
      <c r="N455" t="s">
        <v>97</v>
      </c>
      <c r="O455" t="s">
        <v>150</v>
      </c>
      <c r="P455" t="s">
        <v>64</v>
      </c>
      <c r="Q455" t="s">
        <v>50</v>
      </c>
      <c r="R455">
        <v>33000</v>
      </c>
      <c r="S455">
        <v>-43600</v>
      </c>
      <c r="T455" s="1">
        <v>42057</v>
      </c>
      <c r="U455" t="s">
        <v>80</v>
      </c>
      <c r="V455" t="s">
        <v>81</v>
      </c>
      <c r="W455" t="s">
        <v>112</v>
      </c>
      <c r="X455" t="s">
        <v>125</v>
      </c>
      <c r="Y455" t="s">
        <v>82</v>
      </c>
      <c r="Z455" t="s">
        <v>92</v>
      </c>
      <c r="AA455" t="s">
        <v>637</v>
      </c>
      <c r="AB455">
        <v>15</v>
      </c>
      <c r="AC455" t="str">
        <f t="shared" si="22"/>
        <v>Afternoon</v>
      </c>
      <c r="AD455">
        <v>3</v>
      </c>
      <c r="AE455" t="s">
        <v>67</v>
      </c>
      <c r="AF455">
        <v>2</v>
      </c>
      <c r="AG455">
        <v>1</v>
      </c>
      <c r="AH455" t="s">
        <v>84</v>
      </c>
      <c r="AI455">
        <v>60750</v>
      </c>
      <c r="AJ455">
        <v>6750</v>
      </c>
      <c r="AK455">
        <v>6750</v>
      </c>
      <c r="AL455">
        <v>47250</v>
      </c>
      <c r="AM455" t="s">
        <v>158</v>
      </c>
      <c r="AN455" t="s">
        <v>172</v>
      </c>
      <c r="AO455">
        <v>2015</v>
      </c>
      <c r="AP455">
        <v>2003</v>
      </c>
      <c r="AQ455">
        <f t="shared" si="23"/>
        <v>12</v>
      </c>
      <c r="AR455" t="s">
        <v>87</v>
      </c>
    </row>
    <row r="456" spans="1:44" x14ac:dyDescent="0.25">
      <c r="A456">
        <v>126</v>
      </c>
      <c r="B456" t="str">
        <f t="shared" si="21"/>
        <v>10+ years</v>
      </c>
      <c r="C456">
        <v>30</v>
      </c>
      <c r="D456" t="str" cm="1">
        <f t="array" ref="D456">_xlfn.IFS(C456&lt;26, "19-25", C456&lt;33, "26-32", C456&lt;40, "33-39", C456&lt;47, "40-46",C456&lt;54, "47-53", TRUE, "54+")</f>
        <v>26-32</v>
      </c>
      <c r="E456">
        <v>248467</v>
      </c>
      <c r="F456" s="1">
        <v>41188</v>
      </c>
      <c r="G456" t="s">
        <v>88</v>
      </c>
      <c r="H456" t="s">
        <v>45</v>
      </c>
      <c r="I456">
        <v>2000</v>
      </c>
      <c r="J456">
        <v>1171.75</v>
      </c>
      <c r="K456">
        <v>0</v>
      </c>
      <c r="L456">
        <v>472163</v>
      </c>
      <c r="M456" t="s">
        <v>75</v>
      </c>
      <c r="N456" t="s">
        <v>97</v>
      </c>
      <c r="O456" t="s">
        <v>63</v>
      </c>
      <c r="P456" t="s">
        <v>78</v>
      </c>
      <c r="Q456" t="s">
        <v>147</v>
      </c>
      <c r="R456">
        <v>46500</v>
      </c>
      <c r="S456">
        <v>-42700</v>
      </c>
      <c r="T456" s="1">
        <v>42035</v>
      </c>
      <c r="U456" t="s">
        <v>51</v>
      </c>
      <c r="V456" t="s">
        <v>52</v>
      </c>
      <c r="W456" t="s">
        <v>68</v>
      </c>
      <c r="X456" t="s">
        <v>125</v>
      </c>
      <c r="Y456" t="s">
        <v>82</v>
      </c>
      <c r="Z456" t="s">
        <v>132</v>
      </c>
      <c r="AA456" t="s">
        <v>638</v>
      </c>
      <c r="AB456">
        <v>23</v>
      </c>
      <c r="AC456" t="str">
        <f t="shared" si="22"/>
        <v>Evening</v>
      </c>
      <c r="AD456">
        <v>1</v>
      </c>
      <c r="AE456" t="s">
        <v>67</v>
      </c>
      <c r="AF456">
        <v>2</v>
      </c>
      <c r="AG456">
        <v>3</v>
      </c>
      <c r="AH456" t="s">
        <v>84</v>
      </c>
      <c r="AI456">
        <v>48730</v>
      </c>
      <c r="AJ456">
        <v>4430</v>
      </c>
      <c r="AK456">
        <v>4430</v>
      </c>
      <c r="AL456">
        <v>39870</v>
      </c>
      <c r="AM456" t="s">
        <v>94</v>
      </c>
      <c r="AN456" t="s">
        <v>250</v>
      </c>
      <c r="AO456">
        <v>2015</v>
      </c>
      <c r="AP456">
        <v>2011</v>
      </c>
      <c r="AQ456">
        <f t="shared" si="23"/>
        <v>4</v>
      </c>
      <c r="AR456" t="s">
        <v>87</v>
      </c>
    </row>
    <row r="457" spans="1:44" x14ac:dyDescent="0.25">
      <c r="A457">
        <v>264</v>
      </c>
      <c r="B457" t="str">
        <f t="shared" si="21"/>
        <v>10+ years</v>
      </c>
      <c r="C457">
        <v>43</v>
      </c>
      <c r="D457" t="str" cm="1">
        <f t="array" ref="D457">_xlfn.IFS(C457&lt;26, "19-25", C457&lt;33, "26-32", C457&lt;40, "33-39", C457&lt;47, "40-46",C457&lt;54, "47-53", TRUE, "54+")</f>
        <v>40-46</v>
      </c>
      <c r="E457">
        <v>955953</v>
      </c>
      <c r="F457" s="1">
        <v>41657</v>
      </c>
      <c r="G457" t="s">
        <v>88</v>
      </c>
      <c r="H457" t="s">
        <v>96</v>
      </c>
      <c r="I457">
        <v>2000</v>
      </c>
      <c r="J457">
        <v>1353.33</v>
      </c>
      <c r="K457">
        <v>0</v>
      </c>
      <c r="L457">
        <v>447458</v>
      </c>
      <c r="M457" t="s">
        <v>46</v>
      </c>
      <c r="N457" t="s">
        <v>97</v>
      </c>
      <c r="O457" t="s">
        <v>190</v>
      </c>
      <c r="P457" t="s">
        <v>186</v>
      </c>
      <c r="Q457" t="s">
        <v>147</v>
      </c>
      <c r="R457">
        <v>0</v>
      </c>
      <c r="S457">
        <v>-8500</v>
      </c>
      <c r="T457" s="1">
        <v>42047</v>
      </c>
      <c r="U457" t="s">
        <v>80</v>
      </c>
      <c r="V457" t="s">
        <v>91</v>
      </c>
      <c r="W457" t="s">
        <v>68</v>
      </c>
      <c r="X457" t="s">
        <v>54</v>
      </c>
      <c r="Y457" t="s">
        <v>118</v>
      </c>
      <c r="Z457" t="s">
        <v>107</v>
      </c>
      <c r="AA457" t="s">
        <v>639</v>
      </c>
      <c r="AB457">
        <v>9</v>
      </c>
      <c r="AC457" t="str">
        <f t="shared" si="22"/>
        <v>Morning</v>
      </c>
      <c r="AD457">
        <v>3</v>
      </c>
      <c r="AE457" t="s">
        <v>58</v>
      </c>
      <c r="AF457">
        <v>2</v>
      </c>
      <c r="AG457">
        <v>0</v>
      </c>
      <c r="AH457" t="s">
        <v>84</v>
      </c>
      <c r="AI457">
        <v>95150</v>
      </c>
      <c r="AJ457">
        <v>17300</v>
      </c>
      <c r="AK457">
        <v>17300</v>
      </c>
      <c r="AL457">
        <v>60550</v>
      </c>
      <c r="AM457" t="s">
        <v>134</v>
      </c>
      <c r="AN457" t="s">
        <v>177</v>
      </c>
      <c r="AO457">
        <v>2015</v>
      </c>
      <c r="AP457">
        <v>2007</v>
      </c>
      <c r="AQ457">
        <f t="shared" si="23"/>
        <v>8</v>
      </c>
      <c r="AR457" t="s">
        <v>87</v>
      </c>
    </row>
    <row r="458" spans="1:44" x14ac:dyDescent="0.25">
      <c r="A458">
        <v>78</v>
      </c>
      <c r="B458" t="str">
        <f t="shared" si="21"/>
        <v>5-10 years</v>
      </c>
      <c r="C458">
        <v>24</v>
      </c>
      <c r="D458" t="str" cm="1">
        <f t="array" ref="D458">_xlfn.IFS(C458&lt;26, "19-25", C458&lt;33, "26-32", C458&lt;40, "33-39", C458&lt;47, "40-46",C458&lt;54, "47-53", TRUE, "54+")</f>
        <v>19-25</v>
      </c>
      <c r="E458">
        <v>910622</v>
      </c>
      <c r="F458" s="1">
        <v>33685</v>
      </c>
      <c r="G458" t="s">
        <v>62</v>
      </c>
      <c r="H458" t="s">
        <v>74</v>
      </c>
      <c r="I458">
        <v>500</v>
      </c>
      <c r="J458">
        <v>1175.51</v>
      </c>
      <c r="K458">
        <v>0</v>
      </c>
      <c r="L458">
        <v>474792</v>
      </c>
      <c r="M458" t="s">
        <v>46</v>
      </c>
      <c r="N458" t="s">
        <v>129</v>
      </c>
      <c r="O458" t="s">
        <v>48</v>
      </c>
      <c r="P458" t="s">
        <v>160</v>
      </c>
      <c r="Q458" t="s">
        <v>50</v>
      </c>
      <c r="R458">
        <v>0</v>
      </c>
      <c r="S458">
        <v>0</v>
      </c>
      <c r="T458" s="1">
        <v>42010</v>
      </c>
      <c r="U458" t="s">
        <v>66</v>
      </c>
      <c r="V458" t="s">
        <v>67</v>
      </c>
      <c r="W458" t="s">
        <v>68</v>
      </c>
      <c r="X458" t="s">
        <v>54</v>
      </c>
      <c r="Y458" t="s">
        <v>82</v>
      </c>
      <c r="Z458" t="s">
        <v>56</v>
      </c>
      <c r="AA458" t="s">
        <v>640</v>
      </c>
      <c r="AB458">
        <v>20</v>
      </c>
      <c r="AC458" t="str">
        <f t="shared" si="22"/>
        <v>Evening</v>
      </c>
      <c r="AD458">
        <v>1</v>
      </c>
      <c r="AE458" t="s">
        <v>67</v>
      </c>
      <c r="AF458">
        <v>0</v>
      </c>
      <c r="AG458">
        <v>1</v>
      </c>
      <c r="AH458" t="s">
        <v>58</v>
      </c>
      <c r="AI458">
        <v>7480</v>
      </c>
      <c r="AJ458">
        <v>680</v>
      </c>
      <c r="AK458">
        <v>680</v>
      </c>
      <c r="AL458">
        <v>6120</v>
      </c>
      <c r="AM458" t="s">
        <v>85</v>
      </c>
      <c r="AN458" t="s">
        <v>149</v>
      </c>
      <c r="AO458">
        <v>2015</v>
      </c>
      <c r="AP458">
        <v>2003</v>
      </c>
      <c r="AQ458">
        <f t="shared" si="23"/>
        <v>12</v>
      </c>
      <c r="AR458" t="s">
        <v>87</v>
      </c>
    </row>
    <row r="459" spans="1:44" x14ac:dyDescent="0.25">
      <c r="A459">
        <v>123</v>
      </c>
      <c r="B459" t="str">
        <f t="shared" si="21"/>
        <v>10+ years</v>
      </c>
      <c r="C459">
        <v>28</v>
      </c>
      <c r="D459" t="str" cm="1">
        <f t="array" ref="D459">_xlfn.IFS(C459&lt;26, "19-25", C459&lt;33, "26-32", C459&lt;40, "33-39", C459&lt;47, "40-46",C459&lt;54, "47-53", TRUE, "54+")</f>
        <v>26-32</v>
      </c>
      <c r="E459">
        <v>137675</v>
      </c>
      <c r="F459" s="1">
        <v>41246</v>
      </c>
      <c r="G459" t="s">
        <v>88</v>
      </c>
      <c r="H459" t="s">
        <v>74</v>
      </c>
      <c r="I459">
        <v>2000</v>
      </c>
      <c r="J459">
        <v>1836.02</v>
      </c>
      <c r="K459">
        <v>0</v>
      </c>
      <c r="L459">
        <v>470559</v>
      </c>
      <c r="M459" t="s">
        <v>46</v>
      </c>
      <c r="N459" t="s">
        <v>129</v>
      </c>
      <c r="O459" t="s">
        <v>150</v>
      </c>
      <c r="P459" t="s">
        <v>151</v>
      </c>
      <c r="Q459" t="s">
        <v>79</v>
      </c>
      <c r="R459">
        <v>38000</v>
      </c>
      <c r="S459">
        <v>-41200</v>
      </c>
      <c r="T459" s="1">
        <v>42005</v>
      </c>
      <c r="U459" t="s">
        <v>51</v>
      </c>
      <c r="V459" t="s">
        <v>52</v>
      </c>
      <c r="W459" t="s">
        <v>53</v>
      </c>
      <c r="X459" t="s">
        <v>141</v>
      </c>
      <c r="Y459" t="s">
        <v>126</v>
      </c>
      <c r="Z459" t="s">
        <v>70</v>
      </c>
      <c r="AA459" t="s">
        <v>641</v>
      </c>
      <c r="AB459">
        <v>5</v>
      </c>
      <c r="AC459" t="str">
        <f t="shared" si="22"/>
        <v>Night</v>
      </c>
      <c r="AD459">
        <v>1</v>
      </c>
      <c r="AE459" t="s">
        <v>67</v>
      </c>
      <c r="AF459">
        <v>2</v>
      </c>
      <c r="AG459">
        <v>1</v>
      </c>
      <c r="AH459" t="s">
        <v>58</v>
      </c>
      <c r="AI459">
        <v>79800</v>
      </c>
      <c r="AJ459">
        <v>13300</v>
      </c>
      <c r="AK459">
        <v>6650</v>
      </c>
      <c r="AL459">
        <v>59850</v>
      </c>
      <c r="AM459" t="s">
        <v>219</v>
      </c>
      <c r="AN459" t="s">
        <v>220</v>
      </c>
      <c r="AO459">
        <v>2015</v>
      </c>
      <c r="AP459">
        <v>2011</v>
      </c>
      <c r="AQ459">
        <f t="shared" si="23"/>
        <v>4</v>
      </c>
      <c r="AR459" t="s">
        <v>61</v>
      </c>
    </row>
    <row r="460" spans="1:44" x14ac:dyDescent="0.25">
      <c r="A460">
        <v>347</v>
      </c>
      <c r="B460" t="str">
        <f t="shared" si="21"/>
        <v>10+ years</v>
      </c>
      <c r="C460">
        <v>51</v>
      </c>
      <c r="D460" t="str" cm="1">
        <f t="array" ref="D460">_xlfn.IFS(C460&lt;26, "19-25", C460&lt;33, "26-32", C460&lt;40, "33-39", C460&lt;47, "40-46",C460&lt;54, "47-53", TRUE, "54+")</f>
        <v>47-53</v>
      </c>
      <c r="E460">
        <v>343421</v>
      </c>
      <c r="F460" s="1">
        <v>35356</v>
      </c>
      <c r="G460" t="s">
        <v>44</v>
      </c>
      <c r="H460" t="s">
        <v>96</v>
      </c>
      <c r="I460">
        <v>500</v>
      </c>
      <c r="J460">
        <v>1480.79</v>
      </c>
      <c r="K460">
        <v>9000000</v>
      </c>
      <c r="L460">
        <v>432399</v>
      </c>
      <c r="M460" t="s">
        <v>75</v>
      </c>
      <c r="N460" t="s">
        <v>47</v>
      </c>
      <c r="O460" t="s">
        <v>122</v>
      </c>
      <c r="P460" t="s">
        <v>78</v>
      </c>
      <c r="Q460" t="s">
        <v>90</v>
      </c>
      <c r="R460">
        <v>0</v>
      </c>
      <c r="S460">
        <v>-12100</v>
      </c>
      <c r="T460" s="1">
        <v>42011</v>
      </c>
      <c r="U460" t="s">
        <v>51</v>
      </c>
      <c r="V460" t="s">
        <v>52</v>
      </c>
      <c r="W460" t="s">
        <v>112</v>
      </c>
      <c r="X460" t="s">
        <v>125</v>
      </c>
      <c r="Y460" t="s">
        <v>126</v>
      </c>
      <c r="Z460" t="s">
        <v>127</v>
      </c>
      <c r="AA460" t="s">
        <v>642</v>
      </c>
      <c r="AB460">
        <v>15</v>
      </c>
      <c r="AC460" t="str">
        <f t="shared" si="22"/>
        <v>Afternoon</v>
      </c>
      <c r="AD460">
        <v>1</v>
      </c>
      <c r="AE460" t="s">
        <v>58</v>
      </c>
      <c r="AF460">
        <v>0</v>
      </c>
      <c r="AG460">
        <v>2</v>
      </c>
      <c r="AH460" t="s">
        <v>67</v>
      </c>
      <c r="AI460">
        <v>103560</v>
      </c>
      <c r="AJ460">
        <v>8630</v>
      </c>
      <c r="AK460">
        <v>17260</v>
      </c>
      <c r="AL460">
        <v>77670</v>
      </c>
      <c r="AM460" t="s">
        <v>202</v>
      </c>
      <c r="AN460" t="s">
        <v>203</v>
      </c>
      <c r="AO460">
        <v>2015</v>
      </c>
      <c r="AP460">
        <v>1997</v>
      </c>
      <c r="AQ460">
        <f t="shared" si="23"/>
        <v>18</v>
      </c>
      <c r="AR460" t="s">
        <v>87</v>
      </c>
    </row>
    <row r="461" spans="1:44" x14ac:dyDescent="0.25">
      <c r="A461">
        <v>163</v>
      </c>
      <c r="B461" t="str">
        <f t="shared" si="21"/>
        <v>10+ years</v>
      </c>
      <c r="C461">
        <v>38</v>
      </c>
      <c r="D461" t="str" cm="1">
        <f t="array" ref="D461">_xlfn.IFS(C461&lt;26, "19-25", C461&lt;33, "26-32", C461&lt;40, "33-39", C461&lt;47, "40-46",C461&lt;54, "47-53", TRUE, "54+")</f>
        <v>33-39</v>
      </c>
      <c r="E461">
        <v>413192</v>
      </c>
      <c r="F461" s="1">
        <v>35705</v>
      </c>
      <c r="G461" t="s">
        <v>62</v>
      </c>
      <c r="H461" t="s">
        <v>96</v>
      </c>
      <c r="I461">
        <v>2000</v>
      </c>
      <c r="J461">
        <v>1453.92</v>
      </c>
      <c r="K461">
        <v>0</v>
      </c>
      <c r="L461">
        <v>607605</v>
      </c>
      <c r="M461" t="s">
        <v>75</v>
      </c>
      <c r="N461" t="s">
        <v>76</v>
      </c>
      <c r="O461" t="s">
        <v>116</v>
      </c>
      <c r="P461" t="s">
        <v>160</v>
      </c>
      <c r="Q461" t="s">
        <v>65</v>
      </c>
      <c r="R461">
        <v>51700</v>
      </c>
      <c r="S461">
        <v>0</v>
      </c>
      <c r="T461" s="1">
        <v>42056</v>
      </c>
      <c r="U461" t="s">
        <v>51</v>
      </c>
      <c r="V461" t="s">
        <v>52</v>
      </c>
      <c r="W461" t="s">
        <v>68</v>
      </c>
      <c r="X461" t="s">
        <v>141</v>
      </c>
      <c r="Y461" t="s">
        <v>82</v>
      </c>
      <c r="Z461" t="s">
        <v>127</v>
      </c>
      <c r="AA461" t="s">
        <v>643</v>
      </c>
      <c r="AB461">
        <v>13</v>
      </c>
      <c r="AC461" t="str">
        <f t="shared" si="22"/>
        <v>Afternoon</v>
      </c>
      <c r="AD461">
        <v>1</v>
      </c>
      <c r="AE461" t="s">
        <v>58</v>
      </c>
      <c r="AF461">
        <v>2</v>
      </c>
      <c r="AG461">
        <v>3</v>
      </c>
      <c r="AH461" t="s">
        <v>67</v>
      </c>
      <c r="AI461">
        <v>79500</v>
      </c>
      <c r="AJ461">
        <v>15900</v>
      </c>
      <c r="AK461">
        <v>7950</v>
      </c>
      <c r="AL461">
        <v>55650</v>
      </c>
      <c r="AM461" t="s">
        <v>100</v>
      </c>
      <c r="AN461" t="s">
        <v>153</v>
      </c>
      <c r="AO461">
        <v>2015</v>
      </c>
      <c r="AP461">
        <v>1995</v>
      </c>
      <c r="AQ461">
        <f t="shared" si="23"/>
        <v>20</v>
      </c>
      <c r="AR461" t="s">
        <v>87</v>
      </c>
    </row>
    <row r="462" spans="1:44" x14ac:dyDescent="0.25">
      <c r="A462">
        <v>271</v>
      </c>
      <c r="B462" t="str">
        <f t="shared" si="21"/>
        <v>10+ years</v>
      </c>
      <c r="C462">
        <v>44</v>
      </c>
      <c r="D462" t="str" cm="1">
        <f t="array" ref="D462">_xlfn.IFS(C462&lt;26, "19-25", C462&lt;33, "26-32", C462&lt;40, "33-39", C462&lt;47, "40-46",C462&lt;54, "47-53", TRUE, "54+")</f>
        <v>40-46</v>
      </c>
      <c r="E462">
        <v>247801</v>
      </c>
      <c r="F462" s="1">
        <v>39525</v>
      </c>
      <c r="G462" t="s">
        <v>44</v>
      </c>
      <c r="H462" t="s">
        <v>45</v>
      </c>
      <c r="I462">
        <v>500</v>
      </c>
      <c r="J462">
        <v>1340.71</v>
      </c>
      <c r="K462">
        <v>0</v>
      </c>
      <c r="L462">
        <v>600153</v>
      </c>
      <c r="M462" t="s">
        <v>75</v>
      </c>
      <c r="N462" t="s">
        <v>136</v>
      </c>
      <c r="O462" t="s">
        <v>102</v>
      </c>
      <c r="P462" t="s">
        <v>111</v>
      </c>
      <c r="Q462" t="s">
        <v>65</v>
      </c>
      <c r="R462">
        <v>0</v>
      </c>
      <c r="S462">
        <v>0</v>
      </c>
      <c r="T462" s="1">
        <v>42049</v>
      </c>
      <c r="U462" t="s">
        <v>51</v>
      </c>
      <c r="V462" t="s">
        <v>81</v>
      </c>
      <c r="W462" t="s">
        <v>68</v>
      </c>
      <c r="X462" t="s">
        <v>125</v>
      </c>
      <c r="Y462" t="s">
        <v>55</v>
      </c>
      <c r="Z462" t="s">
        <v>70</v>
      </c>
      <c r="AA462" t="s">
        <v>644</v>
      </c>
      <c r="AB462">
        <v>16</v>
      </c>
      <c r="AC462" t="str">
        <f t="shared" si="22"/>
        <v>Afternoon</v>
      </c>
      <c r="AD462">
        <v>1</v>
      </c>
      <c r="AE462" t="s">
        <v>84</v>
      </c>
      <c r="AF462">
        <v>2</v>
      </c>
      <c r="AG462">
        <v>2</v>
      </c>
      <c r="AH462" t="s">
        <v>84</v>
      </c>
      <c r="AI462">
        <v>76230</v>
      </c>
      <c r="AJ462">
        <v>6930</v>
      </c>
      <c r="AK462">
        <v>13860</v>
      </c>
      <c r="AL462">
        <v>55440</v>
      </c>
      <c r="AM462" t="s">
        <v>219</v>
      </c>
      <c r="AN462" t="s">
        <v>220</v>
      </c>
      <c r="AO462">
        <v>2015</v>
      </c>
      <c r="AP462">
        <v>1997</v>
      </c>
      <c r="AQ462">
        <f t="shared" si="23"/>
        <v>18</v>
      </c>
      <c r="AR462" t="s">
        <v>61</v>
      </c>
    </row>
    <row r="463" spans="1:44" x14ac:dyDescent="0.25">
      <c r="A463">
        <v>410</v>
      </c>
      <c r="B463" t="str">
        <f t="shared" si="21"/>
        <v>10+ years</v>
      </c>
      <c r="C463">
        <v>54</v>
      </c>
      <c r="D463" t="str" cm="1">
        <f t="array" ref="D463">_xlfn.IFS(C463&lt;26, "19-25", C463&lt;33, "26-32", C463&lt;40, "33-39", C463&lt;47, "40-46",C463&lt;54, "47-53", TRUE, "54+")</f>
        <v>54+</v>
      </c>
      <c r="E463">
        <v>171147</v>
      </c>
      <c r="F463" s="1">
        <v>40419</v>
      </c>
      <c r="G463" t="s">
        <v>88</v>
      </c>
      <c r="H463" t="s">
        <v>74</v>
      </c>
      <c r="I463">
        <v>2000</v>
      </c>
      <c r="J463">
        <v>714.03</v>
      </c>
      <c r="K463">
        <v>0</v>
      </c>
      <c r="L463">
        <v>465979</v>
      </c>
      <c r="M463" t="s">
        <v>46</v>
      </c>
      <c r="N463" t="s">
        <v>47</v>
      </c>
      <c r="O463" t="s">
        <v>140</v>
      </c>
      <c r="P463" t="s">
        <v>78</v>
      </c>
      <c r="Q463" t="s">
        <v>79</v>
      </c>
      <c r="R463">
        <v>0</v>
      </c>
      <c r="S463">
        <v>-17000</v>
      </c>
      <c r="T463" s="1">
        <v>42051</v>
      </c>
      <c r="U463" t="s">
        <v>51</v>
      </c>
      <c r="V463" t="s">
        <v>52</v>
      </c>
      <c r="W463" t="s">
        <v>68</v>
      </c>
      <c r="X463" t="s">
        <v>141</v>
      </c>
      <c r="Y463" t="s">
        <v>118</v>
      </c>
      <c r="Z463" t="s">
        <v>132</v>
      </c>
      <c r="AA463" t="s">
        <v>645</v>
      </c>
      <c r="AB463">
        <v>0</v>
      </c>
      <c r="AC463" t="str">
        <f t="shared" si="22"/>
        <v>Night</v>
      </c>
      <c r="AD463">
        <v>1</v>
      </c>
      <c r="AE463" t="s">
        <v>58</v>
      </c>
      <c r="AF463">
        <v>0</v>
      </c>
      <c r="AG463">
        <v>2</v>
      </c>
      <c r="AH463" t="s">
        <v>84</v>
      </c>
      <c r="AI463">
        <v>59520</v>
      </c>
      <c r="AJ463">
        <v>9920</v>
      </c>
      <c r="AK463">
        <v>9920</v>
      </c>
      <c r="AL463">
        <v>39680</v>
      </c>
      <c r="AM463" t="s">
        <v>214</v>
      </c>
      <c r="AN463" t="s">
        <v>236</v>
      </c>
      <c r="AO463">
        <v>2015</v>
      </c>
      <c r="AP463">
        <v>2001</v>
      </c>
      <c r="AQ463">
        <f t="shared" si="23"/>
        <v>14</v>
      </c>
      <c r="AR463" t="s">
        <v>87</v>
      </c>
    </row>
    <row r="464" spans="1:44" x14ac:dyDescent="0.25">
      <c r="A464">
        <v>448</v>
      </c>
      <c r="B464" t="str">
        <f t="shared" si="21"/>
        <v>10+ years</v>
      </c>
      <c r="C464">
        <v>57</v>
      </c>
      <c r="D464" t="str" cm="1">
        <f t="array" ref="D464">_xlfn.IFS(C464&lt;26, "19-25", C464&lt;33, "26-32", C464&lt;40, "33-39", C464&lt;47, "40-46",C464&lt;54, "47-53", TRUE, "54+")</f>
        <v>54+</v>
      </c>
      <c r="E464">
        <v>431283</v>
      </c>
      <c r="F464" s="1">
        <v>38442</v>
      </c>
      <c r="G464" t="s">
        <v>88</v>
      </c>
      <c r="H464" t="s">
        <v>74</v>
      </c>
      <c r="I464">
        <v>2000</v>
      </c>
      <c r="J464">
        <v>1376.16</v>
      </c>
      <c r="K464">
        <v>0</v>
      </c>
      <c r="L464">
        <v>466555</v>
      </c>
      <c r="M464" t="s">
        <v>75</v>
      </c>
      <c r="N464" t="s">
        <v>76</v>
      </c>
      <c r="O464" t="s">
        <v>102</v>
      </c>
      <c r="P464" t="s">
        <v>154</v>
      </c>
      <c r="Q464" t="s">
        <v>79</v>
      </c>
      <c r="R464">
        <v>38600</v>
      </c>
      <c r="S464">
        <v>-50300</v>
      </c>
      <c r="T464" s="1">
        <v>42039</v>
      </c>
      <c r="U464" t="s">
        <v>80</v>
      </c>
      <c r="V464" t="s">
        <v>91</v>
      </c>
      <c r="W464" t="s">
        <v>53</v>
      </c>
      <c r="X464" t="s">
        <v>54</v>
      </c>
      <c r="Y464" t="s">
        <v>55</v>
      </c>
      <c r="Z464" t="s">
        <v>92</v>
      </c>
      <c r="AA464" t="s">
        <v>646</v>
      </c>
      <c r="AB464">
        <v>10</v>
      </c>
      <c r="AC464" t="str">
        <f t="shared" si="22"/>
        <v>Morning</v>
      </c>
      <c r="AD464">
        <v>3</v>
      </c>
      <c r="AE464" t="s">
        <v>84</v>
      </c>
      <c r="AF464">
        <v>2</v>
      </c>
      <c r="AG464">
        <v>1</v>
      </c>
      <c r="AH464" t="s">
        <v>67</v>
      </c>
      <c r="AI464">
        <v>47760</v>
      </c>
      <c r="AJ464">
        <v>5970</v>
      </c>
      <c r="AK464">
        <v>5970</v>
      </c>
      <c r="AL464">
        <v>35820</v>
      </c>
      <c r="AM464" t="s">
        <v>158</v>
      </c>
      <c r="AN464" t="s">
        <v>168</v>
      </c>
      <c r="AO464">
        <v>2015</v>
      </c>
      <c r="AP464">
        <v>2013</v>
      </c>
      <c r="AQ464">
        <f t="shared" si="23"/>
        <v>2</v>
      </c>
      <c r="AR464" t="s">
        <v>61</v>
      </c>
    </row>
    <row r="465" spans="1:44" x14ac:dyDescent="0.25">
      <c r="A465">
        <v>218</v>
      </c>
      <c r="B465" t="str">
        <f t="shared" si="21"/>
        <v>10+ years</v>
      </c>
      <c r="C465">
        <v>41</v>
      </c>
      <c r="D465" t="str" cm="1">
        <f t="array" ref="D465">_xlfn.IFS(C465&lt;26, "19-25", C465&lt;33, "26-32", C465&lt;40, "33-39", C465&lt;47, "40-46",C465&lt;54, "47-53", TRUE, "54+")</f>
        <v>40-46</v>
      </c>
      <c r="E465">
        <v>461962</v>
      </c>
      <c r="F465" s="1">
        <v>41633</v>
      </c>
      <c r="G465" t="s">
        <v>88</v>
      </c>
      <c r="H465" t="s">
        <v>74</v>
      </c>
      <c r="I465">
        <v>500</v>
      </c>
      <c r="J465">
        <v>914.22</v>
      </c>
      <c r="K465">
        <v>0</v>
      </c>
      <c r="L465">
        <v>444155</v>
      </c>
      <c r="M465" t="s">
        <v>46</v>
      </c>
      <c r="N465" t="s">
        <v>166</v>
      </c>
      <c r="O465" t="s">
        <v>106</v>
      </c>
      <c r="P465" t="s">
        <v>117</v>
      </c>
      <c r="Q465" t="s">
        <v>124</v>
      </c>
      <c r="R465">
        <v>37900</v>
      </c>
      <c r="S465">
        <v>-72900</v>
      </c>
      <c r="T465" s="1">
        <v>42026</v>
      </c>
      <c r="U465" t="s">
        <v>80</v>
      </c>
      <c r="V465" t="s">
        <v>52</v>
      </c>
      <c r="W465" t="s">
        <v>112</v>
      </c>
      <c r="X465" t="s">
        <v>54</v>
      </c>
      <c r="Y465" t="s">
        <v>82</v>
      </c>
      <c r="Z465" t="s">
        <v>107</v>
      </c>
      <c r="AA465" t="s">
        <v>647</v>
      </c>
      <c r="AB465">
        <v>14</v>
      </c>
      <c r="AC465" t="str">
        <f t="shared" si="22"/>
        <v>Afternoon</v>
      </c>
      <c r="AD465">
        <v>3</v>
      </c>
      <c r="AE465" t="s">
        <v>84</v>
      </c>
      <c r="AF465">
        <v>2</v>
      </c>
      <c r="AG465">
        <v>0</v>
      </c>
      <c r="AH465" t="s">
        <v>84</v>
      </c>
      <c r="AI465">
        <v>84590</v>
      </c>
      <c r="AJ465">
        <v>15380</v>
      </c>
      <c r="AK465">
        <v>7690</v>
      </c>
      <c r="AL465">
        <v>61520</v>
      </c>
      <c r="AM465" t="s">
        <v>59</v>
      </c>
      <c r="AN465">
        <v>93</v>
      </c>
      <c r="AO465">
        <v>2015</v>
      </c>
      <c r="AP465">
        <v>2013</v>
      </c>
      <c r="AQ465">
        <f t="shared" si="23"/>
        <v>2</v>
      </c>
      <c r="AR465" t="s">
        <v>87</v>
      </c>
    </row>
    <row r="466" spans="1:44" x14ac:dyDescent="0.25">
      <c r="A466">
        <v>43</v>
      </c>
      <c r="B466" t="str">
        <f t="shared" si="21"/>
        <v>2-5 years</v>
      </c>
      <c r="C466">
        <v>38</v>
      </c>
      <c r="D466" t="str" cm="1">
        <f t="array" ref="D466">_xlfn.IFS(C466&lt;26, "19-25", C466&lt;33, "26-32", C466&lt;40, "33-39", C466&lt;47, "40-46",C466&lt;54, "47-53", TRUE, "54+")</f>
        <v>33-39</v>
      </c>
      <c r="E466">
        <v>149467</v>
      </c>
      <c r="F466" s="1">
        <v>41709</v>
      </c>
      <c r="G466" t="s">
        <v>44</v>
      </c>
      <c r="H466" t="s">
        <v>96</v>
      </c>
      <c r="I466">
        <v>1000</v>
      </c>
      <c r="J466">
        <v>1601.47</v>
      </c>
      <c r="K466">
        <v>0</v>
      </c>
      <c r="L466">
        <v>465764</v>
      </c>
      <c r="M466" t="s">
        <v>46</v>
      </c>
      <c r="N466" t="s">
        <v>76</v>
      </c>
      <c r="O466" t="s">
        <v>164</v>
      </c>
      <c r="P466" t="s">
        <v>137</v>
      </c>
      <c r="Q466" t="s">
        <v>65</v>
      </c>
      <c r="R466">
        <v>64400</v>
      </c>
      <c r="S466">
        <v>0</v>
      </c>
      <c r="T466" s="1">
        <v>42050</v>
      </c>
      <c r="U466" t="s">
        <v>80</v>
      </c>
      <c r="V466" t="s">
        <v>91</v>
      </c>
      <c r="W466" t="s">
        <v>112</v>
      </c>
      <c r="X466" t="s">
        <v>125</v>
      </c>
      <c r="Y466" t="s">
        <v>55</v>
      </c>
      <c r="Z466" t="s">
        <v>56</v>
      </c>
      <c r="AA466" t="s">
        <v>648</v>
      </c>
      <c r="AB466">
        <v>1</v>
      </c>
      <c r="AC466" t="str">
        <f t="shared" si="22"/>
        <v>Night</v>
      </c>
      <c r="AD466">
        <v>3</v>
      </c>
      <c r="AE466" t="s">
        <v>58</v>
      </c>
      <c r="AF466">
        <v>2</v>
      </c>
      <c r="AG466">
        <v>2</v>
      </c>
      <c r="AH466" t="s">
        <v>67</v>
      </c>
      <c r="AI466">
        <v>61650</v>
      </c>
      <c r="AJ466">
        <v>6850</v>
      </c>
      <c r="AK466">
        <v>6850</v>
      </c>
      <c r="AL466">
        <v>47950</v>
      </c>
      <c r="AM466" t="s">
        <v>109</v>
      </c>
      <c r="AN466" t="s">
        <v>292</v>
      </c>
      <c r="AO466">
        <v>2015</v>
      </c>
      <c r="AP466">
        <v>2006</v>
      </c>
      <c r="AQ466">
        <f t="shared" si="23"/>
        <v>9</v>
      </c>
      <c r="AR466" t="s">
        <v>87</v>
      </c>
    </row>
    <row r="467" spans="1:44" x14ac:dyDescent="0.25">
      <c r="A467">
        <v>33</v>
      </c>
      <c r="B467" t="str">
        <f t="shared" si="21"/>
        <v>2-5 years</v>
      </c>
      <c r="C467">
        <v>33</v>
      </c>
      <c r="D467" t="str" cm="1">
        <f t="array" ref="D467">_xlfn.IFS(C467&lt;26, "19-25", C467&lt;33, "26-32", C467&lt;40, "33-39", C467&lt;47, "40-46",C467&lt;54, "47-53", TRUE, "54+")</f>
        <v>33-39</v>
      </c>
      <c r="E467">
        <v>758740</v>
      </c>
      <c r="F467" s="1">
        <v>35646</v>
      </c>
      <c r="G467" t="s">
        <v>88</v>
      </c>
      <c r="H467" t="s">
        <v>96</v>
      </c>
      <c r="I467">
        <v>1000</v>
      </c>
      <c r="J467">
        <v>1096.79</v>
      </c>
      <c r="K467">
        <v>6000000</v>
      </c>
      <c r="L467">
        <v>446898</v>
      </c>
      <c r="M467" t="s">
        <v>75</v>
      </c>
      <c r="N467" t="s">
        <v>97</v>
      </c>
      <c r="O467" t="s">
        <v>164</v>
      </c>
      <c r="P467" t="s">
        <v>131</v>
      </c>
      <c r="Q467" t="s">
        <v>90</v>
      </c>
      <c r="R467">
        <v>45500</v>
      </c>
      <c r="S467">
        <v>-60600</v>
      </c>
      <c r="T467" s="1">
        <v>42011</v>
      </c>
      <c r="U467" t="s">
        <v>51</v>
      </c>
      <c r="V467" t="s">
        <v>81</v>
      </c>
      <c r="W467" t="s">
        <v>53</v>
      </c>
      <c r="X467" t="s">
        <v>54</v>
      </c>
      <c r="Y467" t="s">
        <v>69</v>
      </c>
      <c r="Z467" t="s">
        <v>107</v>
      </c>
      <c r="AA467" t="s">
        <v>649</v>
      </c>
      <c r="AB467">
        <v>16</v>
      </c>
      <c r="AC467" t="str">
        <f t="shared" si="22"/>
        <v>Afternoon</v>
      </c>
      <c r="AD467">
        <v>1</v>
      </c>
      <c r="AE467" t="s">
        <v>67</v>
      </c>
      <c r="AF467">
        <v>2</v>
      </c>
      <c r="AG467">
        <v>1</v>
      </c>
      <c r="AH467" t="s">
        <v>67</v>
      </c>
      <c r="AI467">
        <v>81400</v>
      </c>
      <c r="AJ467">
        <v>8140</v>
      </c>
      <c r="AK467">
        <v>8140</v>
      </c>
      <c r="AL467">
        <v>65120</v>
      </c>
      <c r="AM467" t="s">
        <v>192</v>
      </c>
      <c r="AN467" t="s">
        <v>206</v>
      </c>
      <c r="AO467">
        <v>2015</v>
      </c>
      <c r="AP467">
        <v>1998</v>
      </c>
      <c r="AQ467">
        <f t="shared" si="23"/>
        <v>17</v>
      </c>
      <c r="AR467" t="s">
        <v>87</v>
      </c>
    </row>
    <row r="468" spans="1:44" x14ac:dyDescent="0.25">
      <c r="A468">
        <v>126</v>
      </c>
      <c r="B468" t="str">
        <f t="shared" si="21"/>
        <v>10+ years</v>
      </c>
      <c r="C468">
        <v>34</v>
      </c>
      <c r="D468" t="str" cm="1">
        <f t="array" ref="D468">_xlfn.IFS(C468&lt;26, "19-25", C468&lt;33, "26-32", C468&lt;40, "33-39", C468&lt;47, "40-46",C468&lt;54, "47-53", TRUE, "54+")</f>
        <v>33-39</v>
      </c>
      <c r="E468">
        <v>628337</v>
      </c>
      <c r="F468" s="1">
        <v>39400</v>
      </c>
      <c r="G468" t="s">
        <v>62</v>
      </c>
      <c r="H468" t="s">
        <v>74</v>
      </c>
      <c r="I468">
        <v>2000</v>
      </c>
      <c r="J468">
        <v>1078.22</v>
      </c>
      <c r="K468">
        <v>0</v>
      </c>
      <c r="L468">
        <v>453274</v>
      </c>
      <c r="M468" t="s">
        <v>75</v>
      </c>
      <c r="N468" t="s">
        <v>129</v>
      </c>
      <c r="O468" t="s">
        <v>150</v>
      </c>
      <c r="P468" t="s">
        <v>123</v>
      </c>
      <c r="Q468" t="s">
        <v>124</v>
      </c>
      <c r="R468">
        <v>54500</v>
      </c>
      <c r="S468">
        <v>0</v>
      </c>
      <c r="T468" s="1">
        <v>42058</v>
      </c>
      <c r="U468" t="s">
        <v>80</v>
      </c>
      <c r="V468" t="s">
        <v>52</v>
      </c>
      <c r="W468" t="s">
        <v>53</v>
      </c>
      <c r="X468" t="s">
        <v>104</v>
      </c>
      <c r="Y468" t="s">
        <v>55</v>
      </c>
      <c r="Z468" t="s">
        <v>132</v>
      </c>
      <c r="AA468" t="s">
        <v>650</v>
      </c>
      <c r="AB468">
        <v>2</v>
      </c>
      <c r="AC468" t="str">
        <f t="shared" si="22"/>
        <v>Night</v>
      </c>
      <c r="AD468">
        <v>3</v>
      </c>
      <c r="AE468" t="s">
        <v>84</v>
      </c>
      <c r="AF468">
        <v>0</v>
      </c>
      <c r="AG468">
        <v>1</v>
      </c>
      <c r="AH468" t="s">
        <v>58</v>
      </c>
      <c r="AI468">
        <v>58410</v>
      </c>
      <c r="AJ468">
        <v>10620</v>
      </c>
      <c r="AK468">
        <v>5310</v>
      </c>
      <c r="AL468">
        <v>42480</v>
      </c>
      <c r="AM468" t="s">
        <v>94</v>
      </c>
      <c r="AN468" t="s">
        <v>95</v>
      </c>
      <c r="AO468">
        <v>2015</v>
      </c>
      <c r="AP468">
        <v>2007</v>
      </c>
      <c r="AQ468">
        <f t="shared" si="23"/>
        <v>8</v>
      </c>
      <c r="AR468" t="s">
        <v>87</v>
      </c>
    </row>
    <row r="469" spans="1:44" x14ac:dyDescent="0.25">
      <c r="A469">
        <v>411</v>
      </c>
      <c r="B469" t="str">
        <f t="shared" si="21"/>
        <v>10+ years</v>
      </c>
      <c r="C469">
        <v>56</v>
      </c>
      <c r="D469" t="str" cm="1">
        <f t="array" ref="D469">_xlfn.IFS(C469&lt;26, "19-25", C469&lt;33, "26-32", C469&lt;40, "33-39", C469&lt;47, "40-46",C469&lt;54, "47-53", TRUE, "54+")</f>
        <v>54+</v>
      </c>
      <c r="E469">
        <v>574637</v>
      </c>
      <c r="F469" s="1">
        <v>33815</v>
      </c>
      <c r="G469" t="s">
        <v>88</v>
      </c>
      <c r="H469" t="s">
        <v>45</v>
      </c>
      <c r="I469">
        <v>1000</v>
      </c>
      <c r="J469">
        <v>1595.28</v>
      </c>
      <c r="K469">
        <v>0</v>
      </c>
      <c r="L469">
        <v>479320</v>
      </c>
      <c r="M469" t="s">
        <v>75</v>
      </c>
      <c r="N469" t="s">
        <v>146</v>
      </c>
      <c r="O469" t="s">
        <v>140</v>
      </c>
      <c r="P469" t="s">
        <v>269</v>
      </c>
      <c r="Q469" t="s">
        <v>65</v>
      </c>
      <c r="R469">
        <v>0</v>
      </c>
      <c r="S469">
        <v>0</v>
      </c>
      <c r="T469" s="1">
        <v>42010</v>
      </c>
      <c r="U469" t="s">
        <v>80</v>
      </c>
      <c r="V469" t="s">
        <v>52</v>
      </c>
      <c r="W469" t="s">
        <v>53</v>
      </c>
      <c r="X469" t="s">
        <v>141</v>
      </c>
      <c r="Y469" t="s">
        <v>69</v>
      </c>
      <c r="Z469" t="s">
        <v>107</v>
      </c>
      <c r="AA469" t="s">
        <v>651</v>
      </c>
      <c r="AB469">
        <v>23</v>
      </c>
      <c r="AC469" t="str">
        <f t="shared" si="22"/>
        <v>Evening</v>
      </c>
      <c r="AD469">
        <v>3</v>
      </c>
      <c r="AE469" t="s">
        <v>67</v>
      </c>
      <c r="AF469">
        <v>0</v>
      </c>
      <c r="AG469">
        <v>0</v>
      </c>
      <c r="AH469" t="s">
        <v>67</v>
      </c>
      <c r="AI469">
        <v>38610</v>
      </c>
      <c r="AJ469">
        <v>3510</v>
      </c>
      <c r="AK469">
        <v>3510</v>
      </c>
      <c r="AL469">
        <v>31590</v>
      </c>
      <c r="AM469" t="s">
        <v>219</v>
      </c>
      <c r="AN469" t="s">
        <v>220</v>
      </c>
      <c r="AO469">
        <v>2015</v>
      </c>
      <c r="AP469">
        <v>2007</v>
      </c>
      <c r="AQ469">
        <f t="shared" si="23"/>
        <v>8</v>
      </c>
      <c r="AR469" t="s">
        <v>87</v>
      </c>
    </row>
    <row r="470" spans="1:44" x14ac:dyDescent="0.25">
      <c r="A470">
        <v>225</v>
      </c>
      <c r="B470" t="str">
        <f t="shared" si="21"/>
        <v>10+ years</v>
      </c>
      <c r="C470">
        <v>37</v>
      </c>
      <c r="D470" t="str" cm="1">
        <f t="array" ref="D470">_xlfn.IFS(C470&lt;26, "19-25", C470&lt;33, "26-32", C470&lt;40, "33-39", C470&lt;47, "40-46",C470&lt;54, "47-53", TRUE, "54+")</f>
        <v>33-39</v>
      </c>
      <c r="E470">
        <v>373600</v>
      </c>
      <c r="F470" s="1">
        <v>36861</v>
      </c>
      <c r="G470" t="s">
        <v>44</v>
      </c>
      <c r="H470" t="s">
        <v>74</v>
      </c>
      <c r="I470">
        <v>1000</v>
      </c>
      <c r="J470">
        <v>1217.8399999999999</v>
      </c>
      <c r="K470">
        <v>5000000</v>
      </c>
      <c r="L470">
        <v>443462</v>
      </c>
      <c r="M470" t="s">
        <v>75</v>
      </c>
      <c r="N470" t="s">
        <v>136</v>
      </c>
      <c r="O470" t="s">
        <v>194</v>
      </c>
      <c r="P470" t="s">
        <v>160</v>
      </c>
      <c r="Q470" t="s">
        <v>147</v>
      </c>
      <c r="R470">
        <v>49600</v>
      </c>
      <c r="S470">
        <v>0</v>
      </c>
      <c r="T470" s="1">
        <v>42042</v>
      </c>
      <c r="U470" t="s">
        <v>80</v>
      </c>
      <c r="V470" t="s">
        <v>91</v>
      </c>
      <c r="W470" t="s">
        <v>68</v>
      </c>
      <c r="X470" t="s">
        <v>104</v>
      </c>
      <c r="Y470" t="s">
        <v>118</v>
      </c>
      <c r="Z470" t="s">
        <v>161</v>
      </c>
      <c r="AA470" t="s">
        <v>652</v>
      </c>
      <c r="AB470">
        <v>19</v>
      </c>
      <c r="AC470" t="str">
        <f t="shared" si="22"/>
        <v>Evening</v>
      </c>
      <c r="AD470">
        <v>3</v>
      </c>
      <c r="AE470" t="s">
        <v>67</v>
      </c>
      <c r="AF470">
        <v>2</v>
      </c>
      <c r="AG470">
        <v>2</v>
      </c>
      <c r="AH470" t="s">
        <v>84</v>
      </c>
      <c r="AI470">
        <v>57600</v>
      </c>
      <c r="AJ470">
        <v>9600</v>
      </c>
      <c r="AK470">
        <v>9600</v>
      </c>
      <c r="AL470">
        <v>38400</v>
      </c>
      <c r="AM470" t="s">
        <v>219</v>
      </c>
      <c r="AN470" t="s">
        <v>220</v>
      </c>
      <c r="AO470">
        <v>2015</v>
      </c>
      <c r="AP470">
        <v>2015</v>
      </c>
      <c r="AQ470">
        <f t="shared" si="23"/>
        <v>0</v>
      </c>
      <c r="AR470" t="s">
        <v>87</v>
      </c>
    </row>
    <row r="471" spans="1:44" x14ac:dyDescent="0.25">
      <c r="A471">
        <v>35</v>
      </c>
      <c r="B471" t="str">
        <f t="shared" si="21"/>
        <v>2-5 years</v>
      </c>
      <c r="C471">
        <v>35</v>
      </c>
      <c r="D471" t="str" cm="1">
        <f t="array" ref="D471">_xlfn.IFS(C471&lt;26, "19-25", C471&lt;33, "26-32", C471&lt;40, "33-39", C471&lt;47, "40-46",C471&lt;54, "47-53", TRUE, "54+")</f>
        <v>33-39</v>
      </c>
      <c r="E471">
        <v>930032</v>
      </c>
      <c r="F471" s="1">
        <v>37509</v>
      </c>
      <c r="G471" t="s">
        <v>88</v>
      </c>
      <c r="H471" t="s">
        <v>74</v>
      </c>
      <c r="I471">
        <v>2000</v>
      </c>
      <c r="J471">
        <v>1117.42</v>
      </c>
      <c r="K471">
        <v>0</v>
      </c>
      <c r="L471">
        <v>446158</v>
      </c>
      <c r="M471" t="s">
        <v>75</v>
      </c>
      <c r="N471" t="s">
        <v>76</v>
      </c>
      <c r="O471" t="s">
        <v>140</v>
      </c>
      <c r="P471" t="s">
        <v>175</v>
      </c>
      <c r="Q471" t="s">
        <v>147</v>
      </c>
      <c r="R471">
        <v>0</v>
      </c>
      <c r="S471">
        <v>-51900</v>
      </c>
      <c r="T471" s="1">
        <v>42049</v>
      </c>
      <c r="U471" t="s">
        <v>80</v>
      </c>
      <c r="V471" t="s">
        <v>52</v>
      </c>
      <c r="W471" t="s">
        <v>68</v>
      </c>
      <c r="X471" t="s">
        <v>104</v>
      </c>
      <c r="Y471" t="s">
        <v>126</v>
      </c>
      <c r="Z471" t="s">
        <v>127</v>
      </c>
      <c r="AA471" t="s">
        <v>653</v>
      </c>
      <c r="AB471">
        <v>23</v>
      </c>
      <c r="AC471" t="str">
        <f t="shared" si="22"/>
        <v>Evening</v>
      </c>
      <c r="AD471">
        <v>3</v>
      </c>
      <c r="AE471" t="s">
        <v>84</v>
      </c>
      <c r="AF471">
        <v>2</v>
      </c>
      <c r="AG471">
        <v>2</v>
      </c>
      <c r="AH471" t="s">
        <v>84</v>
      </c>
      <c r="AI471">
        <v>53190</v>
      </c>
      <c r="AJ471">
        <v>5910</v>
      </c>
      <c r="AK471">
        <v>11820</v>
      </c>
      <c r="AL471">
        <v>35460</v>
      </c>
      <c r="AM471" t="s">
        <v>219</v>
      </c>
      <c r="AN471" t="s">
        <v>263</v>
      </c>
      <c r="AO471">
        <v>2015</v>
      </c>
      <c r="AP471">
        <v>1996</v>
      </c>
      <c r="AQ471">
        <f t="shared" si="23"/>
        <v>19</v>
      </c>
      <c r="AR471" t="s">
        <v>87</v>
      </c>
    </row>
    <row r="472" spans="1:44" x14ac:dyDescent="0.25">
      <c r="A472">
        <v>460</v>
      </c>
      <c r="B472" t="str">
        <f t="shared" si="21"/>
        <v>10+ years</v>
      </c>
      <c r="C472">
        <v>57</v>
      </c>
      <c r="D472" t="str" cm="1">
        <f t="array" ref="D472">_xlfn.IFS(C472&lt;26, "19-25", C472&lt;33, "26-32", C472&lt;40, "33-39", C472&lt;47, "40-46",C472&lt;54, "47-53", TRUE, "54+")</f>
        <v>54+</v>
      </c>
      <c r="E472">
        <v>396590</v>
      </c>
      <c r="F472" s="1">
        <v>35741</v>
      </c>
      <c r="G472" t="s">
        <v>44</v>
      </c>
      <c r="H472" t="s">
        <v>74</v>
      </c>
      <c r="I472">
        <v>2000</v>
      </c>
      <c r="J472">
        <v>1567.37</v>
      </c>
      <c r="K472">
        <v>0</v>
      </c>
      <c r="L472">
        <v>602514</v>
      </c>
      <c r="M472" t="s">
        <v>75</v>
      </c>
      <c r="N472" t="s">
        <v>166</v>
      </c>
      <c r="O472" t="s">
        <v>48</v>
      </c>
      <c r="P472" t="s">
        <v>137</v>
      </c>
      <c r="Q472" t="s">
        <v>50</v>
      </c>
      <c r="R472">
        <v>62500</v>
      </c>
      <c r="S472">
        <v>0</v>
      </c>
      <c r="T472" s="1">
        <v>42050</v>
      </c>
      <c r="U472" t="s">
        <v>51</v>
      </c>
      <c r="V472" t="s">
        <v>91</v>
      </c>
      <c r="W472" t="s">
        <v>53</v>
      </c>
      <c r="X472" t="s">
        <v>125</v>
      </c>
      <c r="Y472" t="s">
        <v>82</v>
      </c>
      <c r="Z472" t="s">
        <v>70</v>
      </c>
      <c r="AA472" t="s">
        <v>654</v>
      </c>
      <c r="AB472">
        <v>10</v>
      </c>
      <c r="AC472" t="str">
        <f t="shared" si="22"/>
        <v>Morning</v>
      </c>
      <c r="AD472">
        <v>1</v>
      </c>
      <c r="AE472" t="s">
        <v>67</v>
      </c>
      <c r="AF472">
        <v>2</v>
      </c>
      <c r="AG472">
        <v>3</v>
      </c>
      <c r="AH472" t="s">
        <v>84</v>
      </c>
      <c r="AI472">
        <v>58300</v>
      </c>
      <c r="AJ472">
        <v>5830</v>
      </c>
      <c r="AK472">
        <v>11660</v>
      </c>
      <c r="AL472">
        <v>40810</v>
      </c>
      <c r="AM472" t="s">
        <v>109</v>
      </c>
      <c r="AN472" t="s">
        <v>156</v>
      </c>
      <c r="AO472">
        <v>2015</v>
      </c>
      <c r="AP472">
        <v>2014</v>
      </c>
      <c r="AQ472">
        <f t="shared" si="23"/>
        <v>1</v>
      </c>
      <c r="AR472" t="s">
        <v>61</v>
      </c>
    </row>
    <row r="473" spans="1:44" x14ac:dyDescent="0.25">
      <c r="A473">
        <v>195</v>
      </c>
      <c r="B473" t="str">
        <f t="shared" si="21"/>
        <v>10+ years</v>
      </c>
      <c r="C473">
        <v>38</v>
      </c>
      <c r="D473" t="str" cm="1">
        <f t="array" ref="D473">_xlfn.IFS(C473&lt;26, "19-25", C473&lt;33, "26-32", C473&lt;40, "33-39", C473&lt;47, "40-46",C473&lt;54, "47-53", TRUE, "54+")</f>
        <v>33-39</v>
      </c>
      <c r="E473">
        <v>238412</v>
      </c>
      <c r="F473" s="1">
        <v>34107</v>
      </c>
      <c r="G473" t="s">
        <v>88</v>
      </c>
      <c r="H473" t="s">
        <v>96</v>
      </c>
      <c r="I473">
        <v>2000</v>
      </c>
      <c r="J473">
        <v>1294.93</v>
      </c>
      <c r="K473">
        <v>6000000</v>
      </c>
      <c r="L473">
        <v>477356</v>
      </c>
      <c r="M473" t="s">
        <v>46</v>
      </c>
      <c r="N473" t="s">
        <v>47</v>
      </c>
      <c r="O473" t="s">
        <v>102</v>
      </c>
      <c r="P473" t="s">
        <v>186</v>
      </c>
      <c r="Q473" t="s">
        <v>90</v>
      </c>
      <c r="R473">
        <v>38000</v>
      </c>
      <c r="S473">
        <v>-50300</v>
      </c>
      <c r="T473" s="1">
        <v>42049</v>
      </c>
      <c r="U473" t="s">
        <v>80</v>
      </c>
      <c r="V473" t="s">
        <v>91</v>
      </c>
      <c r="W473" t="s">
        <v>68</v>
      </c>
      <c r="X473" t="s">
        <v>141</v>
      </c>
      <c r="Y473" t="s">
        <v>118</v>
      </c>
      <c r="Z473" t="s">
        <v>107</v>
      </c>
      <c r="AA473" t="s">
        <v>655</v>
      </c>
      <c r="AB473">
        <v>12</v>
      </c>
      <c r="AC473" t="str">
        <f t="shared" si="22"/>
        <v>Afternoon</v>
      </c>
      <c r="AD473">
        <v>3</v>
      </c>
      <c r="AE473" t="s">
        <v>58</v>
      </c>
      <c r="AF473">
        <v>1</v>
      </c>
      <c r="AG473">
        <v>2</v>
      </c>
      <c r="AH473" t="s">
        <v>84</v>
      </c>
      <c r="AI473">
        <v>64620</v>
      </c>
      <c r="AJ473">
        <v>7180</v>
      </c>
      <c r="AK473">
        <v>0</v>
      </c>
      <c r="AL473">
        <v>57440</v>
      </c>
      <c r="AM473" t="s">
        <v>85</v>
      </c>
      <c r="AN473" t="s">
        <v>149</v>
      </c>
      <c r="AO473">
        <v>2015</v>
      </c>
      <c r="AP473">
        <v>2003</v>
      </c>
      <c r="AQ473">
        <f t="shared" si="23"/>
        <v>12</v>
      </c>
      <c r="AR473" t="s">
        <v>87</v>
      </c>
    </row>
    <row r="474" spans="1:44" x14ac:dyDescent="0.25">
      <c r="A474">
        <v>360</v>
      </c>
      <c r="B474" t="str">
        <f t="shared" si="21"/>
        <v>10+ years</v>
      </c>
      <c r="C474">
        <v>51</v>
      </c>
      <c r="D474" t="str" cm="1">
        <f t="array" ref="D474">_xlfn.IFS(C474&lt;26, "19-25", C474&lt;33, "26-32", C474&lt;40, "33-39", C474&lt;47, "40-46",C474&lt;54, "47-53", TRUE, "54+")</f>
        <v>47-53</v>
      </c>
      <c r="E474">
        <v>484321</v>
      </c>
      <c r="F474" s="1">
        <v>35257</v>
      </c>
      <c r="G474" t="s">
        <v>88</v>
      </c>
      <c r="H474" t="s">
        <v>45</v>
      </c>
      <c r="I474">
        <v>1000</v>
      </c>
      <c r="J474">
        <v>1152.1199999999999</v>
      </c>
      <c r="K474">
        <v>0</v>
      </c>
      <c r="L474">
        <v>434669</v>
      </c>
      <c r="M474" t="s">
        <v>46</v>
      </c>
      <c r="N474" t="s">
        <v>76</v>
      </c>
      <c r="O474" t="s">
        <v>89</v>
      </c>
      <c r="P474" t="s">
        <v>154</v>
      </c>
      <c r="Q474" t="s">
        <v>147</v>
      </c>
      <c r="R474">
        <v>0</v>
      </c>
      <c r="S474">
        <v>-62400</v>
      </c>
      <c r="T474" s="1">
        <v>42040</v>
      </c>
      <c r="U474" t="s">
        <v>80</v>
      </c>
      <c r="V474" t="s">
        <v>52</v>
      </c>
      <c r="W474" t="s">
        <v>112</v>
      </c>
      <c r="X474" t="s">
        <v>141</v>
      </c>
      <c r="Y474" t="s">
        <v>118</v>
      </c>
      <c r="Z474" t="s">
        <v>70</v>
      </c>
      <c r="AA474" t="s">
        <v>656</v>
      </c>
      <c r="AB474">
        <v>15</v>
      </c>
      <c r="AC474" t="str">
        <f t="shared" si="22"/>
        <v>Afternoon</v>
      </c>
      <c r="AD474">
        <v>3</v>
      </c>
      <c r="AE474" t="s">
        <v>84</v>
      </c>
      <c r="AF474">
        <v>2</v>
      </c>
      <c r="AG474">
        <v>0</v>
      </c>
      <c r="AH474" t="s">
        <v>58</v>
      </c>
      <c r="AI474">
        <v>90480</v>
      </c>
      <c r="AJ474">
        <v>15080</v>
      </c>
      <c r="AK474">
        <v>15080</v>
      </c>
      <c r="AL474">
        <v>60320</v>
      </c>
      <c r="AM474" t="s">
        <v>192</v>
      </c>
      <c r="AN474" t="s">
        <v>243</v>
      </c>
      <c r="AO474">
        <v>2015</v>
      </c>
      <c r="AP474">
        <v>2000</v>
      </c>
      <c r="AQ474">
        <f t="shared" si="23"/>
        <v>15</v>
      </c>
      <c r="AR474" t="s">
        <v>87</v>
      </c>
    </row>
    <row r="475" spans="1:44" x14ac:dyDescent="0.25">
      <c r="A475">
        <v>300</v>
      </c>
      <c r="B475" t="str">
        <f t="shared" si="21"/>
        <v>10+ years</v>
      </c>
      <c r="C475">
        <v>49</v>
      </c>
      <c r="D475" t="str" cm="1">
        <f t="array" ref="D475">_xlfn.IFS(C475&lt;26, "19-25", C475&lt;33, "26-32", C475&lt;40, "33-39", C475&lt;47, "40-46",C475&lt;54, "47-53", TRUE, "54+")</f>
        <v>47-53</v>
      </c>
      <c r="E475">
        <v>795847</v>
      </c>
      <c r="F475" s="1">
        <v>35050</v>
      </c>
      <c r="G475" t="s">
        <v>88</v>
      </c>
      <c r="H475" t="s">
        <v>74</v>
      </c>
      <c r="I475">
        <v>1000</v>
      </c>
      <c r="J475">
        <v>1441.21</v>
      </c>
      <c r="K475">
        <v>0</v>
      </c>
      <c r="L475">
        <v>609322</v>
      </c>
      <c r="M475" t="s">
        <v>75</v>
      </c>
      <c r="N475" t="s">
        <v>76</v>
      </c>
      <c r="O475" t="s">
        <v>194</v>
      </c>
      <c r="P475" t="s">
        <v>175</v>
      </c>
      <c r="Q475" t="s">
        <v>124</v>
      </c>
      <c r="R475">
        <v>0</v>
      </c>
      <c r="S475">
        <v>0</v>
      </c>
      <c r="T475" s="1">
        <v>42008</v>
      </c>
      <c r="U475" t="s">
        <v>66</v>
      </c>
      <c r="V475" t="s">
        <v>67</v>
      </c>
      <c r="W475" t="s">
        <v>217</v>
      </c>
      <c r="X475" t="s">
        <v>98</v>
      </c>
      <c r="Y475" t="s">
        <v>55</v>
      </c>
      <c r="Z475" t="s">
        <v>56</v>
      </c>
      <c r="AA475" t="s">
        <v>657</v>
      </c>
      <c r="AB475">
        <v>3</v>
      </c>
      <c r="AC475" t="str">
        <f t="shared" si="22"/>
        <v>Night</v>
      </c>
      <c r="AD475">
        <v>1</v>
      </c>
      <c r="AE475" t="s">
        <v>84</v>
      </c>
      <c r="AF475">
        <v>1</v>
      </c>
      <c r="AG475">
        <v>0</v>
      </c>
      <c r="AH475" t="s">
        <v>84</v>
      </c>
      <c r="AI475">
        <v>7080</v>
      </c>
      <c r="AJ475">
        <v>1180</v>
      </c>
      <c r="AK475">
        <v>1180</v>
      </c>
      <c r="AL475">
        <v>4720</v>
      </c>
      <c r="AM475" t="s">
        <v>109</v>
      </c>
      <c r="AN475" t="s">
        <v>156</v>
      </c>
      <c r="AO475">
        <v>2015</v>
      </c>
      <c r="AP475">
        <v>2001</v>
      </c>
      <c r="AQ475">
        <f t="shared" si="23"/>
        <v>14</v>
      </c>
      <c r="AR475" t="s">
        <v>87</v>
      </c>
    </row>
    <row r="476" spans="1:44" x14ac:dyDescent="0.25">
      <c r="A476">
        <v>245</v>
      </c>
      <c r="B476" t="str">
        <f t="shared" si="21"/>
        <v>10+ years</v>
      </c>
      <c r="C476">
        <v>42</v>
      </c>
      <c r="D476" t="str" cm="1">
        <f t="array" ref="D476">_xlfn.IFS(C476&lt;26, "19-25", C476&lt;33, "26-32", C476&lt;40, "33-39", C476&lt;47, "40-46",C476&lt;54, "47-53", TRUE, "54+")</f>
        <v>40-46</v>
      </c>
      <c r="E476">
        <v>218456</v>
      </c>
      <c r="F476" s="1">
        <v>37453</v>
      </c>
      <c r="G476" t="s">
        <v>88</v>
      </c>
      <c r="H476" t="s">
        <v>96</v>
      </c>
      <c r="I476">
        <v>1000</v>
      </c>
      <c r="J476">
        <v>1575.74</v>
      </c>
      <c r="K476">
        <v>7000000</v>
      </c>
      <c r="L476">
        <v>614265</v>
      </c>
      <c r="M476" t="s">
        <v>46</v>
      </c>
      <c r="N476" t="s">
        <v>166</v>
      </c>
      <c r="O476" t="s">
        <v>130</v>
      </c>
      <c r="P476" t="s">
        <v>173</v>
      </c>
      <c r="Q476" t="s">
        <v>65</v>
      </c>
      <c r="R476">
        <v>0</v>
      </c>
      <c r="S476">
        <v>-68900</v>
      </c>
      <c r="T476" s="1">
        <v>42055</v>
      </c>
      <c r="U476" t="s">
        <v>143</v>
      </c>
      <c r="V476" t="s">
        <v>67</v>
      </c>
      <c r="W476" t="s">
        <v>68</v>
      </c>
      <c r="X476" t="s">
        <v>54</v>
      </c>
      <c r="Y476" t="s">
        <v>180</v>
      </c>
      <c r="Z476" t="s">
        <v>107</v>
      </c>
      <c r="AA476" t="s">
        <v>658</v>
      </c>
      <c r="AB476">
        <v>19</v>
      </c>
      <c r="AC476" t="str">
        <f t="shared" si="22"/>
        <v>Evening</v>
      </c>
      <c r="AD476">
        <v>1</v>
      </c>
      <c r="AE476" t="s">
        <v>67</v>
      </c>
      <c r="AF476">
        <v>2</v>
      </c>
      <c r="AG476">
        <v>2</v>
      </c>
      <c r="AH476" t="s">
        <v>67</v>
      </c>
      <c r="AI476">
        <v>6490</v>
      </c>
      <c r="AJ476">
        <v>590</v>
      </c>
      <c r="AK476">
        <v>1180</v>
      </c>
      <c r="AL476">
        <v>4720</v>
      </c>
      <c r="AM476" t="s">
        <v>120</v>
      </c>
      <c r="AN476" t="s">
        <v>121</v>
      </c>
      <c r="AO476">
        <v>2015</v>
      </c>
      <c r="AP476">
        <v>2011</v>
      </c>
      <c r="AQ476">
        <f t="shared" si="23"/>
        <v>4</v>
      </c>
      <c r="AR476" t="s">
        <v>61</v>
      </c>
    </row>
    <row r="477" spans="1:44" x14ac:dyDescent="0.25">
      <c r="A477">
        <v>146</v>
      </c>
      <c r="B477" t="str">
        <f t="shared" si="21"/>
        <v>10+ years</v>
      </c>
      <c r="C477">
        <v>36</v>
      </c>
      <c r="D477" t="str" cm="1">
        <f t="array" ref="D477">_xlfn.IFS(C477&lt;26, "19-25", C477&lt;33, "26-32", C477&lt;40, "33-39", C477&lt;47, "40-46",C477&lt;54, "47-53", TRUE, "54+")</f>
        <v>33-39</v>
      </c>
      <c r="E477">
        <v>792673</v>
      </c>
      <c r="F477" s="1">
        <v>41376</v>
      </c>
      <c r="G477" t="s">
        <v>44</v>
      </c>
      <c r="H477" t="s">
        <v>96</v>
      </c>
      <c r="I477">
        <v>2000</v>
      </c>
      <c r="J477">
        <v>1233.96</v>
      </c>
      <c r="K477">
        <v>0</v>
      </c>
      <c r="L477">
        <v>606177</v>
      </c>
      <c r="M477" t="s">
        <v>75</v>
      </c>
      <c r="N477" t="s">
        <v>129</v>
      </c>
      <c r="O477" t="s">
        <v>116</v>
      </c>
      <c r="P477" t="s">
        <v>117</v>
      </c>
      <c r="Q477" t="s">
        <v>65</v>
      </c>
      <c r="R477">
        <v>34500</v>
      </c>
      <c r="S477">
        <v>-60600</v>
      </c>
      <c r="T477" s="1">
        <v>42040</v>
      </c>
      <c r="U477" t="s">
        <v>80</v>
      </c>
      <c r="V477" t="s">
        <v>52</v>
      </c>
      <c r="W477" t="s">
        <v>112</v>
      </c>
      <c r="X477" t="s">
        <v>54</v>
      </c>
      <c r="Y477" t="s">
        <v>126</v>
      </c>
      <c r="Z477" t="s">
        <v>127</v>
      </c>
      <c r="AA477" t="s">
        <v>659</v>
      </c>
      <c r="AB477">
        <v>16</v>
      </c>
      <c r="AC477" t="str">
        <f t="shared" si="22"/>
        <v>Afternoon</v>
      </c>
      <c r="AD477">
        <v>3</v>
      </c>
      <c r="AE477" t="s">
        <v>84</v>
      </c>
      <c r="AF477">
        <v>1</v>
      </c>
      <c r="AG477">
        <v>1</v>
      </c>
      <c r="AH477" t="s">
        <v>84</v>
      </c>
      <c r="AI477">
        <v>55900</v>
      </c>
      <c r="AJ477">
        <v>5590</v>
      </c>
      <c r="AK477">
        <v>5590</v>
      </c>
      <c r="AL477">
        <v>44720</v>
      </c>
      <c r="AM477" t="s">
        <v>109</v>
      </c>
      <c r="AN477" t="s">
        <v>292</v>
      </c>
      <c r="AO477">
        <v>2015</v>
      </c>
      <c r="AP477">
        <v>2015</v>
      </c>
      <c r="AQ477">
        <f t="shared" si="23"/>
        <v>0</v>
      </c>
      <c r="AR477" t="s">
        <v>87</v>
      </c>
    </row>
    <row r="478" spans="1:44" x14ac:dyDescent="0.25">
      <c r="A478">
        <v>67</v>
      </c>
      <c r="B478" t="str">
        <f t="shared" si="21"/>
        <v>5-10 years</v>
      </c>
      <c r="C478">
        <v>29</v>
      </c>
      <c r="D478" t="str" cm="1">
        <f t="array" ref="D478">_xlfn.IFS(C478&lt;26, "19-25", C478&lt;33, "26-32", C478&lt;40, "33-39", C478&lt;47, "40-46",C478&lt;54, "47-53", TRUE, "54+")</f>
        <v>26-32</v>
      </c>
      <c r="E478">
        <v>662256</v>
      </c>
      <c r="F478" s="1">
        <v>35016</v>
      </c>
      <c r="G478" t="s">
        <v>88</v>
      </c>
      <c r="H478" t="s">
        <v>45</v>
      </c>
      <c r="I478">
        <v>1000</v>
      </c>
      <c r="J478">
        <v>1861.43</v>
      </c>
      <c r="K478">
        <v>0</v>
      </c>
      <c r="L478">
        <v>461514</v>
      </c>
      <c r="M478" t="s">
        <v>46</v>
      </c>
      <c r="N478" t="s">
        <v>136</v>
      </c>
      <c r="O478" t="s">
        <v>190</v>
      </c>
      <c r="P478" t="s">
        <v>178</v>
      </c>
      <c r="Q478" t="s">
        <v>50</v>
      </c>
      <c r="R478">
        <v>60400</v>
      </c>
      <c r="S478">
        <v>-67800</v>
      </c>
      <c r="T478" s="1">
        <v>42019</v>
      </c>
      <c r="U478" t="s">
        <v>51</v>
      </c>
      <c r="V478" t="s">
        <v>81</v>
      </c>
      <c r="W478" t="s">
        <v>53</v>
      </c>
      <c r="X478" t="s">
        <v>125</v>
      </c>
      <c r="Y478" t="s">
        <v>55</v>
      </c>
      <c r="Z478" t="s">
        <v>56</v>
      </c>
      <c r="AA478" t="s">
        <v>660</v>
      </c>
      <c r="AB478">
        <v>16</v>
      </c>
      <c r="AC478" t="str">
        <f t="shared" si="22"/>
        <v>Afternoon</v>
      </c>
      <c r="AD478">
        <v>1</v>
      </c>
      <c r="AE478" t="s">
        <v>84</v>
      </c>
      <c r="AF478">
        <v>0</v>
      </c>
      <c r="AG478">
        <v>3</v>
      </c>
      <c r="AH478" t="s">
        <v>58</v>
      </c>
      <c r="AI478">
        <v>63800</v>
      </c>
      <c r="AJ478">
        <v>6380</v>
      </c>
      <c r="AK478">
        <v>6380</v>
      </c>
      <c r="AL478">
        <v>51040</v>
      </c>
      <c r="AM478" t="s">
        <v>59</v>
      </c>
      <c r="AN478" t="s">
        <v>60</v>
      </c>
      <c r="AO478">
        <v>2015</v>
      </c>
      <c r="AP478">
        <v>1998</v>
      </c>
      <c r="AQ478">
        <f t="shared" si="23"/>
        <v>17</v>
      </c>
      <c r="AR478" t="s">
        <v>61</v>
      </c>
    </row>
    <row r="479" spans="1:44" x14ac:dyDescent="0.25">
      <c r="A479">
        <v>380</v>
      </c>
      <c r="B479" t="str">
        <f t="shared" si="21"/>
        <v>10+ years</v>
      </c>
      <c r="C479">
        <v>56</v>
      </c>
      <c r="D479" t="str" cm="1">
        <f t="array" ref="D479">_xlfn.IFS(C479&lt;26, "19-25", C479&lt;33, "26-32", C479&lt;40, "33-39", C479&lt;47, "40-46",C479&lt;54, "47-53", TRUE, "54+")</f>
        <v>54+</v>
      </c>
      <c r="E479">
        <v>971338</v>
      </c>
      <c r="F479" s="1">
        <v>38295</v>
      </c>
      <c r="G479" t="s">
        <v>44</v>
      </c>
      <c r="H479" t="s">
        <v>74</v>
      </c>
      <c r="I479">
        <v>1000</v>
      </c>
      <c r="J479">
        <v>1570.86</v>
      </c>
      <c r="K479">
        <v>0</v>
      </c>
      <c r="L479">
        <v>454685</v>
      </c>
      <c r="M479" t="s">
        <v>46</v>
      </c>
      <c r="N479" t="s">
        <v>47</v>
      </c>
      <c r="O479" t="s">
        <v>194</v>
      </c>
      <c r="P479" t="s">
        <v>247</v>
      </c>
      <c r="Q479" t="s">
        <v>65</v>
      </c>
      <c r="R479">
        <v>66000</v>
      </c>
      <c r="S479">
        <v>0</v>
      </c>
      <c r="T479" s="1">
        <v>42009</v>
      </c>
      <c r="U479" t="s">
        <v>51</v>
      </c>
      <c r="V479" t="s">
        <v>52</v>
      </c>
      <c r="W479" t="s">
        <v>112</v>
      </c>
      <c r="X479" t="s">
        <v>54</v>
      </c>
      <c r="Y479" t="s">
        <v>69</v>
      </c>
      <c r="Z479" t="s">
        <v>132</v>
      </c>
      <c r="AA479" t="s">
        <v>661</v>
      </c>
      <c r="AB479">
        <v>10</v>
      </c>
      <c r="AC479" t="str">
        <f t="shared" si="22"/>
        <v>Morning</v>
      </c>
      <c r="AD479">
        <v>1</v>
      </c>
      <c r="AE479" t="s">
        <v>67</v>
      </c>
      <c r="AF479">
        <v>0</v>
      </c>
      <c r="AG479">
        <v>1</v>
      </c>
      <c r="AH479" t="s">
        <v>58</v>
      </c>
      <c r="AI479">
        <v>58160</v>
      </c>
      <c r="AJ479">
        <v>7270</v>
      </c>
      <c r="AK479">
        <v>7270</v>
      </c>
      <c r="AL479">
        <v>43620</v>
      </c>
      <c r="AM479" t="s">
        <v>59</v>
      </c>
      <c r="AN479">
        <v>95</v>
      </c>
      <c r="AO479">
        <v>2015</v>
      </c>
      <c r="AP479">
        <v>1996</v>
      </c>
      <c r="AQ479">
        <f t="shared" si="23"/>
        <v>19</v>
      </c>
      <c r="AR479" t="s">
        <v>61</v>
      </c>
    </row>
    <row r="480" spans="1:44" x14ac:dyDescent="0.25">
      <c r="A480">
        <v>389</v>
      </c>
      <c r="B480" t="str">
        <f t="shared" si="21"/>
        <v>10+ years</v>
      </c>
      <c r="C480">
        <v>53</v>
      </c>
      <c r="D480" t="str" cm="1">
        <f t="array" ref="D480">_xlfn.IFS(C480&lt;26, "19-25", C480&lt;33, "26-32", C480&lt;40, "33-39", C480&lt;47, "40-46",C480&lt;54, "47-53", TRUE, "54+")</f>
        <v>47-53</v>
      </c>
      <c r="E480">
        <v>714738</v>
      </c>
      <c r="F480" s="1">
        <v>35875</v>
      </c>
      <c r="G480" t="s">
        <v>88</v>
      </c>
      <c r="H480" t="s">
        <v>96</v>
      </c>
      <c r="I480">
        <v>2000</v>
      </c>
      <c r="J480">
        <v>791.47</v>
      </c>
      <c r="K480">
        <v>0</v>
      </c>
      <c r="L480">
        <v>477260</v>
      </c>
      <c r="M480" t="s">
        <v>46</v>
      </c>
      <c r="N480" t="s">
        <v>129</v>
      </c>
      <c r="O480" t="s">
        <v>89</v>
      </c>
      <c r="P480" t="s">
        <v>173</v>
      </c>
      <c r="Q480" t="s">
        <v>90</v>
      </c>
      <c r="R480">
        <v>0</v>
      </c>
      <c r="S480">
        <v>0</v>
      </c>
      <c r="T480" s="1">
        <v>42005</v>
      </c>
      <c r="U480" t="s">
        <v>66</v>
      </c>
      <c r="V480" t="s">
        <v>67</v>
      </c>
      <c r="W480" t="s">
        <v>68</v>
      </c>
      <c r="X480" t="s">
        <v>54</v>
      </c>
      <c r="Y480" t="s">
        <v>126</v>
      </c>
      <c r="Z480" t="s">
        <v>70</v>
      </c>
      <c r="AA480" t="s">
        <v>662</v>
      </c>
      <c r="AB480">
        <v>6</v>
      </c>
      <c r="AC480" t="str">
        <f t="shared" si="22"/>
        <v>Morning</v>
      </c>
      <c r="AD480">
        <v>1</v>
      </c>
      <c r="AE480" t="s">
        <v>84</v>
      </c>
      <c r="AF480">
        <v>1</v>
      </c>
      <c r="AG480">
        <v>2</v>
      </c>
      <c r="AH480" t="s">
        <v>84</v>
      </c>
      <c r="AI480">
        <v>6300</v>
      </c>
      <c r="AJ480">
        <v>630</v>
      </c>
      <c r="AK480">
        <v>1260</v>
      </c>
      <c r="AL480">
        <v>4410</v>
      </c>
      <c r="AM480" t="s">
        <v>72</v>
      </c>
      <c r="AN480" t="s">
        <v>198</v>
      </c>
      <c r="AO480">
        <v>2015</v>
      </c>
      <c r="AP480">
        <v>2001</v>
      </c>
      <c r="AQ480">
        <f t="shared" si="23"/>
        <v>14</v>
      </c>
      <c r="AR480" t="s">
        <v>61</v>
      </c>
    </row>
    <row r="481" spans="1:44" x14ac:dyDescent="0.25">
      <c r="A481">
        <v>317</v>
      </c>
      <c r="B481" t="str">
        <f t="shared" si="21"/>
        <v>10+ years</v>
      </c>
      <c r="C481">
        <v>46</v>
      </c>
      <c r="D481" t="str" cm="1">
        <f t="array" ref="D481">_xlfn.IFS(C481&lt;26, "19-25", C481&lt;33, "26-32", C481&lt;40, "33-39", C481&lt;47, "40-46",C481&lt;54, "47-53", TRUE, "54+")</f>
        <v>40-46</v>
      </c>
      <c r="E481">
        <v>753844</v>
      </c>
      <c r="F481" s="1">
        <v>36363</v>
      </c>
      <c r="G481" t="s">
        <v>62</v>
      </c>
      <c r="H481" t="s">
        <v>45</v>
      </c>
      <c r="I481">
        <v>1000</v>
      </c>
      <c r="J481">
        <v>1012.78</v>
      </c>
      <c r="K481">
        <v>0</v>
      </c>
      <c r="L481">
        <v>469126</v>
      </c>
      <c r="M481" t="s">
        <v>46</v>
      </c>
      <c r="N481" t="s">
        <v>47</v>
      </c>
      <c r="O481" t="s">
        <v>77</v>
      </c>
      <c r="P481" t="s">
        <v>160</v>
      </c>
      <c r="Q481" t="s">
        <v>65</v>
      </c>
      <c r="R481">
        <v>43700</v>
      </c>
      <c r="S481">
        <v>0</v>
      </c>
      <c r="T481" s="1">
        <v>42030</v>
      </c>
      <c r="U481" t="s">
        <v>51</v>
      </c>
      <c r="V481" t="s">
        <v>91</v>
      </c>
      <c r="W481" t="s">
        <v>53</v>
      </c>
      <c r="X481" t="s">
        <v>104</v>
      </c>
      <c r="Y481" t="s">
        <v>118</v>
      </c>
      <c r="Z481" t="s">
        <v>92</v>
      </c>
      <c r="AA481" t="s">
        <v>663</v>
      </c>
      <c r="AB481">
        <v>18</v>
      </c>
      <c r="AC481" t="str">
        <f t="shared" si="22"/>
        <v>Evening</v>
      </c>
      <c r="AD481">
        <v>1</v>
      </c>
      <c r="AE481" t="s">
        <v>84</v>
      </c>
      <c r="AF481">
        <v>2</v>
      </c>
      <c r="AG481">
        <v>1</v>
      </c>
      <c r="AH481" t="s">
        <v>84</v>
      </c>
      <c r="AI481">
        <v>104610</v>
      </c>
      <c r="AJ481">
        <v>19020</v>
      </c>
      <c r="AK481">
        <v>19020</v>
      </c>
      <c r="AL481">
        <v>66570</v>
      </c>
      <c r="AM481" t="s">
        <v>72</v>
      </c>
      <c r="AN481" t="s">
        <v>276</v>
      </c>
      <c r="AO481">
        <v>2015</v>
      </c>
      <c r="AP481">
        <v>1999</v>
      </c>
      <c r="AQ481">
        <f t="shared" si="23"/>
        <v>16</v>
      </c>
      <c r="AR481" t="s">
        <v>61</v>
      </c>
    </row>
    <row r="482" spans="1:44" x14ac:dyDescent="0.25">
      <c r="A482">
        <v>264</v>
      </c>
      <c r="B482" t="str">
        <f t="shared" si="21"/>
        <v>10+ years</v>
      </c>
      <c r="C482">
        <v>44</v>
      </c>
      <c r="D482" t="str" cm="1">
        <f t="array" ref="D482">_xlfn.IFS(C482&lt;26, "19-25", C482&lt;33, "26-32", C482&lt;40, "33-39", C482&lt;47, "40-46",C482&lt;54, "47-53", TRUE, "54+")</f>
        <v>40-46</v>
      </c>
      <c r="E482">
        <v>976645</v>
      </c>
      <c r="F482" s="1">
        <v>40237</v>
      </c>
      <c r="G482" t="s">
        <v>88</v>
      </c>
      <c r="H482" t="s">
        <v>74</v>
      </c>
      <c r="I482">
        <v>500</v>
      </c>
      <c r="J482">
        <v>1047.06</v>
      </c>
      <c r="K482">
        <v>6000000</v>
      </c>
      <c r="L482">
        <v>443402</v>
      </c>
      <c r="M482" t="s">
        <v>46</v>
      </c>
      <c r="N482" t="s">
        <v>146</v>
      </c>
      <c r="O482" t="s">
        <v>130</v>
      </c>
      <c r="P482" t="s">
        <v>49</v>
      </c>
      <c r="Q482" t="s">
        <v>124</v>
      </c>
      <c r="R482">
        <v>0</v>
      </c>
      <c r="S482">
        <v>0</v>
      </c>
      <c r="T482" s="1">
        <v>42048</v>
      </c>
      <c r="U482" t="s">
        <v>80</v>
      </c>
      <c r="V482" t="s">
        <v>81</v>
      </c>
      <c r="W482" t="s">
        <v>53</v>
      </c>
      <c r="X482" t="s">
        <v>104</v>
      </c>
      <c r="Y482" t="s">
        <v>55</v>
      </c>
      <c r="Z482" t="s">
        <v>107</v>
      </c>
      <c r="AA482" t="s">
        <v>664</v>
      </c>
      <c r="AB482">
        <v>20</v>
      </c>
      <c r="AC482" t="str">
        <f t="shared" si="22"/>
        <v>Evening</v>
      </c>
      <c r="AD482">
        <v>3</v>
      </c>
      <c r="AE482" t="s">
        <v>84</v>
      </c>
      <c r="AF482">
        <v>0</v>
      </c>
      <c r="AG482">
        <v>2</v>
      </c>
      <c r="AH482" t="s">
        <v>84</v>
      </c>
      <c r="AI482">
        <v>69850</v>
      </c>
      <c r="AJ482">
        <v>12700</v>
      </c>
      <c r="AK482">
        <v>6350</v>
      </c>
      <c r="AL482">
        <v>50800</v>
      </c>
      <c r="AM482" t="s">
        <v>134</v>
      </c>
      <c r="AN482" t="s">
        <v>254</v>
      </c>
      <c r="AO482">
        <v>2015</v>
      </c>
      <c r="AP482">
        <v>1999</v>
      </c>
      <c r="AQ482">
        <f t="shared" si="23"/>
        <v>16</v>
      </c>
      <c r="AR482" t="s">
        <v>87</v>
      </c>
    </row>
    <row r="483" spans="1:44" x14ac:dyDescent="0.25">
      <c r="A483">
        <v>20</v>
      </c>
      <c r="B483" t="str">
        <f t="shared" si="21"/>
        <v>0-2 years</v>
      </c>
      <c r="C483">
        <v>21</v>
      </c>
      <c r="D483" t="str" cm="1">
        <f t="array" ref="D483">_xlfn.IFS(C483&lt;26, "19-25", C483&lt;33, "26-32", C483&lt;40, "33-39", C483&lt;47, "40-46",C483&lt;54, "47-53", TRUE, "54+")</f>
        <v>19-25</v>
      </c>
      <c r="E483">
        <v>918037</v>
      </c>
      <c r="F483" s="1">
        <v>38382</v>
      </c>
      <c r="G483" t="s">
        <v>44</v>
      </c>
      <c r="H483" t="s">
        <v>45</v>
      </c>
      <c r="I483">
        <v>1000</v>
      </c>
      <c r="J483">
        <v>1390.29</v>
      </c>
      <c r="K483">
        <v>0</v>
      </c>
      <c r="L483">
        <v>479408</v>
      </c>
      <c r="M483" t="s">
        <v>75</v>
      </c>
      <c r="N483" t="s">
        <v>129</v>
      </c>
      <c r="O483" t="s">
        <v>122</v>
      </c>
      <c r="P483" t="s">
        <v>178</v>
      </c>
      <c r="Q483" t="s">
        <v>65</v>
      </c>
      <c r="R483">
        <v>0</v>
      </c>
      <c r="S483">
        <v>-41200</v>
      </c>
      <c r="T483" s="1">
        <v>42018</v>
      </c>
      <c r="U483" t="s">
        <v>51</v>
      </c>
      <c r="V483" t="s">
        <v>81</v>
      </c>
      <c r="W483" t="s">
        <v>68</v>
      </c>
      <c r="X483" t="s">
        <v>104</v>
      </c>
      <c r="Y483" t="s">
        <v>180</v>
      </c>
      <c r="Z483" t="s">
        <v>161</v>
      </c>
      <c r="AA483" t="s">
        <v>665</v>
      </c>
      <c r="AB483">
        <v>14</v>
      </c>
      <c r="AC483" t="str">
        <f t="shared" si="22"/>
        <v>Afternoon</v>
      </c>
      <c r="AD483">
        <v>1</v>
      </c>
      <c r="AE483" t="s">
        <v>84</v>
      </c>
      <c r="AF483">
        <v>0</v>
      </c>
      <c r="AG483">
        <v>0</v>
      </c>
      <c r="AH483" t="s">
        <v>67</v>
      </c>
      <c r="AI483">
        <v>62900</v>
      </c>
      <c r="AJ483">
        <v>12580</v>
      </c>
      <c r="AK483">
        <v>6290</v>
      </c>
      <c r="AL483">
        <v>44030</v>
      </c>
      <c r="AM483" t="s">
        <v>100</v>
      </c>
      <c r="AN483" t="s">
        <v>153</v>
      </c>
      <c r="AO483">
        <v>2015</v>
      </c>
      <c r="AP483">
        <v>2006</v>
      </c>
      <c r="AQ483">
        <f t="shared" si="23"/>
        <v>9</v>
      </c>
      <c r="AR483" t="s">
        <v>87</v>
      </c>
    </row>
    <row r="484" spans="1:44" x14ac:dyDescent="0.25">
      <c r="A484">
        <v>116</v>
      </c>
      <c r="B484" t="str">
        <f t="shared" si="21"/>
        <v>5-10 years</v>
      </c>
      <c r="C484">
        <v>30</v>
      </c>
      <c r="D484" t="str" cm="1">
        <f t="array" ref="D484">_xlfn.IFS(C484&lt;26, "19-25", C484&lt;33, "26-32", C484&lt;40, "33-39", C484&lt;47, "40-46",C484&lt;54, "47-53", TRUE, "54+")</f>
        <v>26-32</v>
      </c>
      <c r="E484">
        <v>996253</v>
      </c>
      <c r="F484" s="1">
        <v>37224</v>
      </c>
      <c r="G484" t="s">
        <v>62</v>
      </c>
      <c r="H484" t="s">
        <v>96</v>
      </c>
      <c r="I484">
        <v>500</v>
      </c>
      <c r="J484">
        <v>951.46</v>
      </c>
      <c r="K484">
        <v>0</v>
      </c>
      <c r="L484">
        <v>467227</v>
      </c>
      <c r="M484" t="s">
        <v>46</v>
      </c>
      <c r="N484" t="s">
        <v>166</v>
      </c>
      <c r="O484" t="s">
        <v>164</v>
      </c>
      <c r="P484" t="s">
        <v>117</v>
      </c>
      <c r="Q484" t="s">
        <v>147</v>
      </c>
      <c r="R484">
        <v>0</v>
      </c>
      <c r="S484">
        <v>-35500</v>
      </c>
      <c r="T484" s="1">
        <v>42035</v>
      </c>
      <c r="U484" t="s">
        <v>80</v>
      </c>
      <c r="V484" t="s">
        <v>91</v>
      </c>
      <c r="W484" t="s">
        <v>53</v>
      </c>
      <c r="X484" t="s">
        <v>125</v>
      </c>
      <c r="Y484" t="s">
        <v>118</v>
      </c>
      <c r="Z484" t="s">
        <v>70</v>
      </c>
      <c r="AA484" t="s">
        <v>666</v>
      </c>
      <c r="AB484">
        <v>8</v>
      </c>
      <c r="AC484" t="str">
        <f t="shared" si="22"/>
        <v>Morning</v>
      </c>
      <c r="AD484">
        <v>3</v>
      </c>
      <c r="AE484" t="s">
        <v>84</v>
      </c>
      <c r="AF484">
        <v>0</v>
      </c>
      <c r="AG484">
        <v>3</v>
      </c>
      <c r="AH484" t="s">
        <v>67</v>
      </c>
      <c r="AI484">
        <v>59670</v>
      </c>
      <c r="AJ484">
        <v>6630</v>
      </c>
      <c r="AK484">
        <v>6630</v>
      </c>
      <c r="AL484">
        <v>46410</v>
      </c>
      <c r="AM484" t="s">
        <v>219</v>
      </c>
      <c r="AN484" t="s">
        <v>220</v>
      </c>
      <c r="AO484">
        <v>2015</v>
      </c>
      <c r="AP484">
        <v>2004</v>
      </c>
      <c r="AQ484">
        <f t="shared" si="23"/>
        <v>11</v>
      </c>
      <c r="AR484" t="s">
        <v>61</v>
      </c>
    </row>
    <row r="485" spans="1:44" x14ac:dyDescent="0.25">
      <c r="A485">
        <v>222</v>
      </c>
      <c r="B485" t="str">
        <f t="shared" si="21"/>
        <v>10+ years</v>
      </c>
      <c r="C485">
        <v>40</v>
      </c>
      <c r="D485" t="str" cm="1">
        <f t="array" ref="D485">_xlfn.IFS(C485&lt;26, "19-25", C485&lt;33, "26-32", C485&lt;40, "33-39", C485&lt;47, "40-46",C485&lt;54, "47-53", TRUE, "54+")</f>
        <v>40-46</v>
      </c>
      <c r="E485">
        <v>373731</v>
      </c>
      <c r="F485" s="1">
        <v>41267</v>
      </c>
      <c r="G485" t="s">
        <v>88</v>
      </c>
      <c r="H485" t="s">
        <v>74</v>
      </c>
      <c r="I485">
        <v>1000</v>
      </c>
      <c r="J485">
        <v>1226.78</v>
      </c>
      <c r="K485">
        <v>0</v>
      </c>
      <c r="L485">
        <v>468433</v>
      </c>
      <c r="M485" t="s">
        <v>46</v>
      </c>
      <c r="N485" t="s">
        <v>166</v>
      </c>
      <c r="O485" t="s">
        <v>89</v>
      </c>
      <c r="P485" t="s">
        <v>123</v>
      </c>
      <c r="Q485" t="s">
        <v>90</v>
      </c>
      <c r="R485">
        <v>49600</v>
      </c>
      <c r="S485">
        <v>-49200</v>
      </c>
      <c r="T485" s="1">
        <v>42026</v>
      </c>
      <c r="U485" t="s">
        <v>80</v>
      </c>
      <c r="V485" t="s">
        <v>81</v>
      </c>
      <c r="W485" t="s">
        <v>68</v>
      </c>
      <c r="X485" t="s">
        <v>125</v>
      </c>
      <c r="Y485" t="s">
        <v>82</v>
      </c>
      <c r="Z485" t="s">
        <v>107</v>
      </c>
      <c r="AA485" t="s">
        <v>667</v>
      </c>
      <c r="AB485">
        <v>17</v>
      </c>
      <c r="AC485" t="str">
        <f t="shared" si="22"/>
        <v>Afternoon</v>
      </c>
      <c r="AD485">
        <v>2</v>
      </c>
      <c r="AE485" t="s">
        <v>58</v>
      </c>
      <c r="AF485">
        <v>2</v>
      </c>
      <c r="AG485">
        <v>0</v>
      </c>
      <c r="AH485" t="s">
        <v>67</v>
      </c>
      <c r="AI485">
        <v>81500</v>
      </c>
      <c r="AJ485">
        <v>16300</v>
      </c>
      <c r="AK485">
        <v>8150</v>
      </c>
      <c r="AL485">
        <v>57050</v>
      </c>
      <c r="AM485" t="s">
        <v>192</v>
      </c>
      <c r="AN485" t="s">
        <v>193</v>
      </c>
      <c r="AO485">
        <v>2015</v>
      </c>
      <c r="AP485">
        <v>2013</v>
      </c>
      <c r="AQ485">
        <f t="shared" si="23"/>
        <v>2</v>
      </c>
      <c r="AR485" t="s">
        <v>87</v>
      </c>
    </row>
    <row r="486" spans="1:44" x14ac:dyDescent="0.25">
      <c r="A486">
        <v>439</v>
      </c>
      <c r="B486" t="str">
        <f t="shared" si="21"/>
        <v>10+ years</v>
      </c>
      <c r="C486">
        <v>56</v>
      </c>
      <c r="D486" t="str" cm="1">
        <f t="array" ref="D486">_xlfn.IFS(C486&lt;26, "19-25", C486&lt;33, "26-32", C486&lt;40, "33-39", C486&lt;47, "40-46",C486&lt;54, "47-53", TRUE, "54+")</f>
        <v>54+</v>
      </c>
      <c r="E486">
        <v>836272</v>
      </c>
      <c r="F486" s="1">
        <v>35561</v>
      </c>
      <c r="G486" t="s">
        <v>44</v>
      </c>
      <c r="H486" t="s">
        <v>74</v>
      </c>
      <c r="I486">
        <v>500</v>
      </c>
      <c r="J486">
        <v>1280.9000000000001</v>
      </c>
      <c r="K486">
        <v>0</v>
      </c>
      <c r="L486">
        <v>604289</v>
      </c>
      <c r="M486" t="s">
        <v>46</v>
      </c>
      <c r="N486" t="s">
        <v>136</v>
      </c>
      <c r="O486" t="s">
        <v>89</v>
      </c>
      <c r="P486" t="s">
        <v>186</v>
      </c>
      <c r="Q486" t="s">
        <v>79</v>
      </c>
      <c r="R486">
        <v>48900</v>
      </c>
      <c r="S486">
        <v>-40900</v>
      </c>
      <c r="T486" s="1">
        <v>42034</v>
      </c>
      <c r="U486" t="s">
        <v>51</v>
      </c>
      <c r="V486" t="s">
        <v>81</v>
      </c>
      <c r="W486" t="s">
        <v>68</v>
      </c>
      <c r="X486" t="s">
        <v>141</v>
      </c>
      <c r="Y486" t="s">
        <v>126</v>
      </c>
      <c r="Z486" t="s">
        <v>107</v>
      </c>
      <c r="AA486" t="s">
        <v>668</v>
      </c>
      <c r="AB486">
        <v>9</v>
      </c>
      <c r="AC486" t="str">
        <f t="shared" si="22"/>
        <v>Morning</v>
      </c>
      <c r="AD486">
        <v>1</v>
      </c>
      <c r="AE486" t="s">
        <v>84</v>
      </c>
      <c r="AF486">
        <v>2</v>
      </c>
      <c r="AG486">
        <v>0</v>
      </c>
      <c r="AH486" t="s">
        <v>67</v>
      </c>
      <c r="AI486">
        <v>50000</v>
      </c>
      <c r="AJ486">
        <v>15000</v>
      </c>
      <c r="AK486">
        <v>5000</v>
      </c>
      <c r="AL486">
        <v>30000</v>
      </c>
      <c r="AM486" t="s">
        <v>202</v>
      </c>
      <c r="AN486" t="s">
        <v>203</v>
      </c>
      <c r="AO486">
        <v>2015</v>
      </c>
      <c r="AP486">
        <v>2009</v>
      </c>
      <c r="AQ486">
        <f t="shared" si="23"/>
        <v>6</v>
      </c>
      <c r="AR486" t="s">
        <v>87</v>
      </c>
    </row>
    <row r="487" spans="1:44" x14ac:dyDescent="0.25">
      <c r="A487">
        <v>66</v>
      </c>
      <c r="B487" t="str">
        <f t="shared" si="21"/>
        <v>5-10 years</v>
      </c>
      <c r="C487">
        <v>28</v>
      </c>
      <c r="D487" t="str" cm="1">
        <f t="array" ref="D487">_xlfn.IFS(C487&lt;26, "19-25", C487&lt;33, "26-32", C487&lt;40, "33-39", C487&lt;47, "40-46",C487&lt;54, "47-53", TRUE, "54+")</f>
        <v>26-32</v>
      </c>
      <c r="E487">
        <v>167231</v>
      </c>
      <c r="F487" s="1">
        <v>34360</v>
      </c>
      <c r="G487" t="s">
        <v>62</v>
      </c>
      <c r="H487" t="s">
        <v>74</v>
      </c>
      <c r="I487">
        <v>2000</v>
      </c>
      <c r="J487">
        <v>1472.77</v>
      </c>
      <c r="K487">
        <v>0</v>
      </c>
      <c r="L487">
        <v>471366</v>
      </c>
      <c r="M487" t="s">
        <v>46</v>
      </c>
      <c r="N487" t="s">
        <v>97</v>
      </c>
      <c r="O487" t="s">
        <v>190</v>
      </c>
      <c r="P487" t="s">
        <v>269</v>
      </c>
      <c r="Q487" t="s">
        <v>50</v>
      </c>
      <c r="R487">
        <v>0</v>
      </c>
      <c r="S487">
        <v>-31700</v>
      </c>
      <c r="T487" s="1">
        <v>42052</v>
      </c>
      <c r="U487" t="s">
        <v>51</v>
      </c>
      <c r="V487" t="s">
        <v>91</v>
      </c>
      <c r="W487" t="s">
        <v>112</v>
      </c>
      <c r="X487" t="s">
        <v>125</v>
      </c>
      <c r="Y487" t="s">
        <v>82</v>
      </c>
      <c r="Z487" t="s">
        <v>107</v>
      </c>
      <c r="AA487" t="s">
        <v>669</v>
      </c>
      <c r="AB487">
        <v>0</v>
      </c>
      <c r="AC487" t="str">
        <f t="shared" si="22"/>
        <v>Night</v>
      </c>
      <c r="AD487">
        <v>1</v>
      </c>
      <c r="AE487" t="s">
        <v>67</v>
      </c>
      <c r="AF487">
        <v>2</v>
      </c>
      <c r="AG487">
        <v>1</v>
      </c>
      <c r="AH487" t="s">
        <v>67</v>
      </c>
      <c r="AI487">
        <v>48290</v>
      </c>
      <c r="AJ487">
        <v>8780</v>
      </c>
      <c r="AK487">
        <v>8780</v>
      </c>
      <c r="AL487">
        <v>30730</v>
      </c>
      <c r="AM487" t="s">
        <v>109</v>
      </c>
      <c r="AN487" t="s">
        <v>156</v>
      </c>
      <c r="AO487">
        <v>2015</v>
      </c>
      <c r="AP487">
        <v>1995</v>
      </c>
      <c r="AQ487">
        <f t="shared" si="23"/>
        <v>20</v>
      </c>
      <c r="AR487" t="s">
        <v>87</v>
      </c>
    </row>
    <row r="488" spans="1:44" x14ac:dyDescent="0.25">
      <c r="A488">
        <v>128</v>
      </c>
      <c r="B488" t="str">
        <f t="shared" si="21"/>
        <v>10+ years</v>
      </c>
      <c r="C488">
        <v>29</v>
      </c>
      <c r="D488" t="str" cm="1">
        <f t="array" ref="D488">_xlfn.IFS(C488&lt;26, "19-25", C488&lt;33, "26-32", C488&lt;40, "33-39", C488&lt;47, "40-46",C488&lt;54, "47-53", TRUE, "54+")</f>
        <v>26-32</v>
      </c>
      <c r="E488">
        <v>743330</v>
      </c>
      <c r="F488" s="1">
        <v>40486</v>
      </c>
      <c r="G488" t="s">
        <v>44</v>
      </c>
      <c r="H488" t="s">
        <v>96</v>
      </c>
      <c r="I488">
        <v>1000</v>
      </c>
      <c r="J488">
        <v>1878.44</v>
      </c>
      <c r="K488">
        <v>0</v>
      </c>
      <c r="L488">
        <v>450746</v>
      </c>
      <c r="M488" t="s">
        <v>46</v>
      </c>
      <c r="N488" t="s">
        <v>136</v>
      </c>
      <c r="O488" t="s">
        <v>116</v>
      </c>
      <c r="P488" t="s">
        <v>117</v>
      </c>
      <c r="Q488" t="s">
        <v>50</v>
      </c>
      <c r="R488">
        <v>0</v>
      </c>
      <c r="S488">
        <v>-76000</v>
      </c>
      <c r="T488" s="1">
        <v>42055</v>
      </c>
      <c r="U488" t="s">
        <v>51</v>
      </c>
      <c r="V488" t="s">
        <v>81</v>
      </c>
      <c r="W488" t="s">
        <v>112</v>
      </c>
      <c r="X488" t="s">
        <v>104</v>
      </c>
      <c r="Y488" t="s">
        <v>69</v>
      </c>
      <c r="Z488" t="s">
        <v>70</v>
      </c>
      <c r="AA488" t="s">
        <v>670</v>
      </c>
      <c r="AB488">
        <v>2</v>
      </c>
      <c r="AC488" t="str">
        <f t="shared" si="22"/>
        <v>Night</v>
      </c>
      <c r="AD488">
        <v>1</v>
      </c>
      <c r="AE488" t="s">
        <v>84</v>
      </c>
      <c r="AF488">
        <v>0</v>
      </c>
      <c r="AG488">
        <v>0</v>
      </c>
      <c r="AH488" t="s">
        <v>67</v>
      </c>
      <c r="AI488">
        <v>59070</v>
      </c>
      <c r="AJ488">
        <v>5370</v>
      </c>
      <c r="AK488">
        <v>5370</v>
      </c>
      <c r="AL488">
        <v>48330</v>
      </c>
      <c r="AM488" t="s">
        <v>94</v>
      </c>
      <c r="AN488" t="s">
        <v>250</v>
      </c>
      <c r="AO488">
        <v>2015</v>
      </c>
      <c r="AP488">
        <v>2003</v>
      </c>
      <c r="AQ488">
        <f t="shared" si="23"/>
        <v>12</v>
      </c>
      <c r="AR488" t="s">
        <v>87</v>
      </c>
    </row>
    <row r="489" spans="1:44" x14ac:dyDescent="0.25">
      <c r="A489">
        <v>69</v>
      </c>
      <c r="B489" t="str">
        <f t="shared" si="21"/>
        <v>5-10 years</v>
      </c>
      <c r="C489">
        <v>24</v>
      </c>
      <c r="D489" t="str" cm="1">
        <f t="array" ref="D489">_xlfn.IFS(C489&lt;26, "19-25", C489&lt;33, "26-32", C489&lt;40, "33-39", C489&lt;47, "40-46",C489&lt;54, "47-53", TRUE, "54+")</f>
        <v>19-25</v>
      </c>
      <c r="E489">
        <v>807369</v>
      </c>
      <c r="F489" s="1">
        <v>33774</v>
      </c>
      <c r="G489" t="s">
        <v>62</v>
      </c>
      <c r="H489" t="s">
        <v>96</v>
      </c>
      <c r="I489">
        <v>500</v>
      </c>
      <c r="J489">
        <v>1418.5</v>
      </c>
      <c r="K489">
        <v>0</v>
      </c>
      <c r="L489">
        <v>614948</v>
      </c>
      <c r="M489" t="s">
        <v>75</v>
      </c>
      <c r="N489" t="s">
        <v>136</v>
      </c>
      <c r="O489" t="s">
        <v>89</v>
      </c>
      <c r="P489" t="s">
        <v>160</v>
      </c>
      <c r="Q489" t="s">
        <v>65</v>
      </c>
      <c r="R489">
        <v>0</v>
      </c>
      <c r="S489">
        <v>0</v>
      </c>
      <c r="T489" s="1">
        <v>42039</v>
      </c>
      <c r="U489" t="s">
        <v>80</v>
      </c>
      <c r="V489" t="s">
        <v>81</v>
      </c>
      <c r="W489" t="s">
        <v>68</v>
      </c>
      <c r="X489" t="s">
        <v>54</v>
      </c>
      <c r="Y489" t="s">
        <v>82</v>
      </c>
      <c r="Z489" t="s">
        <v>107</v>
      </c>
      <c r="AA489" t="s">
        <v>671</v>
      </c>
      <c r="AB489">
        <v>23</v>
      </c>
      <c r="AC489" t="str">
        <f t="shared" si="22"/>
        <v>Evening</v>
      </c>
      <c r="AD489">
        <v>3</v>
      </c>
      <c r="AE489" t="s">
        <v>67</v>
      </c>
      <c r="AF489">
        <v>0</v>
      </c>
      <c r="AG489">
        <v>0</v>
      </c>
      <c r="AH489" t="s">
        <v>84</v>
      </c>
      <c r="AI489">
        <v>63300</v>
      </c>
      <c r="AJ489">
        <v>12660</v>
      </c>
      <c r="AK489">
        <v>6330</v>
      </c>
      <c r="AL489">
        <v>44310</v>
      </c>
      <c r="AM489" t="s">
        <v>85</v>
      </c>
      <c r="AN489" t="s">
        <v>86</v>
      </c>
      <c r="AO489">
        <v>2015</v>
      </c>
      <c r="AP489">
        <v>2012</v>
      </c>
      <c r="AQ489">
        <f t="shared" si="23"/>
        <v>3</v>
      </c>
      <c r="AR489" t="s">
        <v>87</v>
      </c>
    </row>
    <row r="490" spans="1:44" x14ac:dyDescent="0.25">
      <c r="A490">
        <v>294</v>
      </c>
      <c r="B490" t="str">
        <f t="shared" si="21"/>
        <v>10+ years</v>
      </c>
      <c r="C490">
        <v>46</v>
      </c>
      <c r="D490" t="str" cm="1">
        <f t="array" ref="D490">_xlfn.IFS(C490&lt;26, "19-25", C490&lt;33, "26-32", C490&lt;40, "33-39", C490&lt;47, "40-46",C490&lt;54, "47-53", TRUE, "54+")</f>
        <v>40-46</v>
      </c>
      <c r="E490">
        <v>735307</v>
      </c>
      <c r="F490" s="1">
        <v>40331</v>
      </c>
      <c r="G490" t="s">
        <v>88</v>
      </c>
      <c r="H490" t="s">
        <v>74</v>
      </c>
      <c r="I490">
        <v>500</v>
      </c>
      <c r="J490">
        <v>1532.8</v>
      </c>
      <c r="K490">
        <v>0</v>
      </c>
      <c r="L490">
        <v>473935</v>
      </c>
      <c r="M490" t="s">
        <v>46</v>
      </c>
      <c r="N490" t="s">
        <v>146</v>
      </c>
      <c r="O490" t="s">
        <v>106</v>
      </c>
      <c r="P490" t="s">
        <v>269</v>
      </c>
      <c r="Q490" t="s">
        <v>79</v>
      </c>
      <c r="R490">
        <v>0</v>
      </c>
      <c r="S490">
        <v>0</v>
      </c>
      <c r="T490" s="1">
        <v>42058</v>
      </c>
      <c r="U490" t="s">
        <v>51</v>
      </c>
      <c r="V490" t="s">
        <v>52</v>
      </c>
      <c r="W490" t="s">
        <v>112</v>
      </c>
      <c r="X490" t="s">
        <v>125</v>
      </c>
      <c r="Y490" t="s">
        <v>55</v>
      </c>
      <c r="Z490" t="s">
        <v>132</v>
      </c>
      <c r="AA490" t="s">
        <v>672</v>
      </c>
      <c r="AB490">
        <v>8</v>
      </c>
      <c r="AC490" t="str">
        <f t="shared" si="22"/>
        <v>Morning</v>
      </c>
      <c r="AD490">
        <v>1</v>
      </c>
      <c r="AE490" t="s">
        <v>84</v>
      </c>
      <c r="AF490">
        <v>0</v>
      </c>
      <c r="AG490">
        <v>3</v>
      </c>
      <c r="AH490" t="s">
        <v>58</v>
      </c>
      <c r="AI490">
        <v>65780</v>
      </c>
      <c r="AJ490">
        <v>11960</v>
      </c>
      <c r="AK490">
        <v>11960</v>
      </c>
      <c r="AL490">
        <v>41860</v>
      </c>
      <c r="AM490" t="s">
        <v>72</v>
      </c>
      <c r="AN490" t="s">
        <v>276</v>
      </c>
      <c r="AO490">
        <v>2015</v>
      </c>
      <c r="AP490">
        <v>2013</v>
      </c>
      <c r="AQ490">
        <f t="shared" si="23"/>
        <v>2</v>
      </c>
      <c r="AR490" t="s">
        <v>87</v>
      </c>
    </row>
    <row r="491" spans="1:44" x14ac:dyDescent="0.25">
      <c r="A491">
        <v>19</v>
      </c>
      <c r="B491" t="str">
        <f t="shared" si="21"/>
        <v>0-2 years</v>
      </c>
      <c r="C491">
        <v>29</v>
      </c>
      <c r="D491" t="str" cm="1">
        <f t="array" ref="D491">_xlfn.IFS(C491&lt;26, "19-25", C491&lt;33, "26-32", C491&lt;40, "33-39", C491&lt;47, "40-46",C491&lt;54, "47-53", TRUE, "54+")</f>
        <v>26-32</v>
      </c>
      <c r="E491">
        <v>789208</v>
      </c>
      <c r="F491" s="1">
        <v>37541</v>
      </c>
      <c r="G491" t="s">
        <v>44</v>
      </c>
      <c r="H491" t="s">
        <v>45</v>
      </c>
      <c r="I491">
        <v>500</v>
      </c>
      <c r="J491">
        <v>1304.3499999999999</v>
      </c>
      <c r="K491">
        <v>0</v>
      </c>
      <c r="L491">
        <v>617267</v>
      </c>
      <c r="M491" t="s">
        <v>46</v>
      </c>
      <c r="N491" t="s">
        <v>166</v>
      </c>
      <c r="O491" t="s">
        <v>150</v>
      </c>
      <c r="P491" t="s">
        <v>247</v>
      </c>
      <c r="Q491" t="s">
        <v>147</v>
      </c>
      <c r="R491">
        <v>0</v>
      </c>
      <c r="S491">
        <v>0</v>
      </c>
      <c r="T491" s="1">
        <v>42043</v>
      </c>
      <c r="U491" t="s">
        <v>80</v>
      </c>
      <c r="V491" t="s">
        <v>91</v>
      </c>
      <c r="W491" t="s">
        <v>112</v>
      </c>
      <c r="X491" t="s">
        <v>141</v>
      </c>
      <c r="Y491" t="s">
        <v>82</v>
      </c>
      <c r="Z491" t="s">
        <v>56</v>
      </c>
      <c r="AA491" t="s">
        <v>673</v>
      </c>
      <c r="AB491">
        <v>6</v>
      </c>
      <c r="AC491" t="str">
        <f t="shared" si="22"/>
        <v>Morning</v>
      </c>
      <c r="AD491">
        <v>3</v>
      </c>
      <c r="AE491" t="s">
        <v>84</v>
      </c>
      <c r="AF491">
        <v>0</v>
      </c>
      <c r="AG491">
        <v>2</v>
      </c>
      <c r="AH491" t="s">
        <v>67</v>
      </c>
      <c r="AI491">
        <v>75400</v>
      </c>
      <c r="AJ491">
        <v>11600</v>
      </c>
      <c r="AK491">
        <v>11600</v>
      </c>
      <c r="AL491">
        <v>52200</v>
      </c>
      <c r="AM491" t="s">
        <v>85</v>
      </c>
      <c r="AN491" t="s">
        <v>149</v>
      </c>
      <c r="AO491">
        <v>2015</v>
      </c>
      <c r="AP491">
        <v>2005</v>
      </c>
      <c r="AQ491">
        <f t="shared" si="23"/>
        <v>10</v>
      </c>
      <c r="AR491" t="s">
        <v>61</v>
      </c>
    </row>
    <row r="492" spans="1:44" x14ac:dyDescent="0.25">
      <c r="A492">
        <v>191</v>
      </c>
      <c r="B492" t="str">
        <f t="shared" si="21"/>
        <v>10+ years</v>
      </c>
      <c r="C492">
        <v>33</v>
      </c>
      <c r="D492" t="str" cm="1">
        <f t="array" ref="D492">_xlfn.IFS(C492&lt;26, "19-25", C492&lt;33, "26-32", C492&lt;40, "33-39", C492&lt;47, "40-46",C492&lt;54, "47-53", TRUE, "54+")</f>
        <v>33-39</v>
      </c>
      <c r="E492">
        <v>585324</v>
      </c>
      <c r="F492" s="1">
        <v>39503</v>
      </c>
      <c r="G492" t="s">
        <v>44</v>
      </c>
      <c r="H492" t="s">
        <v>96</v>
      </c>
      <c r="I492">
        <v>2000</v>
      </c>
      <c r="J492">
        <v>1551.61</v>
      </c>
      <c r="K492">
        <v>0</v>
      </c>
      <c r="L492">
        <v>470670</v>
      </c>
      <c r="M492" t="s">
        <v>46</v>
      </c>
      <c r="N492" t="s">
        <v>136</v>
      </c>
      <c r="O492" t="s">
        <v>89</v>
      </c>
      <c r="P492" t="s">
        <v>151</v>
      </c>
      <c r="Q492" t="s">
        <v>90</v>
      </c>
      <c r="R492">
        <v>45000</v>
      </c>
      <c r="S492">
        <v>-30400</v>
      </c>
      <c r="T492" s="1">
        <v>42056</v>
      </c>
      <c r="U492" t="s">
        <v>66</v>
      </c>
      <c r="V492" t="s">
        <v>67</v>
      </c>
      <c r="W492" t="s">
        <v>68</v>
      </c>
      <c r="X492" t="s">
        <v>98</v>
      </c>
      <c r="Y492" t="s">
        <v>118</v>
      </c>
      <c r="Z492" t="s">
        <v>92</v>
      </c>
      <c r="AA492" t="s">
        <v>674</v>
      </c>
      <c r="AB492">
        <v>3</v>
      </c>
      <c r="AC492" t="str">
        <f t="shared" si="22"/>
        <v>Night</v>
      </c>
      <c r="AD492">
        <v>1</v>
      </c>
      <c r="AE492" t="s">
        <v>58</v>
      </c>
      <c r="AF492">
        <v>1</v>
      </c>
      <c r="AG492">
        <v>1</v>
      </c>
      <c r="AH492" t="s">
        <v>84</v>
      </c>
      <c r="AI492">
        <v>2250</v>
      </c>
      <c r="AJ492">
        <v>250</v>
      </c>
      <c r="AK492">
        <v>250</v>
      </c>
      <c r="AL492">
        <v>1750</v>
      </c>
      <c r="AM492" t="s">
        <v>120</v>
      </c>
      <c r="AN492" t="s">
        <v>188</v>
      </c>
      <c r="AO492">
        <v>2015</v>
      </c>
      <c r="AP492">
        <v>2005</v>
      </c>
      <c r="AQ492">
        <f t="shared" si="23"/>
        <v>10</v>
      </c>
      <c r="AR492" t="s">
        <v>87</v>
      </c>
    </row>
    <row r="493" spans="1:44" x14ac:dyDescent="0.25">
      <c r="A493">
        <v>4</v>
      </c>
      <c r="B493" t="str">
        <f t="shared" si="21"/>
        <v>0-2 years</v>
      </c>
      <c r="C493">
        <v>39</v>
      </c>
      <c r="D493" t="str" cm="1">
        <f t="array" ref="D493">_xlfn.IFS(C493&lt;26, "19-25", C493&lt;33, "26-32", C493&lt;40, "33-39", C493&lt;47, "40-46",C493&lt;54, "47-53", TRUE, "54+")</f>
        <v>33-39</v>
      </c>
      <c r="E493">
        <v>498759</v>
      </c>
      <c r="F493" s="1">
        <v>35313</v>
      </c>
      <c r="G493" t="s">
        <v>88</v>
      </c>
      <c r="H493" t="s">
        <v>74</v>
      </c>
      <c r="I493">
        <v>1000</v>
      </c>
      <c r="J493">
        <v>1326.98</v>
      </c>
      <c r="K493">
        <v>6000000</v>
      </c>
      <c r="L493">
        <v>450368</v>
      </c>
      <c r="M493" t="s">
        <v>75</v>
      </c>
      <c r="N493" t="s">
        <v>136</v>
      </c>
      <c r="O493" t="s">
        <v>63</v>
      </c>
      <c r="P493" t="s">
        <v>64</v>
      </c>
      <c r="Q493" t="s">
        <v>90</v>
      </c>
      <c r="R493">
        <v>64200</v>
      </c>
      <c r="S493">
        <v>0</v>
      </c>
      <c r="T493" s="1">
        <v>42017</v>
      </c>
      <c r="U493" t="s">
        <v>80</v>
      </c>
      <c r="V493" t="s">
        <v>91</v>
      </c>
      <c r="W493" t="s">
        <v>68</v>
      </c>
      <c r="X493" t="s">
        <v>141</v>
      </c>
      <c r="Y493" t="s">
        <v>69</v>
      </c>
      <c r="Z493" t="s">
        <v>132</v>
      </c>
      <c r="AA493" t="s">
        <v>675</v>
      </c>
      <c r="AB493">
        <v>14</v>
      </c>
      <c r="AC493" t="str">
        <f t="shared" si="22"/>
        <v>Afternoon</v>
      </c>
      <c r="AD493">
        <v>3</v>
      </c>
      <c r="AE493" t="s">
        <v>58</v>
      </c>
      <c r="AF493">
        <v>1</v>
      </c>
      <c r="AG493">
        <v>3</v>
      </c>
      <c r="AH493" t="s">
        <v>67</v>
      </c>
      <c r="AI493">
        <v>54120</v>
      </c>
      <c r="AJ493">
        <v>4510</v>
      </c>
      <c r="AK493">
        <v>9020</v>
      </c>
      <c r="AL493">
        <v>40590</v>
      </c>
      <c r="AM493" t="s">
        <v>202</v>
      </c>
      <c r="AN493" t="s">
        <v>380</v>
      </c>
      <c r="AO493">
        <v>2015</v>
      </c>
      <c r="AP493">
        <v>2007</v>
      </c>
      <c r="AQ493">
        <f t="shared" si="23"/>
        <v>8</v>
      </c>
      <c r="AR493" t="s">
        <v>87</v>
      </c>
    </row>
    <row r="494" spans="1:44" x14ac:dyDescent="0.25">
      <c r="A494">
        <v>298</v>
      </c>
      <c r="B494" t="str">
        <f t="shared" si="21"/>
        <v>10+ years</v>
      </c>
      <c r="C494">
        <v>49</v>
      </c>
      <c r="D494" t="str" cm="1">
        <f t="array" ref="D494">_xlfn.IFS(C494&lt;26, "19-25", C494&lt;33, "26-32", C494&lt;40, "33-39", C494&lt;47, "40-46",C494&lt;54, "47-53", TRUE, "54+")</f>
        <v>47-53</v>
      </c>
      <c r="E494">
        <v>795004</v>
      </c>
      <c r="F494" s="1">
        <v>35870</v>
      </c>
      <c r="G494" t="s">
        <v>44</v>
      </c>
      <c r="H494" t="s">
        <v>45</v>
      </c>
      <c r="I494">
        <v>500</v>
      </c>
      <c r="J494">
        <v>862.92</v>
      </c>
      <c r="K494">
        <v>0</v>
      </c>
      <c r="L494">
        <v>448809</v>
      </c>
      <c r="M494" t="s">
        <v>46</v>
      </c>
      <c r="N494" t="s">
        <v>47</v>
      </c>
      <c r="O494" t="s">
        <v>63</v>
      </c>
      <c r="P494" t="s">
        <v>123</v>
      </c>
      <c r="Q494" t="s">
        <v>124</v>
      </c>
      <c r="R494">
        <v>0</v>
      </c>
      <c r="S494">
        <v>-71700</v>
      </c>
      <c r="T494" s="1">
        <v>42021</v>
      </c>
      <c r="U494" t="s">
        <v>80</v>
      </c>
      <c r="V494" t="s">
        <v>52</v>
      </c>
      <c r="W494" t="s">
        <v>53</v>
      </c>
      <c r="X494" t="s">
        <v>125</v>
      </c>
      <c r="Y494" t="s">
        <v>82</v>
      </c>
      <c r="Z494" t="s">
        <v>161</v>
      </c>
      <c r="AA494" t="s">
        <v>676</v>
      </c>
      <c r="AB494">
        <v>16</v>
      </c>
      <c r="AC494" t="str">
        <f t="shared" si="22"/>
        <v>Afternoon</v>
      </c>
      <c r="AD494">
        <v>3</v>
      </c>
      <c r="AE494" t="s">
        <v>84</v>
      </c>
      <c r="AF494">
        <v>0</v>
      </c>
      <c r="AG494">
        <v>2</v>
      </c>
      <c r="AH494" t="s">
        <v>84</v>
      </c>
      <c r="AI494">
        <v>69480</v>
      </c>
      <c r="AJ494">
        <v>11580</v>
      </c>
      <c r="AK494">
        <v>11580</v>
      </c>
      <c r="AL494">
        <v>46320</v>
      </c>
      <c r="AM494" t="s">
        <v>59</v>
      </c>
      <c r="AN494">
        <v>95</v>
      </c>
      <c r="AO494">
        <v>2015</v>
      </c>
      <c r="AP494">
        <v>2007</v>
      </c>
      <c r="AQ494">
        <f t="shared" si="23"/>
        <v>8</v>
      </c>
      <c r="AR494" t="s">
        <v>87</v>
      </c>
    </row>
    <row r="495" spans="1:44" x14ac:dyDescent="0.25">
      <c r="A495">
        <v>231</v>
      </c>
      <c r="B495" t="str">
        <f t="shared" si="21"/>
        <v>10+ years</v>
      </c>
      <c r="C495">
        <v>43</v>
      </c>
      <c r="D495" t="str" cm="1">
        <f t="array" ref="D495">_xlfn.IFS(C495&lt;26, "19-25", C495&lt;33, "26-32", C495&lt;40, "33-39", C495&lt;47, "40-46",C495&lt;54, "47-53", TRUE, "54+")</f>
        <v>40-46</v>
      </c>
      <c r="E495">
        <v>203250</v>
      </c>
      <c r="F495" s="1">
        <v>40290</v>
      </c>
      <c r="G495" t="s">
        <v>62</v>
      </c>
      <c r="H495" t="s">
        <v>74</v>
      </c>
      <c r="I495">
        <v>2000</v>
      </c>
      <c r="J495">
        <v>1331.69</v>
      </c>
      <c r="K495">
        <v>0</v>
      </c>
      <c r="L495">
        <v>469653</v>
      </c>
      <c r="M495" t="s">
        <v>75</v>
      </c>
      <c r="N495" t="s">
        <v>129</v>
      </c>
      <c r="O495" t="s">
        <v>190</v>
      </c>
      <c r="P495" t="s">
        <v>64</v>
      </c>
      <c r="Q495" t="s">
        <v>147</v>
      </c>
      <c r="R495">
        <v>0</v>
      </c>
      <c r="S495">
        <v>0</v>
      </c>
      <c r="T495" s="1">
        <v>42053</v>
      </c>
      <c r="U495" t="s">
        <v>51</v>
      </c>
      <c r="V495" t="s">
        <v>81</v>
      </c>
      <c r="W495" t="s">
        <v>68</v>
      </c>
      <c r="X495" t="s">
        <v>54</v>
      </c>
      <c r="Y495" t="s">
        <v>82</v>
      </c>
      <c r="Z495" t="s">
        <v>132</v>
      </c>
      <c r="AA495" t="s">
        <v>677</v>
      </c>
      <c r="AB495">
        <v>12</v>
      </c>
      <c r="AC495" t="str">
        <f t="shared" si="22"/>
        <v>Afternoon</v>
      </c>
      <c r="AD495">
        <v>1</v>
      </c>
      <c r="AE495" t="s">
        <v>67</v>
      </c>
      <c r="AF495">
        <v>1</v>
      </c>
      <c r="AG495">
        <v>2</v>
      </c>
      <c r="AH495" t="s">
        <v>84</v>
      </c>
      <c r="AI495">
        <v>66950</v>
      </c>
      <c r="AJ495">
        <v>10300</v>
      </c>
      <c r="AK495">
        <v>10300</v>
      </c>
      <c r="AL495">
        <v>46350</v>
      </c>
      <c r="AM495" t="s">
        <v>94</v>
      </c>
      <c r="AN495" t="s">
        <v>250</v>
      </c>
      <c r="AO495">
        <v>2015</v>
      </c>
      <c r="AP495">
        <v>2015</v>
      </c>
      <c r="AQ495">
        <f t="shared" si="23"/>
        <v>0</v>
      </c>
      <c r="AR495" t="s">
        <v>87</v>
      </c>
    </row>
    <row r="496" spans="1:44" x14ac:dyDescent="0.25">
      <c r="A496">
        <v>338</v>
      </c>
      <c r="B496" t="str">
        <f t="shared" si="21"/>
        <v>10+ years</v>
      </c>
      <c r="C496">
        <v>47</v>
      </c>
      <c r="D496" t="str" cm="1">
        <f t="array" ref="D496">_xlfn.IFS(C496&lt;26, "19-25", C496&lt;33, "26-32", C496&lt;40, "33-39", C496&lt;47, "40-46",C496&lt;54, "47-53", TRUE, "54+")</f>
        <v>47-53</v>
      </c>
      <c r="E496">
        <v>430794</v>
      </c>
      <c r="F496" s="1">
        <v>39472</v>
      </c>
      <c r="G496" t="s">
        <v>44</v>
      </c>
      <c r="H496" t="s">
        <v>45</v>
      </c>
      <c r="I496">
        <v>2000</v>
      </c>
      <c r="J496">
        <v>1486.04</v>
      </c>
      <c r="K496">
        <v>0</v>
      </c>
      <c r="L496">
        <v>615688</v>
      </c>
      <c r="M496" t="s">
        <v>75</v>
      </c>
      <c r="N496" t="s">
        <v>97</v>
      </c>
      <c r="O496" t="s">
        <v>89</v>
      </c>
      <c r="P496" t="s">
        <v>78</v>
      </c>
      <c r="Q496" t="s">
        <v>79</v>
      </c>
      <c r="R496">
        <v>0</v>
      </c>
      <c r="S496">
        <v>-56200</v>
      </c>
      <c r="T496" s="1">
        <v>42018</v>
      </c>
      <c r="U496" t="s">
        <v>80</v>
      </c>
      <c r="V496" t="s">
        <v>81</v>
      </c>
      <c r="W496" t="s">
        <v>53</v>
      </c>
      <c r="X496" t="s">
        <v>125</v>
      </c>
      <c r="Y496" t="s">
        <v>44</v>
      </c>
      <c r="Z496" t="s">
        <v>161</v>
      </c>
      <c r="AA496" t="s">
        <v>678</v>
      </c>
      <c r="AB496">
        <v>1</v>
      </c>
      <c r="AC496" t="str">
        <f t="shared" si="22"/>
        <v>Night</v>
      </c>
      <c r="AD496">
        <v>3</v>
      </c>
      <c r="AE496" t="s">
        <v>84</v>
      </c>
      <c r="AF496">
        <v>2</v>
      </c>
      <c r="AG496">
        <v>3</v>
      </c>
      <c r="AH496" t="s">
        <v>67</v>
      </c>
      <c r="AI496">
        <v>64100</v>
      </c>
      <c r="AJ496">
        <v>12820</v>
      </c>
      <c r="AK496">
        <v>6410</v>
      </c>
      <c r="AL496">
        <v>44870</v>
      </c>
      <c r="AM496" t="s">
        <v>85</v>
      </c>
      <c r="AN496" t="s">
        <v>86</v>
      </c>
      <c r="AO496">
        <v>2015</v>
      </c>
      <c r="AP496">
        <v>2014</v>
      </c>
      <c r="AQ496">
        <f t="shared" si="23"/>
        <v>1</v>
      </c>
      <c r="AR496" t="s">
        <v>61</v>
      </c>
    </row>
    <row r="497" spans="1:44" x14ac:dyDescent="0.25">
      <c r="A497">
        <v>261</v>
      </c>
      <c r="B497" t="str">
        <f t="shared" si="21"/>
        <v>10+ years</v>
      </c>
      <c r="C497">
        <v>46</v>
      </c>
      <c r="D497" t="str" cm="1">
        <f t="array" ref="D497">_xlfn.IFS(C497&lt;26, "19-25", C497&lt;33, "26-32", C497&lt;40, "33-39", C497&lt;47, "40-46",C497&lt;54, "47-53", TRUE, "54+")</f>
        <v>40-46</v>
      </c>
      <c r="E497">
        <v>156636</v>
      </c>
      <c r="F497" s="1">
        <v>36779</v>
      </c>
      <c r="G497" t="s">
        <v>62</v>
      </c>
      <c r="H497" t="s">
        <v>74</v>
      </c>
      <c r="I497">
        <v>1000</v>
      </c>
      <c r="J497">
        <v>870.55</v>
      </c>
      <c r="K497">
        <v>0</v>
      </c>
      <c r="L497">
        <v>465631</v>
      </c>
      <c r="M497" t="s">
        <v>46</v>
      </c>
      <c r="N497" t="s">
        <v>76</v>
      </c>
      <c r="O497" t="s">
        <v>106</v>
      </c>
      <c r="P497" t="s">
        <v>123</v>
      </c>
      <c r="Q497" t="s">
        <v>90</v>
      </c>
      <c r="R497">
        <v>0</v>
      </c>
      <c r="S497">
        <v>-49400</v>
      </c>
      <c r="T497" s="1">
        <v>42031</v>
      </c>
      <c r="U497" t="s">
        <v>51</v>
      </c>
      <c r="V497" t="s">
        <v>81</v>
      </c>
      <c r="W497" t="s">
        <v>68</v>
      </c>
      <c r="X497" t="s">
        <v>125</v>
      </c>
      <c r="Y497" t="s">
        <v>55</v>
      </c>
      <c r="Z497" t="s">
        <v>107</v>
      </c>
      <c r="AA497" t="s">
        <v>679</v>
      </c>
      <c r="AB497">
        <v>19</v>
      </c>
      <c r="AC497" t="str">
        <f t="shared" si="22"/>
        <v>Evening</v>
      </c>
      <c r="AD497">
        <v>1</v>
      </c>
      <c r="AE497" t="s">
        <v>67</v>
      </c>
      <c r="AF497">
        <v>0</v>
      </c>
      <c r="AG497">
        <v>3</v>
      </c>
      <c r="AH497" t="s">
        <v>67</v>
      </c>
      <c r="AI497">
        <v>80280</v>
      </c>
      <c r="AJ497">
        <v>13380</v>
      </c>
      <c r="AK497">
        <v>13380</v>
      </c>
      <c r="AL497">
        <v>53520</v>
      </c>
      <c r="AM497" t="s">
        <v>94</v>
      </c>
      <c r="AN497" t="s">
        <v>95</v>
      </c>
      <c r="AO497">
        <v>2015</v>
      </c>
      <c r="AP497">
        <v>2013</v>
      </c>
      <c r="AQ497">
        <f t="shared" si="23"/>
        <v>2</v>
      </c>
      <c r="AR497" t="s">
        <v>87</v>
      </c>
    </row>
    <row r="498" spans="1:44" x14ac:dyDescent="0.25">
      <c r="A498">
        <v>321</v>
      </c>
      <c r="B498" t="str">
        <f t="shared" si="21"/>
        <v>10+ years</v>
      </c>
      <c r="C498">
        <v>44</v>
      </c>
      <c r="D498" t="str" cm="1">
        <f t="array" ref="D498">_xlfn.IFS(C498&lt;26, "19-25", C498&lt;33, "26-32", C498&lt;40, "33-39", C498&lt;47, "40-46",C498&lt;54, "47-53", TRUE, "54+")</f>
        <v>40-46</v>
      </c>
      <c r="E498">
        <v>284143</v>
      </c>
      <c r="F498" s="1">
        <v>39561</v>
      </c>
      <c r="G498" t="s">
        <v>88</v>
      </c>
      <c r="H498" t="s">
        <v>96</v>
      </c>
      <c r="I498">
        <v>2000</v>
      </c>
      <c r="J498">
        <v>1344.56</v>
      </c>
      <c r="K498">
        <v>6000000</v>
      </c>
      <c r="L498">
        <v>443344</v>
      </c>
      <c r="M498" t="s">
        <v>46</v>
      </c>
      <c r="N498" t="s">
        <v>97</v>
      </c>
      <c r="O498" t="s">
        <v>63</v>
      </c>
      <c r="P498" t="s">
        <v>154</v>
      </c>
      <c r="Q498" t="s">
        <v>50</v>
      </c>
      <c r="R498">
        <v>0</v>
      </c>
      <c r="S498">
        <v>-39100</v>
      </c>
      <c r="T498" s="1">
        <v>42047</v>
      </c>
      <c r="U498" t="s">
        <v>66</v>
      </c>
      <c r="V498" t="s">
        <v>67</v>
      </c>
      <c r="W498" t="s">
        <v>217</v>
      </c>
      <c r="X498" t="s">
        <v>54</v>
      </c>
      <c r="Y498" t="s">
        <v>82</v>
      </c>
      <c r="Z498" t="s">
        <v>132</v>
      </c>
      <c r="AA498" t="s">
        <v>680</v>
      </c>
      <c r="AB498">
        <v>7</v>
      </c>
      <c r="AC498" t="str">
        <f t="shared" si="22"/>
        <v>Morning</v>
      </c>
      <c r="AD498">
        <v>1</v>
      </c>
      <c r="AE498" t="s">
        <v>67</v>
      </c>
      <c r="AF498">
        <v>1</v>
      </c>
      <c r="AG498">
        <v>2</v>
      </c>
      <c r="AH498" t="s">
        <v>84</v>
      </c>
      <c r="AI498">
        <v>4680</v>
      </c>
      <c r="AJ498">
        <v>520</v>
      </c>
      <c r="AK498">
        <v>0</v>
      </c>
      <c r="AL498">
        <v>4160</v>
      </c>
      <c r="AM498" t="s">
        <v>100</v>
      </c>
      <c r="AN498" t="s">
        <v>153</v>
      </c>
      <c r="AO498">
        <v>2015</v>
      </c>
      <c r="AP498">
        <v>1999</v>
      </c>
      <c r="AQ498">
        <f t="shared" si="23"/>
        <v>16</v>
      </c>
      <c r="AR498" t="s">
        <v>87</v>
      </c>
    </row>
    <row r="499" spans="1:44" x14ac:dyDescent="0.25">
      <c r="A499">
        <v>0</v>
      </c>
      <c r="B499" t="str">
        <f t="shared" si="21"/>
        <v>0-2 years</v>
      </c>
      <c r="C499">
        <v>32</v>
      </c>
      <c r="D499" t="str" cm="1">
        <f t="array" ref="D499">_xlfn.IFS(C499&lt;26, "19-25", C499&lt;33, "26-32", C499&lt;40, "33-39", C499&lt;47, "40-46",C499&lt;54, "47-53", TRUE, "54+")</f>
        <v>26-32</v>
      </c>
      <c r="E499">
        <v>740518</v>
      </c>
      <c r="F499" s="1">
        <v>40592</v>
      </c>
      <c r="G499" t="s">
        <v>44</v>
      </c>
      <c r="H499" t="s">
        <v>96</v>
      </c>
      <c r="I499">
        <v>1000</v>
      </c>
      <c r="J499">
        <v>1377.04</v>
      </c>
      <c r="K499">
        <v>0</v>
      </c>
      <c r="L499">
        <v>441363</v>
      </c>
      <c r="M499" t="s">
        <v>46</v>
      </c>
      <c r="N499" t="s">
        <v>146</v>
      </c>
      <c r="O499" t="s">
        <v>102</v>
      </c>
      <c r="P499" t="s">
        <v>111</v>
      </c>
      <c r="Q499" t="s">
        <v>124</v>
      </c>
      <c r="R499">
        <v>61400</v>
      </c>
      <c r="S499">
        <v>-41100</v>
      </c>
      <c r="T499" s="1">
        <v>42021</v>
      </c>
      <c r="U499" t="s">
        <v>80</v>
      </c>
      <c r="V499" t="s">
        <v>81</v>
      </c>
      <c r="W499" t="s">
        <v>68</v>
      </c>
      <c r="X499" t="s">
        <v>141</v>
      </c>
      <c r="Y499" t="s">
        <v>82</v>
      </c>
      <c r="Z499" t="s">
        <v>107</v>
      </c>
      <c r="AA499" t="s">
        <v>681</v>
      </c>
      <c r="AB499">
        <v>6</v>
      </c>
      <c r="AC499" t="str">
        <f t="shared" si="22"/>
        <v>Morning</v>
      </c>
      <c r="AD499">
        <v>4</v>
      </c>
      <c r="AE499" t="s">
        <v>67</v>
      </c>
      <c r="AF499">
        <v>1</v>
      </c>
      <c r="AG499">
        <v>1</v>
      </c>
      <c r="AH499" t="s">
        <v>84</v>
      </c>
      <c r="AI499">
        <v>39720</v>
      </c>
      <c r="AJ499">
        <v>6620</v>
      </c>
      <c r="AK499">
        <v>6620</v>
      </c>
      <c r="AL499">
        <v>26480</v>
      </c>
      <c r="AM499" t="s">
        <v>100</v>
      </c>
      <c r="AN499" t="s">
        <v>153</v>
      </c>
      <c r="AO499">
        <v>2015</v>
      </c>
      <c r="AP499">
        <v>2002</v>
      </c>
      <c r="AQ499">
        <f t="shared" si="23"/>
        <v>13</v>
      </c>
      <c r="AR499" t="s">
        <v>87</v>
      </c>
    </row>
    <row r="500" spans="1:44" x14ac:dyDescent="0.25">
      <c r="A500">
        <v>405</v>
      </c>
      <c r="B500" t="str">
        <f t="shared" si="21"/>
        <v>10+ years</v>
      </c>
      <c r="C500">
        <v>58</v>
      </c>
      <c r="D500" t="str" cm="1">
        <f t="array" ref="D500">_xlfn.IFS(C500&lt;26, "19-25", C500&lt;33, "26-32", C500&lt;40, "33-39", C500&lt;47, "40-46",C500&lt;54, "47-53", TRUE, "54+")</f>
        <v>54+</v>
      </c>
      <c r="E500">
        <v>445289</v>
      </c>
      <c r="F500" s="1">
        <v>41023</v>
      </c>
      <c r="G500" t="s">
        <v>88</v>
      </c>
      <c r="H500" t="s">
        <v>45</v>
      </c>
      <c r="I500">
        <v>500</v>
      </c>
      <c r="J500">
        <v>1237.8800000000001</v>
      </c>
      <c r="K500">
        <v>0</v>
      </c>
      <c r="L500">
        <v>462683</v>
      </c>
      <c r="M500" t="s">
        <v>46</v>
      </c>
      <c r="N500" t="s">
        <v>47</v>
      </c>
      <c r="O500" t="s">
        <v>130</v>
      </c>
      <c r="P500" t="s">
        <v>269</v>
      </c>
      <c r="Q500" t="s">
        <v>147</v>
      </c>
      <c r="R500">
        <v>0</v>
      </c>
      <c r="S500">
        <v>-46900</v>
      </c>
      <c r="T500" s="1">
        <v>42017</v>
      </c>
      <c r="U500" t="s">
        <v>51</v>
      </c>
      <c r="V500" t="s">
        <v>91</v>
      </c>
      <c r="W500" t="s">
        <v>53</v>
      </c>
      <c r="X500" t="s">
        <v>54</v>
      </c>
      <c r="Y500" t="s">
        <v>82</v>
      </c>
      <c r="Z500" t="s">
        <v>92</v>
      </c>
      <c r="AA500" t="s">
        <v>682</v>
      </c>
      <c r="AB500">
        <v>11</v>
      </c>
      <c r="AC500" t="str">
        <f t="shared" si="22"/>
        <v>Morning</v>
      </c>
      <c r="AD500">
        <v>1</v>
      </c>
      <c r="AE500" t="s">
        <v>67</v>
      </c>
      <c r="AF500">
        <v>0</v>
      </c>
      <c r="AG500">
        <v>0</v>
      </c>
      <c r="AH500" t="s">
        <v>67</v>
      </c>
      <c r="AI500">
        <v>63580</v>
      </c>
      <c r="AJ500">
        <v>5780</v>
      </c>
      <c r="AK500">
        <v>5780</v>
      </c>
      <c r="AL500">
        <v>52020</v>
      </c>
      <c r="AM500" t="s">
        <v>72</v>
      </c>
      <c r="AN500" t="s">
        <v>276</v>
      </c>
      <c r="AO500">
        <v>2015</v>
      </c>
      <c r="AP500">
        <v>1997</v>
      </c>
      <c r="AQ500">
        <f t="shared" si="23"/>
        <v>18</v>
      </c>
      <c r="AR500" t="s">
        <v>61</v>
      </c>
    </row>
    <row r="501" spans="1:44" x14ac:dyDescent="0.25">
      <c r="A501">
        <v>304</v>
      </c>
      <c r="B501" t="str">
        <f t="shared" si="21"/>
        <v>10+ years</v>
      </c>
      <c r="C501">
        <v>49</v>
      </c>
      <c r="D501" t="str" cm="1">
        <f t="array" ref="D501">_xlfn.IFS(C501&lt;26, "19-25", C501&lt;33, "26-32", C501&lt;40, "33-39", C501&lt;47, "40-46",C501&lt;54, "47-53", TRUE, "54+")</f>
        <v>47-53</v>
      </c>
      <c r="E501">
        <v>599262</v>
      </c>
      <c r="F501" s="1">
        <v>37159</v>
      </c>
      <c r="G501" t="s">
        <v>62</v>
      </c>
      <c r="H501" t="s">
        <v>74</v>
      </c>
      <c r="I501">
        <v>1000</v>
      </c>
      <c r="J501">
        <v>1525.86</v>
      </c>
      <c r="K501">
        <v>0</v>
      </c>
      <c r="L501">
        <v>463184</v>
      </c>
      <c r="M501" t="s">
        <v>75</v>
      </c>
      <c r="N501" t="s">
        <v>76</v>
      </c>
      <c r="O501" t="s">
        <v>48</v>
      </c>
      <c r="P501" t="s">
        <v>123</v>
      </c>
      <c r="Q501" t="s">
        <v>79</v>
      </c>
      <c r="R501">
        <v>0</v>
      </c>
      <c r="S501">
        <v>0</v>
      </c>
      <c r="T501" s="1">
        <v>42025</v>
      </c>
      <c r="U501" t="s">
        <v>51</v>
      </c>
      <c r="V501" t="s">
        <v>52</v>
      </c>
      <c r="W501" t="s">
        <v>68</v>
      </c>
      <c r="X501" t="s">
        <v>125</v>
      </c>
      <c r="Y501" t="s">
        <v>126</v>
      </c>
      <c r="Z501" t="s">
        <v>132</v>
      </c>
      <c r="AA501" t="s">
        <v>683</v>
      </c>
      <c r="AB501">
        <v>2</v>
      </c>
      <c r="AC501" t="str">
        <f t="shared" si="22"/>
        <v>Night</v>
      </c>
      <c r="AD501">
        <v>1</v>
      </c>
      <c r="AE501" t="s">
        <v>58</v>
      </c>
      <c r="AF501">
        <v>1</v>
      </c>
      <c r="AG501">
        <v>1</v>
      </c>
      <c r="AH501" t="s">
        <v>58</v>
      </c>
      <c r="AI501">
        <v>73370</v>
      </c>
      <c r="AJ501">
        <v>13340</v>
      </c>
      <c r="AK501">
        <v>6670</v>
      </c>
      <c r="AL501">
        <v>53360</v>
      </c>
      <c r="AM501" t="s">
        <v>59</v>
      </c>
      <c r="AN501">
        <v>95</v>
      </c>
      <c r="AO501">
        <v>2015</v>
      </c>
      <c r="AP501">
        <v>2013</v>
      </c>
      <c r="AQ501">
        <f t="shared" si="23"/>
        <v>2</v>
      </c>
      <c r="AR501" t="s">
        <v>87</v>
      </c>
    </row>
    <row r="502" spans="1:44" x14ac:dyDescent="0.25">
      <c r="A502">
        <v>1</v>
      </c>
      <c r="B502" t="str">
        <f t="shared" si="21"/>
        <v>0-2 years</v>
      </c>
      <c r="C502">
        <v>29</v>
      </c>
      <c r="D502" t="str" cm="1">
        <f t="array" ref="D502">_xlfn.IFS(C502&lt;26, "19-25", C502&lt;33, "26-32", C502&lt;40, "33-39", C502&lt;47, "40-46",C502&lt;54, "47-53", TRUE, "54+")</f>
        <v>26-32</v>
      </c>
      <c r="E502">
        <v>357949</v>
      </c>
      <c r="F502" s="1">
        <v>38861</v>
      </c>
      <c r="G502" t="s">
        <v>44</v>
      </c>
      <c r="H502" t="s">
        <v>96</v>
      </c>
      <c r="I502">
        <v>500</v>
      </c>
      <c r="J502">
        <v>854.58</v>
      </c>
      <c r="K502">
        <v>0</v>
      </c>
      <c r="L502">
        <v>612826</v>
      </c>
      <c r="M502" t="s">
        <v>75</v>
      </c>
      <c r="N502" t="s">
        <v>166</v>
      </c>
      <c r="O502" t="s">
        <v>48</v>
      </c>
      <c r="P502" t="s">
        <v>170</v>
      </c>
      <c r="Q502" t="s">
        <v>65</v>
      </c>
      <c r="R502">
        <v>52200</v>
      </c>
      <c r="S502">
        <v>0</v>
      </c>
      <c r="T502" s="1">
        <v>42005</v>
      </c>
      <c r="U502" t="s">
        <v>51</v>
      </c>
      <c r="V502" t="s">
        <v>52</v>
      </c>
      <c r="W502" t="s">
        <v>68</v>
      </c>
      <c r="X502" t="s">
        <v>54</v>
      </c>
      <c r="Y502" t="s">
        <v>55</v>
      </c>
      <c r="Z502" t="s">
        <v>161</v>
      </c>
      <c r="AA502" t="s">
        <v>684</v>
      </c>
      <c r="AB502">
        <v>15</v>
      </c>
      <c r="AC502" t="str">
        <f t="shared" si="22"/>
        <v>Afternoon</v>
      </c>
      <c r="AD502">
        <v>1</v>
      </c>
      <c r="AE502" t="s">
        <v>67</v>
      </c>
      <c r="AF502">
        <v>2</v>
      </c>
      <c r="AG502">
        <v>3</v>
      </c>
      <c r="AH502" t="s">
        <v>58</v>
      </c>
      <c r="AI502">
        <v>86790</v>
      </c>
      <c r="AJ502">
        <v>7890</v>
      </c>
      <c r="AK502">
        <v>23670</v>
      </c>
      <c r="AL502">
        <v>55230</v>
      </c>
      <c r="AM502" t="s">
        <v>214</v>
      </c>
      <c r="AN502" t="s">
        <v>230</v>
      </c>
      <c r="AO502">
        <v>2015</v>
      </c>
      <c r="AP502">
        <v>2003</v>
      </c>
      <c r="AQ502">
        <f t="shared" si="23"/>
        <v>12</v>
      </c>
      <c r="AR502" t="s">
        <v>87</v>
      </c>
    </row>
    <row r="503" spans="1:44" x14ac:dyDescent="0.25">
      <c r="A503">
        <v>26</v>
      </c>
      <c r="B503" t="str">
        <f t="shared" si="21"/>
        <v>2-5 years</v>
      </c>
      <c r="C503">
        <v>39</v>
      </c>
      <c r="D503" t="str" cm="1">
        <f t="array" ref="D503">_xlfn.IFS(C503&lt;26, "19-25", C503&lt;33, "26-32", C503&lt;40, "33-39", C503&lt;47, "40-46",C503&lt;54, "47-53", TRUE, "54+")</f>
        <v>33-39</v>
      </c>
      <c r="E503">
        <v>493161</v>
      </c>
      <c r="F503" s="1">
        <v>33633</v>
      </c>
      <c r="G503" t="s">
        <v>62</v>
      </c>
      <c r="H503" t="s">
        <v>45</v>
      </c>
      <c r="I503">
        <v>1000</v>
      </c>
      <c r="J503">
        <v>770.76</v>
      </c>
      <c r="K503">
        <v>0</v>
      </c>
      <c r="L503">
        <v>433155</v>
      </c>
      <c r="M503" t="s">
        <v>46</v>
      </c>
      <c r="N503" t="s">
        <v>129</v>
      </c>
      <c r="O503" t="s">
        <v>102</v>
      </c>
      <c r="P503" t="s">
        <v>49</v>
      </c>
      <c r="Q503" t="s">
        <v>50</v>
      </c>
      <c r="R503">
        <v>0</v>
      </c>
      <c r="S503">
        <v>-53700</v>
      </c>
      <c r="T503" s="1">
        <v>42053</v>
      </c>
      <c r="U503" t="s">
        <v>51</v>
      </c>
      <c r="V503" t="s">
        <v>52</v>
      </c>
      <c r="W503" t="s">
        <v>53</v>
      </c>
      <c r="X503" t="s">
        <v>54</v>
      </c>
      <c r="Y503" t="s">
        <v>118</v>
      </c>
      <c r="Z503" t="s">
        <v>56</v>
      </c>
      <c r="AA503" t="s">
        <v>685</v>
      </c>
      <c r="AB503">
        <v>0</v>
      </c>
      <c r="AC503" t="str">
        <f t="shared" si="22"/>
        <v>Night</v>
      </c>
      <c r="AD503">
        <v>1</v>
      </c>
      <c r="AE503" t="s">
        <v>84</v>
      </c>
      <c r="AF503">
        <v>0</v>
      </c>
      <c r="AG503">
        <v>2</v>
      </c>
      <c r="AH503" t="s">
        <v>67</v>
      </c>
      <c r="AI503">
        <v>49800</v>
      </c>
      <c r="AJ503">
        <v>9960</v>
      </c>
      <c r="AK503">
        <v>4980</v>
      </c>
      <c r="AL503">
        <v>34860</v>
      </c>
      <c r="AM503" t="s">
        <v>72</v>
      </c>
      <c r="AN503" t="s">
        <v>276</v>
      </c>
      <c r="AO503">
        <v>2015</v>
      </c>
      <c r="AP503">
        <v>2015</v>
      </c>
      <c r="AQ503">
        <f t="shared" si="23"/>
        <v>0</v>
      </c>
      <c r="AR503" t="s">
        <v>87</v>
      </c>
    </row>
    <row r="504" spans="1:44" x14ac:dyDescent="0.25">
      <c r="A504">
        <v>202</v>
      </c>
      <c r="B504" t="str">
        <f t="shared" si="21"/>
        <v>10+ years</v>
      </c>
      <c r="C504">
        <v>38</v>
      </c>
      <c r="D504" t="str" cm="1">
        <f t="array" ref="D504">_xlfn.IFS(C504&lt;26, "19-25", C504&lt;33, "26-32", C504&lt;40, "33-39", C504&lt;47, "40-46",C504&lt;54, "47-53", TRUE, "54+")</f>
        <v>33-39</v>
      </c>
      <c r="E504">
        <v>320251</v>
      </c>
      <c r="F504" s="1">
        <v>39837</v>
      </c>
      <c r="G504" t="s">
        <v>88</v>
      </c>
      <c r="H504" t="s">
        <v>74</v>
      </c>
      <c r="I504">
        <v>2000</v>
      </c>
      <c r="J504">
        <v>1132.74</v>
      </c>
      <c r="K504">
        <v>0</v>
      </c>
      <c r="L504">
        <v>616120</v>
      </c>
      <c r="M504" t="s">
        <v>75</v>
      </c>
      <c r="N504" t="s">
        <v>97</v>
      </c>
      <c r="O504" t="s">
        <v>89</v>
      </c>
      <c r="P504" t="s">
        <v>269</v>
      </c>
      <c r="Q504" t="s">
        <v>50</v>
      </c>
      <c r="R504">
        <v>0</v>
      </c>
      <c r="S504">
        <v>-37500</v>
      </c>
      <c r="T504" s="1">
        <v>42039</v>
      </c>
      <c r="U504" t="s">
        <v>51</v>
      </c>
      <c r="V504" t="s">
        <v>52</v>
      </c>
      <c r="W504" t="s">
        <v>53</v>
      </c>
      <c r="X504" t="s">
        <v>125</v>
      </c>
      <c r="Y504" t="s">
        <v>118</v>
      </c>
      <c r="Z504" t="s">
        <v>127</v>
      </c>
      <c r="AA504" t="s">
        <v>686</v>
      </c>
      <c r="AB504">
        <v>12</v>
      </c>
      <c r="AC504" t="str">
        <f t="shared" si="22"/>
        <v>Afternoon</v>
      </c>
      <c r="AD504">
        <v>1</v>
      </c>
      <c r="AE504" t="s">
        <v>58</v>
      </c>
      <c r="AF504">
        <v>1</v>
      </c>
      <c r="AG504">
        <v>1</v>
      </c>
      <c r="AH504" t="s">
        <v>84</v>
      </c>
      <c r="AI504">
        <v>77440</v>
      </c>
      <c r="AJ504">
        <v>7040</v>
      </c>
      <c r="AK504">
        <v>14080</v>
      </c>
      <c r="AL504">
        <v>56320</v>
      </c>
      <c r="AM504" t="s">
        <v>109</v>
      </c>
      <c r="AN504" t="s">
        <v>292</v>
      </c>
      <c r="AO504">
        <v>2015</v>
      </c>
      <c r="AP504">
        <v>2005</v>
      </c>
      <c r="AQ504">
        <f t="shared" si="23"/>
        <v>10</v>
      </c>
      <c r="AR504" t="s">
        <v>87</v>
      </c>
    </row>
    <row r="505" spans="1:44" x14ac:dyDescent="0.25">
      <c r="A505">
        <v>289</v>
      </c>
      <c r="B505" t="str">
        <f t="shared" si="21"/>
        <v>10+ years</v>
      </c>
      <c r="C505">
        <v>48</v>
      </c>
      <c r="D505" t="str" cm="1">
        <f t="array" ref="D505">_xlfn.IFS(C505&lt;26, "19-25", C505&lt;33, "26-32", C505&lt;40, "33-39", C505&lt;47, "40-46",C505&lt;54, "47-53", TRUE, "54+")</f>
        <v>47-53</v>
      </c>
      <c r="E505">
        <v>231127</v>
      </c>
      <c r="F505" s="1">
        <v>34940</v>
      </c>
      <c r="G505" t="s">
        <v>88</v>
      </c>
      <c r="H505" t="s">
        <v>96</v>
      </c>
      <c r="I505">
        <v>500</v>
      </c>
      <c r="J505">
        <v>1173.3699999999999</v>
      </c>
      <c r="K505">
        <v>8000000</v>
      </c>
      <c r="L505">
        <v>461744</v>
      </c>
      <c r="M505" t="s">
        <v>75</v>
      </c>
      <c r="N505" t="s">
        <v>76</v>
      </c>
      <c r="O505" t="s">
        <v>164</v>
      </c>
      <c r="P505" t="s">
        <v>78</v>
      </c>
      <c r="Q505" t="s">
        <v>79</v>
      </c>
      <c r="R505">
        <v>0</v>
      </c>
      <c r="S505">
        <v>-42700</v>
      </c>
      <c r="T505" s="1">
        <v>42013</v>
      </c>
      <c r="U505" t="s">
        <v>51</v>
      </c>
      <c r="V505" t="s">
        <v>91</v>
      </c>
      <c r="W505" t="s">
        <v>112</v>
      </c>
      <c r="X505" t="s">
        <v>125</v>
      </c>
      <c r="Y505" t="s">
        <v>55</v>
      </c>
      <c r="Z505" t="s">
        <v>107</v>
      </c>
      <c r="AA505" t="s">
        <v>687</v>
      </c>
      <c r="AB505">
        <v>1</v>
      </c>
      <c r="AC505" t="str">
        <f t="shared" si="22"/>
        <v>Night</v>
      </c>
      <c r="AD505">
        <v>1</v>
      </c>
      <c r="AE505" t="s">
        <v>67</v>
      </c>
      <c r="AF505">
        <v>1</v>
      </c>
      <c r="AG505">
        <v>0</v>
      </c>
      <c r="AH505" t="s">
        <v>67</v>
      </c>
      <c r="AI505">
        <v>42900</v>
      </c>
      <c r="AJ505">
        <v>8580</v>
      </c>
      <c r="AK505">
        <v>0</v>
      </c>
      <c r="AL505">
        <v>34320</v>
      </c>
      <c r="AM505" t="s">
        <v>100</v>
      </c>
      <c r="AN505" t="s">
        <v>163</v>
      </c>
      <c r="AO505">
        <v>2015</v>
      </c>
      <c r="AP505">
        <v>1999</v>
      </c>
      <c r="AQ505">
        <f t="shared" si="23"/>
        <v>16</v>
      </c>
      <c r="AR505" t="s">
        <v>87</v>
      </c>
    </row>
    <row r="506" spans="1:44" x14ac:dyDescent="0.25">
      <c r="A506">
        <v>61</v>
      </c>
      <c r="B506" t="str">
        <f t="shared" si="21"/>
        <v>5-10 years</v>
      </c>
      <c r="C506">
        <v>26</v>
      </c>
      <c r="D506" t="str" cm="1">
        <f t="array" ref="D506">_xlfn.IFS(C506&lt;26, "19-25", C506&lt;33, "26-32", C506&lt;40, "33-39", C506&lt;47, "40-46",C506&lt;54, "47-53", TRUE, "54+")</f>
        <v>26-32</v>
      </c>
      <c r="E506">
        <v>766193</v>
      </c>
      <c r="F506" s="1">
        <v>40755</v>
      </c>
      <c r="G506" t="s">
        <v>44</v>
      </c>
      <c r="H506" t="s">
        <v>74</v>
      </c>
      <c r="I506">
        <v>2000</v>
      </c>
      <c r="J506">
        <v>1188.28</v>
      </c>
      <c r="K506">
        <v>6000000</v>
      </c>
      <c r="L506">
        <v>475916</v>
      </c>
      <c r="M506" t="s">
        <v>75</v>
      </c>
      <c r="N506" t="s">
        <v>166</v>
      </c>
      <c r="O506" t="s">
        <v>194</v>
      </c>
      <c r="P506" t="s">
        <v>137</v>
      </c>
      <c r="Q506" t="s">
        <v>124</v>
      </c>
      <c r="R506">
        <v>0</v>
      </c>
      <c r="S506">
        <v>-53800</v>
      </c>
      <c r="T506" s="1">
        <v>42049</v>
      </c>
      <c r="U506" t="s">
        <v>80</v>
      </c>
      <c r="V506" t="s">
        <v>81</v>
      </c>
      <c r="W506" t="s">
        <v>53</v>
      </c>
      <c r="X506" t="s">
        <v>104</v>
      </c>
      <c r="Y506" t="s">
        <v>69</v>
      </c>
      <c r="Z506" t="s">
        <v>127</v>
      </c>
      <c r="AA506" t="s">
        <v>688</v>
      </c>
      <c r="AB506">
        <v>16</v>
      </c>
      <c r="AC506" t="str">
        <f t="shared" si="22"/>
        <v>Afternoon</v>
      </c>
      <c r="AD506">
        <v>2</v>
      </c>
      <c r="AE506" t="s">
        <v>58</v>
      </c>
      <c r="AF506">
        <v>1</v>
      </c>
      <c r="AG506">
        <v>0</v>
      </c>
      <c r="AH506" t="s">
        <v>84</v>
      </c>
      <c r="AI506">
        <v>53820</v>
      </c>
      <c r="AJ506">
        <v>11960</v>
      </c>
      <c r="AK506">
        <v>5980</v>
      </c>
      <c r="AL506">
        <v>35880</v>
      </c>
      <c r="AM506" t="s">
        <v>134</v>
      </c>
      <c r="AN506" t="s">
        <v>135</v>
      </c>
      <c r="AO506">
        <v>2015</v>
      </c>
      <c r="AP506">
        <v>2015</v>
      </c>
      <c r="AQ506">
        <f t="shared" si="23"/>
        <v>0</v>
      </c>
      <c r="AR506" t="s">
        <v>61</v>
      </c>
    </row>
    <row r="507" spans="1:44" x14ac:dyDescent="0.25">
      <c r="A507">
        <v>334</v>
      </c>
      <c r="B507" t="str">
        <f t="shared" si="21"/>
        <v>10+ years</v>
      </c>
      <c r="C507">
        <v>46</v>
      </c>
      <c r="D507" t="str" cm="1">
        <f t="array" ref="D507">_xlfn.IFS(C507&lt;26, "19-25", C507&lt;33, "26-32", C507&lt;40, "33-39", C507&lt;47, "40-46",C507&lt;54, "47-53", TRUE, "54+")</f>
        <v>40-46</v>
      </c>
      <c r="E507">
        <v>555374</v>
      </c>
      <c r="F507" s="1">
        <v>41279</v>
      </c>
      <c r="G507" t="s">
        <v>88</v>
      </c>
      <c r="H507" t="s">
        <v>74</v>
      </c>
      <c r="I507">
        <v>1000</v>
      </c>
      <c r="J507">
        <v>876.88</v>
      </c>
      <c r="K507">
        <v>6000000</v>
      </c>
      <c r="L507">
        <v>454434</v>
      </c>
      <c r="M507" t="s">
        <v>46</v>
      </c>
      <c r="N507" t="s">
        <v>47</v>
      </c>
      <c r="O507" t="s">
        <v>77</v>
      </c>
      <c r="P507" t="s">
        <v>64</v>
      </c>
      <c r="Q507" t="s">
        <v>65</v>
      </c>
      <c r="R507">
        <v>0</v>
      </c>
      <c r="S507">
        <v>0</v>
      </c>
      <c r="T507" s="1">
        <v>42007</v>
      </c>
      <c r="U507" t="s">
        <v>51</v>
      </c>
      <c r="V507" t="s">
        <v>81</v>
      </c>
      <c r="W507" t="s">
        <v>68</v>
      </c>
      <c r="X507" t="s">
        <v>54</v>
      </c>
      <c r="Y507" t="s">
        <v>118</v>
      </c>
      <c r="Z507" t="s">
        <v>127</v>
      </c>
      <c r="AA507" t="s">
        <v>689</v>
      </c>
      <c r="AB507">
        <v>2</v>
      </c>
      <c r="AC507" t="str">
        <f t="shared" si="22"/>
        <v>Night</v>
      </c>
      <c r="AD507">
        <v>1</v>
      </c>
      <c r="AE507" t="s">
        <v>84</v>
      </c>
      <c r="AF507">
        <v>2</v>
      </c>
      <c r="AG507">
        <v>1</v>
      </c>
      <c r="AH507" t="s">
        <v>84</v>
      </c>
      <c r="AI507">
        <v>57330</v>
      </c>
      <c r="AJ507">
        <v>12740</v>
      </c>
      <c r="AK507">
        <v>6370</v>
      </c>
      <c r="AL507">
        <v>38220</v>
      </c>
      <c r="AM507" t="s">
        <v>202</v>
      </c>
      <c r="AN507" t="s">
        <v>380</v>
      </c>
      <c r="AO507">
        <v>2015</v>
      </c>
      <c r="AP507">
        <v>1998</v>
      </c>
      <c r="AQ507">
        <f t="shared" si="23"/>
        <v>17</v>
      </c>
      <c r="AR507" t="s">
        <v>87</v>
      </c>
    </row>
    <row r="508" spans="1:44" x14ac:dyDescent="0.25">
      <c r="A508">
        <v>12</v>
      </c>
      <c r="B508" t="str">
        <f t="shared" si="21"/>
        <v>0-2 years</v>
      </c>
      <c r="C508">
        <v>24</v>
      </c>
      <c r="D508" t="str" cm="1">
        <f t="array" ref="D508">_xlfn.IFS(C508&lt;26, "19-25", C508&lt;33, "26-32", C508&lt;40, "33-39", C508&lt;47, "40-46",C508&lt;54, "47-53", TRUE, "54+")</f>
        <v>19-25</v>
      </c>
      <c r="E508">
        <v>491484</v>
      </c>
      <c r="F508" s="1">
        <v>34656</v>
      </c>
      <c r="G508" t="s">
        <v>88</v>
      </c>
      <c r="H508" t="s">
        <v>96</v>
      </c>
      <c r="I508">
        <v>1000</v>
      </c>
      <c r="J508">
        <v>1143.95</v>
      </c>
      <c r="K508">
        <v>0</v>
      </c>
      <c r="L508">
        <v>464353</v>
      </c>
      <c r="M508" t="s">
        <v>75</v>
      </c>
      <c r="N508" t="s">
        <v>76</v>
      </c>
      <c r="O508" t="s">
        <v>102</v>
      </c>
      <c r="P508" t="s">
        <v>170</v>
      </c>
      <c r="Q508" t="s">
        <v>65</v>
      </c>
      <c r="R508">
        <v>51400</v>
      </c>
      <c r="S508">
        <v>0</v>
      </c>
      <c r="T508" s="1">
        <v>42039</v>
      </c>
      <c r="U508" t="s">
        <v>80</v>
      </c>
      <c r="V508" t="s">
        <v>81</v>
      </c>
      <c r="W508" t="s">
        <v>68</v>
      </c>
      <c r="X508" t="s">
        <v>54</v>
      </c>
      <c r="Y508" t="s">
        <v>82</v>
      </c>
      <c r="Z508" t="s">
        <v>70</v>
      </c>
      <c r="AA508" t="s">
        <v>690</v>
      </c>
      <c r="AB508">
        <v>13</v>
      </c>
      <c r="AC508" t="str">
        <f t="shared" si="22"/>
        <v>Afternoon</v>
      </c>
      <c r="AD508">
        <v>3</v>
      </c>
      <c r="AE508" t="s">
        <v>84</v>
      </c>
      <c r="AF508">
        <v>2</v>
      </c>
      <c r="AG508">
        <v>1</v>
      </c>
      <c r="AH508" t="s">
        <v>67</v>
      </c>
      <c r="AI508">
        <v>53370</v>
      </c>
      <c r="AJ508">
        <v>5930</v>
      </c>
      <c r="AK508">
        <v>5930</v>
      </c>
      <c r="AL508">
        <v>41510</v>
      </c>
      <c r="AM508" t="s">
        <v>109</v>
      </c>
      <c r="AN508" t="s">
        <v>292</v>
      </c>
      <c r="AO508">
        <v>2015</v>
      </c>
      <c r="AP508">
        <v>2011</v>
      </c>
      <c r="AQ508">
        <f t="shared" si="23"/>
        <v>4</v>
      </c>
      <c r="AR508" t="s">
        <v>87</v>
      </c>
    </row>
    <row r="509" spans="1:44" x14ac:dyDescent="0.25">
      <c r="A509">
        <v>86</v>
      </c>
      <c r="B509" t="str">
        <f t="shared" si="21"/>
        <v>5-10 years</v>
      </c>
      <c r="C509">
        <v>29</v>
      </c>
      <c r="D509" t="str" cm="1">
        <f t="array" ref="D509">_xlfn.IFS(C509&lt;26, "19-25", C509&lt;33, "26-32", C509&lt;40, "33-39", C509&lt;47, "40-46",C509&lt;54, "47-53", TRUE, "54+")</f>
        <v>26-32</v>
      </c>
      <c r="E509">
        <v>925128</v>
      </c>
      <c r="F509" s="1">
        <v>41881</v>
      </c>
      <c r="G509" t="s">
        <v>88</v>
      </c>
      <c r="H509" t="s">
        <v>74</v>
      </c>
      <c r="I509">
        <v>2000</v>
      </c>
      <c r="J509">
        <v>1409.06</v>
      </c>
      <c r="K509">
        <v>0</v>
      </c>
      <c r="L509">
        <v>610302</v>
      </c>
      <c r="M509" t="s">
        <v>46</v>
      </c>
      <c r="N509" t="s">
        <v>136</v>
      </c>
      <c r="O509" t="s">
        <v>106</v>
      </c>
      <c r="P509" t="s">
        <v>160</v>
      </c>
      <c r="Q509" t="s">
        <v>50</v>
      </c>
      <c r="R509">
        <v>74200</v>
      </c>
      <c r="S509">
        <v>-68100</v>
      </c>
      <c r="T509" s="1">
        <v>42034</v>
      </c>
      <c r="U509" t="s">
        <v>51</v>
      </c>
      <c r="V509" t="s">
        <v>91</v>
      </c>
      <c r="W509" t="s">
        <v>68</v>
      </c>
      <c r="X509" t="s">
        <v>54</v>
      </c>
      <c r="Y509" t="s">
        <v>82</v>
      </c>
      <c r="Z509" t="s">
        <v>161</v>
      </c>
      <c r="AA509" t="s">
        <v>691</v>
      </c>
      <c r="AB509">
        <v>0</v>
      </c>
      <c r="AC509" t="str">
        <f t="shared" si="22"/>
        <v>Night</v>
      </c>
      <c r="AD509">
        <v>1</v>
      </c>
      <c r="AE509" t="s">
        <v>84</v>
      </c>
      <c r="AF509">
        <v>2</v>
      </c>
      <c r="AG509">
        <v>2</v>
      </c>
      <c r="AH509" t="s">
        <v>58</v>
      </c>
      <c r="AI509">
        <v>62920</v>
      </c>
      <c r="AJ509">
        <v>9680</v>
      </c>
      <c r="AK509">
        <v>14520</v>
      </c>
      <c r="AL509">
        <v>38720</v>
      </c>
      <c r="AM509" t="s">
        <v>100</v>
      </c>
      <c r="AN509" t="s">
        <v>153</v>
      </c>
      <c r="AO509">
        <v>2015</v>
      </c>
      <c r="AP509">
        <v>2005</v>
      </c>
      <c r="AQ509">
        <f t="shared" si="23"/>
        <v>10</v>
      </c>
      <c r="AR509" t="s">
        <v>87</v>
      </c>
    </row>
    <row r="510" spans="1:44" x14ac:dyDescent="0.25">
      <c r="A510">
        <v>83</v>
      </c>
      <c r="B510" t="str">
        <f t="shared" si="21"/>
        <v>5-10 years</v>
      </c>
      <c r="C510">
        <v>24</v>
      </c>
      <c r="D510" t="str" cm="1">
        <f t="array" ref="D510">_xlfn.IFS(C510&lt;26, "19-25", C510&lt;33, "26-32", C510&lt;40, "33-39", C510&lt;47, "40-46",C510&lt;54, "47-53", TRUE, "54+")</f>
        <v>19-25</v>
      </c>
      <c r="E510">
        <v>265093</v>
      </c>
      <c r="F510" s="1">
        <v>38718</v>
      </c>
      <c r="G510" t="s">
        <v>62</v>
      </c>
      <c r="H510" t="s">
        <v>96</v>
      </c>
      <c r="I510">
        <v>1000</v>
      </c>
      <c r="J510">
        <v>1070.6300000000001</v>
      </c>
      <c r="K510">
        <v>0</v>
      </c>
      <c r="L510">
        <v>462106</v>
      </c>
      <c r="M510" t="s">
        <v>75</v>
      </c>
      <c r="N510" t="s">
        <v>136</v>
      </c>
      <c r="O510" t="s">
        <v>63</v>
      </c>
      <c r="P510" t="s">
        <v>78</v>
      </c>
      <c r="Q510" t="s">
        <v>90</v>
      </c>
      <c r="R510">
        <v>0</v>
      </c>
      <c r="S510">
        <v>0</v>
      </c>
      <c r="T510" s="1">
        <v>42055</v>
      </c>
      <c r="U510" t="s">
        <v>80</v>
      </c>
      <c r="V510" t="s">
        <v>91</v>
      </c>
      <c r="W510" t="s">
        <v>112</v>
      </c>
      <c r="X510" t="s">
        <v>104</v>
      </c>
      <c r="Y510" t="s">
        <v>82</v>
      </c>
      <c r="Z510" t="s">
        <v>92</v>
      </c>
      <c r="AA510" t="s">
        <v>692</v>
      </c>
      <c r="AB510">
        <v>0</v>
      </c>
      <c r="AC510" t="str">
        <f t="shared" si="22"/>
        <v>Night</v>
      </c>
      <c r="AD510">
        <v>3</v>
      </c>
      <c r="AE510" t="s">
        <v>67</v>
      </c>
      <c r="AF510">
        <v>0</v>
      </c>
      <c r="AG510">
        <v>1</v>
      </c>
      <c r="AH510" t="s">
        <v>84</v>
      </c>
      <c r="AI510">
        <v>61600</v>
      </c>
      <c r="AJ510">
        <v>6160</v>
      </c>
      <c r="AK510">
        <v>12320</v>
      </c>
      <c r="AL510">
        <v>43120</v>
      </c>
      <c r="AM510" t="s">
        <v>214</v>
      </c>
      <c r="AN510" t="s">
        <v>230</v>
      </c>
      <c r="AO510">
        <v>2015</v>
      </c>
      <c r="AP510">
        <v>2003</v>
      </c>
      <c r="AQ510">
        <f t="shared" si="23"/>
        <v>12</v>
      </c>
      <c r="AR510" t="s">
        <v>87</v>
      </c>
    </row>
    <row r="511" spans="1:44" x14ac:dyDescent="0.25">
      <c r="A511">
        <v>126</v>
      </c>
      <c r="B511" t="str">
        <f t="shared" si="21"/>
        <v>10+ years</v>
      </c>
      <c r="C511">
        <v>30</v>
      </c>
      <c r="D511" t="str" cm="1">
        <f t="array" ref="D511">_xlfn.IFS(C511&lt;26, "19-25", C511&lt;33, "26-32", C511&lt;40, "33-39", C511&lt;47, "40-46",C511&lt;54, "47-53", TRUE, "54+")</f>
        <v>26-32</v>
      </c>
      <c r="E511">
        <v>267808</v>
      </c>
      <c r="F511" s="1">
        <v>36048</v>
      </c>
      <c r="G511" t="s">
        <v>88</v>
      </c>
      <c r="H511" t="s">
        <v>96</v>
      </c>
      <c r="I511">
        <v>2000</v>
      </c>
      <c r="J511">
        <v>916.13</v>
      </c>
      <c r="K511">
        <v>0</v>
      </c>
      <c r="L511">
        <v>431389</v>
      </c>
      <c r="M511" t="s">
        <v>46</v>
      </c>
      <c r="N511" t="s">
        <v>146</v>
      </c>
      <c r="O511" t="s">
        <v>77</v>
      </c>
      <c r="P511" t="s">
        <v>117</v>
      </c>
      <c r="Q511" t="s">
        <v>90</v>
      </c>
      <c r="R511">
        <v>55300</v>
      </c>
      <c r="S511">
        <v>-58400</v>
      </c>
      <c r="T511" s="1">
        <v>42011</v>
      </c>
      <c r="U511" t="s">
        <v>80</v>
      </c>
      <c r="V511" t="s">
        <v>81</v>
      </c>
      <c r="W511" t="s">
        <v>112</v>
      </c>
      <c r="X511" t="s">
        <v>54</v>
      </c>
      <c r="Y511" t="s">
        <v>82</v>
      </c>
      <c r="Z511" t="s">
        <v>132</v>
      </c>
      <c r="AA511" t="s">
        <v>693</v>
      </c>
      <c r="AB511">
        <v>16</v>
      </c>
      <c r="AC511" t="str">
        <f t="shared" si="22"/>
        <v>Afternoon</v>
      </c>
      <c r="AD511">
        <v>3</v>
      </c>
      <c r="AE511" t="s">
        <v>58</v>
      </c>
      <c r="AF511">
        <v>2</v>
      </c>
      <c r="AG511">
        <v>0</v>
      </c>
      <c r="AH511" t="s">
        <v>84</v>
      </c>
      <c r="AI511">
        <v>74160</v>
      </c>
      <c r="AJ511">
        <v>6180</v>
      </c>
      <c r="AK511">
        <v>12360</v>
      </c>
      <c r="AL511">
        <v>55620</v>
      </c>
      <c r="AM511" t="s">
        <v>72</v>
      </c>
      <c r="AN511" t="s">
        <v>73</v>
      </c>
      <c r="AO511">
        <v>2015</v>
      </c>
      <c r="AP511">
        <v>2002</v>
      </c>
      <c r="AQ511">
        <f t="shared" si="23"/>
        <v>13</v>
      </c>
      <c r="AR511" t="s">
        <v>87</v>
      </c>
    </row>
    <row r="512" spans="1:44" x14ac:dyDescent="0.25">
      <c r="A512">
        <v>209</v>
      </c>
      <c r="B512" t="str">
        <f t="shared" si="21"/>
        <v>10+ years</v>
      </c>
      <c r="C512">
        <v>38</v>
      </c>
      <c r="D512" t="str" cm="1">
        <f t="array" ref="D512">_xlfn.IFS(C512&lt;26, "19-25", C512&lt;33, "26-32", C512&lt;40, "33-39", C512&lt;47, "40-46",C512&lt;54, "47-53", TRUE, "54+")</f>
        <v>33-39</v>
      </c>
      <c r="E512">
        <v>116735</v>
      </c>
      <c r="F512" s="1">
        <v>40206</v>
      </c>
      <c r="G512" t="s">
        <v>44</v>
      </c>
      <c r="H512" t="s">
        <v>45</v>
      </c>
      <c r="I512">
        <v>500</v>
      </c>
      <c r="J512">
        <v>1191.5</v>
      </c>
      <c r="K512">
        <v>0</v>
      </c>
      <c r="L512">
        <v>442866</v>
      </c>
      <c r="M512" t="s">
        <v>46</v>
      </c>
      <c r="N512" t="s">
        <v>136</v>
      </c>
      <c r="O512" t="s">
        <v>122</v>
      </c>
      <c r="P512" t="s">
        <v>64</v>
      </c>
      <c r="Q512" t="s">
        <v>50</v>
      </c>
      <c r="R512">
        <v>38600</v>
      </c>
      <c r="S512">
        <v>-52900</v>
      </c>
      <c r="T512" s="1">
        <v>42035</v>
      </c>
      <c r="U512" t="s">
        <v>51</v>
      </c>
      <c r="V512" t="s">
        <v>81</v>
      </c>
      <c r="W512" t="s">
        <v>112</v>
      </c>
      <c r="X512" t="s">
        <v>54</v>
      </c>
      <c r="Y512" t="s">
        <v>118</v>
      </c>
      <c r="Z512" t="s">
        <v>92</v>
      </c>
      <c r="AA512" t="s">
        <v>694</v>
      </c>
      <c r="AB512">
        <v>8</v>
      </c>
      <c r="AC512" t="str">
        <f t="shared" si="22"/>
        <v>Morning</v>
      </c>
      <c r="AD512">
        <v>1</v>
      </c>
      <c r="AE512" t="s">
        <v>84</v>
      </c>
      <c r="AF512">
        <v>2</v>
      </c>
      <c r="AG512">
        <v>0</v>
      </c>
      <c r="AH512" t="s">
        <v>67</v>
      </c>
      <c r="AI512">
        <v>80100</v>
      </c>
      <c r="AJ512">
        <v>8900</v>
      </c>
      <c r="AK512">
        <v>8900</v>
      </c>
      <c r="AL512">
        <v>62300</v>
      </c>
      <c r="AM512" t="s">
        <v>114</v>
      </c>
      <c r="AN512" t="s">
        <v>139</v>
      </c>
      <c r="AO512">
        <v>2015</v>
      </c>
      <c r="AP512">
        <v>2015</v>
      </c>
      <c r="AQ512">
        <f t="shared" si="23"/>
        <v>0</v>
      </c>
      <c r="AR512" t="s">
        <v>87</v>
      </c>
    </row>
    <row r="513" spans="1:44" x14ac:dyDescent="0.25">
      <c r="A513">
        <v>283</v>
      </c>
      <c r="B513" t="str">
        <f t="shared" si="21"/>
        <v>10+ years</v>
      </c>
      <c r="C513">
        <v>48</v>
      </c>
      <c r="D513" t="str" cm="1">
        <f t="array" ref="D513">_xlfn.IFS(C513&lt;26, "19-25", C513&lt;33, "26-32", C513&lt;40, "33-39", C513&lt;47, "40-46",C513&lt;54, "47-53", TRUE, "54+")</f>
        <v>47-53</v>
      </c>
      <c r="E513">
        <v>963680</v>
      </c>
      <c r="F513" s="1">
        <v>37625</v>
      </c>
      <c r="G513" t="s">
        <v>44</v>
      </c>
      <c r="H513" t="s">
        <v>96</v>
      </c>
      <c r="I513">
        <v>1000</v>
      </c>
      <c r="J513">
        <v>1474.66</v>
      </c>
      <c r="K513">
        <v>0</v>
      </c>
      <c r="L513">
        <v>446755</v>
      </c>
      <c r="M513" t="s">
        <v>75</v>
      </c>
      <c r="N513" t="s">
        <v>166</v>
      </c>
      <c r="O513" t="s">
        <v>77</v>
      </c>
      <c r="P513" t="s">
        <v>170</v>
      </c>
      <c r="Q513" t="s">
        <v>50</v>
      </c>
      <c r="R513">
        <v>0</v>
      </c>
      <c r="S513">
        <v>-46200</v>
      </c>
      <c r="T513" s="1">
        <v>42052</v>
      </c>
      <c r="U513" t="s">
        <v>143</v>
      </c>
      <c r="V513" t="s">
        <v>67</v>
      </c>
      <c r="W513" t="s">
        <v>217</v>
      </c>
      <c r="X513" t="s">
        <v>54</v>
      </c>
      <c r="Y513" t="s">
        <v>82</v>
      </c>
      <c r="Z513" t="s">
        <v>127</v>
      </c>
      <c r="AA513" t="s">
        <v>695</v>
      </c>
      <c r="AB513">
        <v>9</v>
      </c>
      <c r="AC513" t="str">
        <f t="shared" si="22"/>
        <v>Morning</v>
      </c>
      <c r="AD513">
        <v>1</v>
      </c>
      <c r="AE513" t="s">
        <v>67</v>
      </c>
      <c r="AF513">
        <v>2</v>
      </c>
      <c r="AG513">
        <v>3</v>
      </c>
      <c r="AH513" t="s">
        <v>84</v>
      </c>
      <c r="AI513">
        <v>6560</v>
      </c>
      <c r="AJ513">
        <v>820</v>
      </c>
      <c r="AK513">
        <v>820</v>
      </c>
      <c r="AL513">
        <v>4920</v>
      </c>
      <c r="AM513" t="s">
        <v>219</v>
      </c>
      <c r="AN513" t="s">
        <v>263</v>
      </c>
      <c r="AO513">
        <v>2015</v>
      </c>
      <c r="AP513">
        <v>2003</v>
      </c>
      <c r="AQ513">
        <f t="shared" si="23"/>
        <v>12</v>
      </c>
      <c r="AR513" t="s">
        <v>87</v>
      </c>
    </row>
    <row r="514" spans="1:44" x14ac:dyDescent="0.25">
      <c r="A514">
        <v>194</v>
      </c>
      <c r="B514" t="str">
        <f t="shared" si="21"/>
        <v>10+ years</v>
      </c>
      <c r="C514">
        <v>34</v>
      </c>
      <c r="D514" t="str" cm="1">
        <f t="array" ref="D514">_xlfn.IFS(C514&lt;26, "19-25", C514&lt;33, "26-32", C514&lt;40, "33-39", C514&lt;47, "40-46",C514&lt;54, "47-53", TRUE, "54+")</f>
        <v>33-39</v>
      </c>
      <c r="E514">
        <v>445694</v>
      </c>
      <c r="F514" s="1">
        <v>38131</v>
      </c>
      <c r="G514" t="s">
        <v>88</v>
      </c>
      <c r="H514" t="s">
        <v>45</v>
      </c>
      <c r="I514">
        <v>1000</v>
      </c>
      <c r="J514">
        <v>1193.45</v>
      </c>
      <c r="K514">
        <v>0</v>
      </c>
      <c r="L514">
        <v>464743</v>
      </c>
      <c r="M514" t="s">
        <v>46</v>
      </c>
      <c r="N514" t="s">
        <v>166</v>
      </c>
      <c r="O514" t="s">
        <v>116</v>
      </c>
      <c r="P514" t="s">
        <v>154</v>
      </c>
      <c r="Q514" t="s">
        <v>147</v>
      </c>
      <c r="R514">
        <v>0</v>
      </c>
      <c r="S514">
        <v>0</v>
      </c>
      <c r="T514" s="1">
        <v>42028</v>
      </c>
      <c r="U514" t="s">
        <v>51</v>
      </c>
      <c r="V514" t="s">
        <v>81</v>
      </c>
      <c r="W514" t="s">
        <v>112</v>
      </c>
      <c r="X514" t="s">
        <v>141</v>
      </c>
      <c r="Y514" t="s">
        <v>118</v>
      </c>
      <c r="Z514" t="s">
        <v>132</v>
      </c>
      <c r="AA514" t="s">
        <v>696</v>
      </c>
      <c r="AB514">
        <v>11</v>
      </c>
      <c r="AC514" t="str">
        <f t="shared" si="22"/>
        <v>Morning</v>
      </c>
      <c r="AD514">
        <v>1</v>
      </c>
      <c r="AE514" t="s">
        <v>67</v>
      </c>
      <c r="AF514">
        <v>2</v>
      </c>
      <c r="AG514">
        <v>1</v>
      </c>
      <c r="AH514" t="s">
        <v>58</v>
      </c>
      <c r="AI514">
        <v>58800</v>
      </c>
      <c r="AJ514">
        <v>11760</v>
      </c>
      <c r="AK514">
        <v>5880</v>
      </c>
      <c r="AL514">
        <v>41160</v>
      </c>
      <c r="AM514" t="s">
        <v>109</v>
      </c>
      <c r="AN514" t="s">
        <v>110</v>
      </c>
      <c r="AO514">
        <v>2015</v>
      </c>
      <c r="AP514">
        <v>1997</v>
      </c>
      <c r="AQ514">
        <f t="shared" si="23"/>
        <v>18</v>
      </c>
      <c r="AR514" t="s">
        <v>87</v>
      </c>
    </row>
    <row r="515" spans="1:44" x14ac:dyDescent="0.25">
      <c r="A515">
        <v>184</v>
      </c>
      <c r="B515" t="str">
        <f t="shared" ref="B515:B578" si="24">IF(A515&lt;=24, "0-2 years", IF(A515&lt;=60, "2-5 years", IF(A515&lt;=120, "5-10 years", "10+ years")))</f>
        <v>10+ years</v>
      </c>
      <c r="C515">
        <v>38</v>
      </c>
      <c r="D515" t="str" cm="1">
        <f t="array" ref="D515">_xlfn.IFS(C515&lt;26, "19-25", C515&lt;33, "26-32", C515&lt;40, "33-39", C515&lt;47, "40-46",C515&lt;54, "47-53", TRUE, "54+")</f>
        <v>33-39</v>
      </c>
      <c r="E515">
        <v>215534</v>
      </c>
      <c r="F515" s="1">
        <v>34589</v>
      </c>
      <c r="G515" t="s">
        <v>88</v>
      </c>
      <c r="H515" t="s">
        <v>45</v>
      </c>
      <c r="I515">
        <v>1000</v>
      </c>
      <c r="J515">
        <v>1437.53</v>
      </c>
      <c r="K515">
        <v>0</v>
      </c>
      <c r="L515">
        <v>437889</v>
      </c>
      <c r="M515" t="s">
        <v>75</v>
      </c>
      <c r="N515" t="s">
        <v>146</v>
      </c>
      <c r="O515" t="s">
        <v>150</v>
      </c>
      <c r="P515" t="s">
        <v>173</v>
      </c>
      <c r="Q515" t="s">
        <v>147</v>
      </c>
      <c r="R515">
        <v>0</v>
      </c>
      <c r="S515">
        <v>0</v>
      </c>
      <c r="T515" s="1">
        <v>42037</v>
      </c>
      <c r="U515" t="s">
        <v>80</v>
      </c>
      <c r="V515" t="s">
        <v>52</v>
      </c>
      <c r="W515" t="s">
        <v>68</v>
      </c>
      <c r="X515" t="s">
        <v>141</v>
      </c>
      <c r="Y515" t="s">
        <v>180</v>
      </c>
      <c r="Z515" t="s">
        <v>161</v>
      </c>
      <c r="AA515" t="s">
        <v>697</v>
      </c>
      <c r="AB515">
        <v>6</v>
      </c>
      <c r="AC515" t="str">
        <f t="shared" ref="AC515:AC578" si="25">IF(AB515&lt;6, "Night", IF(AB515&lt;12, "Morning", IF(AB515&lt;18, "Afternoon", "Evening")))</f>
        <v>Morning</v>
      </c>
      <c r="AD515">
        <v>3</v>
      </c>
      <c r="AE515" t="s">
        <v>67</v>
      </c>
      <c r="AF515">
        <v>0</v>
      </c>
      <c r="AG515">
        <v>2</v>
      </c>
      <c r="AH515" t="s">
        <v>84</v>
      </c>
      <c r="AI515">
        <v>53730</v>
      </c>
      <c r="AJ515">
        <v>11940</v>
      </c>
      <c r="AK515">
        <v>5970</v>
      </c>
      <c r="AL515">
        <v>35820</v>
      </c>
      <c r="AM515" t="s">
        <v>85</v>
      </c>
      <c r="AN515" t="s">
        <v>86</v>
      </c>
      <c r="AO515">
        <v>2015</v>
      </c>
      <c r="AP515">
        <v>2013</v>
      </c>
      <c r="AQ515">
        <f t="shared" ref="AQ515:AQ578" si="26">AO515-AP515</f>
        <v>2</v>
      </c>
      <c r="AR515" t="s">
        <v>61</v>
      </c>
    </row>
    <row r="516" spans="1:44" x14ac:dyDescent="0.25">
      <c r="A516">
        <v>479</v>
      </c>
      <c r="B516" t="str">
        <f t="shared" si="24"/>
        <v>10+ years</v>
      </c>
      <c r="C516">
        <v>60</v>
      </c>
      <c r="D516" t="str" cm="1">
        <f t="array" ref="D516">_xlfn.IFS(C516&lt;26, "19-25", C516&lt;33, "26-32", C516&lt;40, "33-39", C516&lt;47, "40-46",C516&lt;54, "47-53", TRUE, "54+")</f>
        <v>54+</v>
      </c>
      <c r="E516">
        <v>232854</v>
      </c>
      <c r="F516" s="1">
        <v>35618</v>
      </c>
      <c r="G516" t="s">
        <v>88</v>
      </c>
      <c r="H516" t="s">
        <v>74</v>
      </c>
      <c r="I516">
        <v>2000</v>
      </c>
      <c r="J516">
        <v>1304.83</v>
      </c>
      <c r="K516">
        <v>0</v>
      </c>
      <c r="L516">
        <v>473638</v>
      </c>
      <c r="M516" t="s">
        <v>75</v>
      </c>
      <c r="N516" t="s">
        <v>146</v>
      </c>
      <c r="O516" t="s">
        <v>116</v>
      </c>
      <c r="P516" t="s">
        <v>247</v>
      </c>
      <c r="Q516" t="s">
        <v>50</v>
      </c>
      <c r="R516">
        <v>0</v>
      </c>
      <c r="S516">
        <v>0</v>
      </c>
      <c r="T516" s="1">
        <v>42013</v>
      </c>
      <c r="U516" t="s">
        <v>51</v>
      </c>
      <c r="V516" t="s">
        <v>81</v>
      </c>
      <c r="W516" t="s">
        <v>112</v>
      </c>
      <c r="X516" t="s">
        <v>141</v>
      </c>
      <c r="Y516" t="s">
        <v>82</v>
      </c>
      <c r="Z516" t="s">
        <v>92</v>
      </c>
      <c r="AA516" t="s">
        <v>698</v>
      </c>
      <c r="AB516">
        <v>18</v>
      </c>
      <c r="AC516" t="str">
        <f t="shared" si="25"/>
        <v>Evening</v>
      </c>
      <c r="AD516">
        <v>1</v>
      </c>
      <c r="AE516" t="s">
        <v>84</v>
      </c>
      <c r="AF516">
        <v>0</v>
      </c>
      <c r="AG516">
        <v>0</v>
      </c>
      <c r="AH516" t="s">
        <v>84</v>
      </c>
      <c r="AI516">
        <v>60600</v>
      </c>
      <c r="AJ516">
        <v>5050</v>
      </c>
      <c r="AK516">
        <v>10100</v>
      </c>
      <c r="AL516">
        <v>45450</v>
      </c>
      <c r="AM516" t="s">
        <v>214</v>
      </c>
      <c r="AN516" t="s">
        <v>215</v>
      </c>
      <c r="AO516">
        <v>2015</v>
      </c>
      <c r="AP516">
        <v>2001</v>
      </c>
      <c r="AQ516">
        <f t="shared" si="26"/>
        <v>14</v>
      </c>
      <c r="AR516" t="s">
        <v>87</v>
      </c>
    </row>
    <row r="517" spans="1:44" x14ac:dyDescent="0.25">
      <c r="A517">
        <v>284</v>
      </c>
      <c r="B517" t="str">
        <f t="shared" si="24"/>
        <v>10+ years</v>
      </c>
      <c r="C517">
        <v>48</v>
      </c>
      <c r="D517" t="str" cm="1">
        <f t="array" ref="D517">_xlfn.IFS(C517&lt;26, "19-25", C517&lt;33, "26-32", C517&lt;40, "33-39", C517&lt;47, "40-46",C517&lt;54, "47-53", TRUE, "54+")</f>
        <v>47-53</v>
      </c>
      <c r="E517">
        <v>168260</v>
      </c>
      <c r="F517" s="1">
        <v>33298</v>
      </c>
      <c r="G517" t="s">
        <v>44</v>
      </c>
      <c r="H517" t="s">
        <v>45</v>
      </c>
      <c r="I517">
        <v>1000</v>
      </c>
      <c r="J517">
        <v>1168.8</v>
      </c>
      <c r="K517">
        <v>0</v>
      </c>
      <c r="L517">
        <v>444232</v>
      </c>
      <c r="M517" t="s">
        <v>75</v>
      </c>
      <c r="N517" t="s">
        <v>166</v>
      </c>
      <c r="O517" t="s">
        <v>102</v>
      </c>
      <c r="P517" t="s">
        <v>151</v>
      </c>
      <c r="Q517" t="s">
        <v>65</v>
      </c>
      <c r="R517">
        <v>0</v>
      </c>
      <c r="S517">
        <v>-42400</v>
      </c>
      <c r="T517" s="1">
        <v>42063</v>
      </c>
      <c r="U517" t="s">
        <v>51</v>
      </c>
      <c r="V517" t="s">
        <v>52</v>
      </c>
      <c r="W517" t="s">
        <v>112</v>
      </c>
      <c r="X517" t="s">
        <v>125</v>
      </c>
      <c r="Y517" t="s">
        <v>82</v>
      </c>
      <c r="Z517" t="s">
        <v>161</v>
      </c>
      <c r="AA517" t="s">
        <v>699</v>
      </c>
      <c r="AB517">
        <v>11</v>
      </c>
      <c r="AC517" t="str">
        <f t="shared" si="25"/>
        <v>Morning</v>
      </c>
      <c r="AD517">
        <v>1</v>
      </c>
      <c r="AE517" t="s">
        <v>67</v>
      </c>
      <c r="AF517">
        <v>0</v>
      </c>
      <c r="AG517">
        <v>3</v>
      </c>
      <c r="AH517" t="s">
        <v>58</v>
      </c>
      <c r="AI517">
        <v>35750</v>
      </c>
      <c r="AJ517">
        <v>6500</v>
      </c>
      <c r="AK517">
        <v>3250</v>
      </c>
      <c r="AL517">
        <v>26000</v>
      </c>
      <c r="AM517" t="s">
        <v>72</v>
      </c>
      <c r="AN517" t="s">
        <v>73</v>
      </c>
      <c r="AO517">
        <v>2015</v>
      </c>
      <c r="AP517">
        <v>2001</v>
      </c>
      <c r="AQ517">
        <f t="shared" si="26"/>
        <v>14</v>
      </c>
      <c r="AR517" t="s">
        <v>87</v>
      </c>
    </row>
    <row r="518" spans="1:44" x14ac:dyDescent="0.25">
      <c r="A518">
        <v>65</v>
      </c>
      <c r="B518" t="str">
        <f t="shared" si="24"/>
        <v>5-10 years</v>
      </c>
      <c r="C518">
        <v>27</v>
      </c>
      <c r="D518" t="str" cm="1">
        <f t="array" ref="D518">_xlfn.IFS(C518&lt;26, "19-25", C518&lt;33, "26-32", C518&lt;40, "33-39", C518&lt;47, "40-46",C518&lt;54, "47-53", TRUE, "54+")</f>
        <v>26-32</v>
      </c>
      <c r="E518">
        <v>538955</v>
      </c>
      <c r="F518" s="1">
        <v>37163</v>
      </c>
      <c r="G518" t="s">
        <v>62</v>
      </c>
      <c r="H518" t="s">
        <v>74</v>
      </c>
      <c r="I518">
        <v>1000</v>
      </c>
      <c r="J518">
        <v>1164.97</v>
      </c>
      <c r="K518">
        <v>0</v>
      </c>
      <c r="L518">
        <v>477695</v>
      </c>
      <c r="M518" t="s">
        <v>75</v>
      </c>
      <c r="N518" t="s">
        <v>146</v>
      </c>
      <c r="O518" t="s">
        <v>190</v>
      </c>
      <c r="P518" t="s">
        <v>269</v>
      </c>
      <c r="Q518" t="s">
        <v>124</v>
      </c>
      <c r="R518">
        <v>43000</v>
      </c>
      <c r="S518">
        <v>-42500</v>
      </c>
      <c r="T518" s="1">
        <v>42021</v>
      </c>
      <c r="U518" t="s">
        <v>51</v>
      </c>
      <c r="V518" t="s">
        <v>91</v>
      </c>
      <c r="W518" t="s">
        <v>112</v>
      </c>
      <c r="X518" t="s">
        <v>141</v>
      </c>
      <c r="Y518" t="s">
        <v>118</v>
      </c>
      <c r="Z518" t="s">
        <v>92</v>
      </c>
      <c r="AA518" t="s">
        <v>700</v>
      </c>
      <c r="AB518">
        <v>17</v>
      </c>
      <c r="AC518" t="str">
        <f t="shared" si="25"/>
        <v>Afternoon</v>
      </c>
      <c r="AD518">
        <v>1</v>
      </c>
      <c r="AE518" t="s">
        <v>67</v>
      </c>
      <c r="AF518">
        <v>1</v>
      </c>
      <c r="AG518">
        <v>2</v>
      </c>
      <c r="AH518" t="s">
        <v>58</v>
      </c>
      <c r="AI518">
        <v>42840</v>
      </c>
      <c r="AJ518">
        <v>3570</v>
      </c>
      <c r="AK518">
        <v>7140</v>
      </c>
      <c r="AL518">
        <v>32130</v>
      </c>
      <c r="AM518" t="s">
        <v>94</v>
      </c>
      <c r="AN518" t="s">
        <v>228</v>
      </c>
      <c r="AO518">
        <v>2015</v>
      </c>
      <c r="AP518">
        <v>2004</v>
      </c>
      <c r="AQ518">
        <f t="shared" si="26"/>
        <v>11</v>
      </c>
      <c r="AR518" t="s">
        <v>87</v>
      </c>
    </row>
    <row r="519" spans="1:44" x14ac:dyDescent="0.25">
      <c r="A519">
        <v>222</v>
      </c>
      <c r="B519" t="str">
        <f t="shared" si="24"/>
        <v>10+ years</v>
      </c>
      <c r="C519">
        <v>39</v>
      </c>
      <c r="D519" t="str" cm="1">
        <f t="array" ref="D519">_xlfn.IFS(C519&lt;26, "19-25", C519&lt;33, "26-32", C519&lt;40, "33-39", C519&lt;47, "40-46",C519&lt;54, "47-53", TRUE, "54+")</f>
        <v>33-39</v>
      </c>
      <c r="E519">
        <v>243226</v>
      </c>
      <c r="F519" s="1">
        <v>40918</v>
      </c>
      <c r="G519" t="s">
        <v>88</v>
      </c>
      <c r="H519" t="s">
        <v>45</v>
      </c>
      <c r="I519">
        <v>1000</v>
      </c>
      <c r="J519">
        <v>1232.72</v>
      </c>
      <c r="K519">
        <v>0</v>
      </c>
      <c r="L519">
        <v>458237</v>
      </c>
      <c r="M519" t="s">
        <v>46</v>
      </c>
      <c r="N519" t="s">
        <v>136</v>
      </c>
      <c r="O519" t="s">
        <v>89</v>
      </c>
      <c r="P519" t="s">
        <v>154</v>
      </c>
      <c r="Q519" t="s">
        <v>79</v>
      </c>
      <c r="R519">
        <v>87800</v>
      </c>
      <c r="S519">
        <v>-51200</v>
      </c>
      <c r="T519" s="1">
        <v>42044</v>
      </c>
      <c r="U519" t="s">
        <v>80</v>
      </c>
      <c r="V519" t="s">
        <v>91</v>
      </c>
      <c r="W519" t="s">
        <v>53</v>
      </c>
      <c r="X519" t="s">
        <v>104</v>
      </c>
      <c r="Y519" t="s">
        <v>55</v>
      </c>
      <c r="Z519" t="s">
        <v>107</v>
      </c>
      <c r="AA519" t="s">
        <v>701</v>
      </c>
      <c r="AB519">
        <v>21</v>
      </c>
      <c r="AC519" t="str">
        <f t="shared" si="25"/>
        <v>Evening</v>
      </c>
      <c r="AD519">
        <v>3</v>
      </c>
      <c r="AE519" t="s">
        <v>67</v>
      </c>
      <c r="AF519">
        <v>1</v>
      </c>
      <c r="AG519">
        <v>0</v>
      </c>
      <c r="AH519" t="s">
        <v>84</v>
      </c>
      <c r="AI519">
        <v>87960</v>
      </c>
      <c r="AJ519">
        <v>14660</v>
      </c>
      <c r="AK519">
        <v>14660</v>
      </c>
      <c r="AL519">
        <v>58640</v>
      </c>
      <c r="AM519" t="s">
        <v>202</v>
      </c>
      <c r="AN519" t="s">
        <v>203</v>
      </c>
      <c r="AO519">
        <v>2015</v>
      </c>
      <c r="AP519">
        <v>1999</v>
      </c>
      <c r="AQ519">
        <f t="shared" si="26"/>
        <v>16</v>
      </c>
      <c r="AR519" t="s">
        <v>61</v>
      </c>
    </row>
    <row r="520" spans="1:44" x14ac:dyDescent="0.25">
      <c r="A520">
        <v>196</v>
      </c>
      <c r="B520" t="str">
        <f t="shared" si="24"/>
        <v>10+ years</v>
      </c>
      <c r="C520">
        <v>41</v>
      </c>
      <c r="D520" t="str" cm="1">
        <f t="array" ref="D520">_xlfn.IFS(C520&lt;26, "19-25", C520&lt;33, "26-32", C520&lt;40, "33-39", C520&lt;47, "40-46",C520&lt;54, "47-53", TRUE, "54+")</f>
        <v>40-46</v>
      </c>
      <c r="E520">
        <v>246435</v>
      </c>
      <c r="F520" s="1">
        <v>37077</v>
      </c>
      <c r="G520" t="s">
        <v>88</v>
      </c>
      <c r="H520" t="s">
        <v>45</v>
      </c>
      <c r="I520">
        <v>2000</v>
      </c>
      <c r="J520">
        <v>1800.76</v>
      </c>
      <c r="K520">
        <v>0</v>
      </c>
      <c r="L520">
        <v>441499</v>
      </c>
      <c r="M520" t="s">
        <v>46</v>
      </c>
      <c r="N520" t="s">
        <v>166</v>
      </c>
      <c r="O520" t="s">
        <v>140</v>
      </c>
      <c r="P520" t="s">
        <v>123</v>
      </c>
      <c r="Q520" t="s">
        <v>65</v>
      </c>
      <c r="R520">
        <v>0</v>
      </c>
      <c r="S520">
        <v>-78600</v>
      </c>
      <c r="T520" s="1">
        <v>42018</v>
      </c>
      <c r="U520" t="s">
        <v>80</v>
      </c>
      <c r="V520" t="s">
        <v>81</v>
      </c>
      <c r="W520" t="s">
        <v>68</v>
      </c>
      <c r="X520" t="s">
        <v>141</v>
      </c>
      <c r="Y520" t="s">
        <v>55</v>
      </c>
      <c r="Z520" t="s">
        <v>127</v>
      </c>
      <c r="AA520" t="s">
        <v>702</v>
      </c>
      <c r="AB520">
        <v>0</v>
      </c>
      <c r="AC520" t="str">
        <f t="shared" si="25"/>
        <v>Night</v>
      </c>
      <c r="AD520">
        <v>3</v>
      </c>
      <c r="AE520" t="s">
        <v>84</v>
      </c>
      <c r="AF520">
        <v>1</v>
      </c>
      <c r="AG520">
        <v>0</v>
      </c>
      <c r="AH520" t="s">
        <v>84</v>
      </c>
      <c r="AI520">
        <v>47800</v>
      </c>
      <c r="AJ520">
        <v>4780</v>
      </c>
      <c r="AK520">
        <v>4780</v>
      </c>
      <c r="AL520">
        <v>38240</v>
      </c>
      <c r="AM520" t="s">
        <v>202</v>
      </c>
      <c r="AN520" t="s">
        <v>380</v>
      </c>
      <c r="AO520">
        <v>2015</v>
      </c>
      <c r="AP520">
        <v>2009</v>
      </c>
      <c r="AQ520">
        <f t="shared" si="26"/>
        <v>6</v>
      </c>
      <c r="AR520" t="s">
        <v>87</v>
      </c>
    </row>
    <row r="521" spans="1:44" x14ac:dyDescent="0.25">
      <c r="A521">
        <v>253</v>
      </c>
      <c r="B521" t="str">
        <f t="shared" si="24"/>
        <v>10+ years</v>
      </c>
      <c r="C521">
        <v>43</v>
      </c>
      <c r="D521" t="str" cm="1">
        <f t="array" ref="D521">_xlfn.IFS(C521&lt;26, "19-25", C521&lt;33, "26-32", C521&lt;40, "33-39", C521&lt;47, "40-46",C521&lt;54, "47-53", TRUE, "54+")</f>
        <v>40-46</v>
      </c>
      <c r="E521">
        <v>582480</v>
      </c>
      <c r="F521" s="1">
        <v>33457</v>
      </c>
      <c r="G521" t="s">
        <v>88</v>
      </c>
      <c r="H521" t="s">
        <v>96</v>
      </c>
      <c r="I521">
        <v>500</v>
      </c>
      <c r="J521">
        <v>1187.01</v>
      </c>
      <c r="K521">
        <v>7000000</v>
      </c>
      <c r="L521">
        <v>613436</v>
      </c>
      <c r="M521" t="s">
        <v>75</v>
      </c>
      <c r="N521" t="s">
        <v>97</v>
      </c>
      <c r="O521" t="s">
        <v>102</v>
      </c>
      <c r="P521" t="s">
        <v>269</v>
      </c>
      <c r="Q521" t="s">
        <v>90</v>
      </c>
      <c r="R521">
        <v>46300</v>
      </c>
      <c r="S521">
        <v>-33000</v>
      </c>
      <c r="T521" s="1">
        <v>42037</v>
      </c>
      <c r="U521" t="s">
        <v>66</v>
      </c>
      <c r="V521" t="s">
        <v>67</v>
      </c>
      <c r="W521" t="s">
        <v>217</v>
      </c>
      <c r="X521" t="s">
        <v>54</v>
      </c>
      <c r="Y521" t="s">
        <v>82</v>
      </c>
      <c r="Z521" t="s">
        <v>161</v>
      </c>
      <c r="AA521" t="s">
        <v>703</v>
      </c>
      <c r="AB521">
        <v>9</v>
      </c>
      <c r="AC521" t="str">
        <f t="shared" si="25"/>
        <v>Morning</v>
      </c>
      <c r="AD521">
        <v>1</v>
      </c>
      <c r="AE521" t="s">
        <v>84</v>
      </c>
      <c r="AF521">
        <v>0</v>
      </c>
      <c r="AG521">
        <v>1</v>
      </c>
      <c r="AH521" t="s">
        <v>67</v>
      </c>
      <c r="AI521">
        <v>3840</v>
      </c>
      <c r="AJ521">
        <v>640</v>
      </c>
      <c r="AK521">
        <v>640</v>
      </c>
      <c r="AL521">
        <v>2560</v>
      </c>
      <c r="AM521" t="s">
        <v>94</v>
      </c>
      <c r="AN521" t="s">
        <v>95</v>
      </c>
      <c r="AO521">
        <v>2015</v>
      </c>
      <c r="AP521">
        <v>2014</v>
      </c>
      <c r="AQ521">
        <f t="shared" si="26"/>
        <v>1</v>
      </c>
      <c r="AR521" t="s">
        <v>87</v>
      </c>
    </row>
    <row r="522" spans="1:44" x14ac:dyDescent="0.25">
      <c r="A522">
        <v>280</v>
      </c>
      <c r="B522" t="str">
        <f t="shared" si="24"/>
        <v>10+ years</v>
      </c>
      <c r="C522">
        <v>43</v>
      </c>
      <c r="D522" t="str" cm="1">
        <f t="array" ref="D522">_xlfn.IFS(C522&lt;26, "19-25", C522&lt;33, "26-32", C522&lt;40, "33-39", C522&lt;47, "40-46",C522&lt;54, "47-53", TRUE, "54+")</f>
        <v>40-46</v>
      </c>
      <c r="E522">
        <v>345539</v>
      </c>
      <c r="F522" s="1">
        <v>41114</v>
      </c>
      <c r="G522" t="s">
        <v>62</v>
      </c>
      <c r="H522" t="s">
        <v>74</v>
      </c>
      <c r="I522">
        <v>1000</v>
      </c>
      <c r="J522">
        <v>1559.34</v>
      </c>
      <c r="K522">
        <v>0</v>
      </c>
      <c r="L522">
        <v>448912</v>
      </c>
      <c r="M522" t="s">
        <v>46</v>
      </c>
      <c r="N522" t="s">
        <v>166</v>
      </c>
      <c r="O522" t="s">
        <v>150</v>
      </c>
      <c r="P522" t="s">
        <v>154</v>
      </c>
      <c r="Q522" t="s">
        <v>79</v>
      </c>
      <c r="R522">
        <v>0</v>
      </c>
      <c r="S522">
        <v>-51600</v>
      </c>
      <c r="T522" s="1">
        <v>42052</v>
      </c>
      <c r="U522" t="s">
        <v>51</v>
      </c>
      <c r="V522" t="s">
        <v>91</v>
      </c>
      <c r="W522" t="s">
        <v>112</v>
      </c>
      <c r="X522" t="s">
        <v>104</v>
      </c>
      <c r="Y522" t="s">
        <v>82</v>
      </c>
      <c r="Z522" t="s">
        <v>70</v>
      </c>
      <c r="AA522" t="s">
        <v>704</v>
      </c>
      <c r="AB522">
        <v>1</v>
      </c>
      <c r="AC522" t="str">
        <f t="shared" si="25"/>
        <v>Night</v>
      </c>
      <c r="AD522">
        <v>1</v>
      </c>
      <c r="AE522" t="s">
        <v>84</v>
      </c>
      <c r="AF522">
        <v>0</v>
      </c>
      <c r="AG522">
        <v>2</v>
      </c>
      <c r="AH522" t="s">
        <v>67</v>
      </c>
      <c r="AI522">
        <v>77000</v>
      </c>
      <c r="AJ522">
        <v>14000</v>
      </c>
      <c r="AK522">
        <v>7000</v>
      </c>
      <c r="AL522">
        <v>56000</v>
      </c>
      <c r="AM522" t="s">
        <v>100</v>
      </c>
      <c r="AN522" t="s">
        <v>101</v>
      </c>
      <c r="AO522">
        <v>2015</v>
      </c>
      <c r="AP522">
        <v>2004</v>
      </c>
      <c r="AQ522">
        <f t="shared" si="26"/>
        <v>11</v>
      </c>
      <c r="AR522" t="s">
        <v>87</v>
      </c>
    </row>
    <row r="523" spans="1:44" x14ac:dyDescent="0.25">
      <c r="A523">
        <v>5</v>
      </c>
      <c r="B523" t="str">
        <f t="shared" si="24"/>
        <v>0-2 years</v>
      </c>
      <c r="C523">
        <v>26</v>
      </c>
      <c r="D523" t="str" cm="1">
        <f t="array" ref="D523">_xlfn.IFS(C523&lt;26, "19-25", C523&lt;33, "26-32", C523&lt;40, "33-39", C523&lt;47, "40-46",C523&lt;54, "47-53", TRUE, "54+")</f>
        <v>26-32</v>
      </c>
      <c r="E523">
        <v>924318</v>
      </c>
      <c r="F523" s="1">
        <v>41847</v>
      </c>
      <c r="G523" t="s">
        <v>88</v>
      </c>
      <c r="H523" t="s">
        <v>45</v>
      </c>
      <c r="I523">
        <v>2000</v>
      </c>
      <c r="J523">
        <v>1137.02</v>
      </c>
      <c r="K523">
        <v>0</v>
      </c>
      <c r="L523">
        <v>468872</v>
      </c>
      <c r="M523" t="s">
        <v>75</v>
      </c>
      <c r="N523" t="s">
        <v>76</v>
      </c>
      <c r="O523" t="s">
        <v>194</v>
      </c>
      <c r="P523" t="s">
        <v>137</v>
      </c>
      <c r="Q523" t="s">
        <v>147</v>
      </c>
      <c r="R523">
        <v>31500</v>
      </c>
      <c r="S523">
        <v>0</v>
      </c>
      <c r="T523" s="1">
        <v>42029</v>
      </c>
      <c r="U523" t="s">
        <v>51</v>
      </c>
      <c r="V523" t="s">
        <v>81</v>
      </c>
      <c r="W523" t="s">
        <v>112</v>
      </c>
      <c r="X523" t="s">
        <v>141</v>
      </c>
      <c r="Y523" t="s">
        <v>118</v>
      </c>
      <c r="Z523" t="s">
        <v>107</v>
      </c>
      <c r="AA523" t="s">
        <v>705</v>
      </c>
      <c r="AB523">
        <v>22</v>
      </c>
      <c r="AC523" t="str">
        <f t="shared" si="25"/>
        <v>Evening</v>
      </c>
      <c r="AD523">
        <v>1</v>
      </c>
      <c r="AE523" t="s">
        <v>58</v>
      </c>
      <c r="AF523">
        <v>1</v>
      </c>
      <c r="AG523">
        <v>3</v>
      </c>
      <c r="AH523" t="s">
        <v>67</v>
      </c>
      <c r="AI523">
        <v>88110</v>
      </c>
      <c r="AJ523">
        <v>16020</v>
      </c>
      <c r="AK523">
        <v>16020</v>
      </c>
      <c r="AL523">
        <v>56070</v>
      </c>
      <c r="AM523" t="s">
        <v>114</v>
      </c>
      <c r="AN523" t="s">
        <v>115</v>
      </c>
      <c r="AO523">
        <v>2015</v>
      </c>
      <c r="AP523">
        <v>2003</v>
      </c>
      <c r="AQ523">
        <f t="shared" si="26"/>
        <v>12</v>
      </c>
      <c r="AR523" t="s">
        <v>87</v>
      </c>
    </row>
    <row r="524" spans="1:44" x14ac:dyDescent="0.25">
      <c r="A524">
        <v>220</v>
      </c>
      <c r="B524" t="str">
        <f t="shared" si="24"/>
        <v>10+ years</v>
      </c>
      <c r="C524">
        <v>42</v>
      </c>
      <c r="D524" t="str" cm="1">
        <f t="array" ref="D524">_xlfn.IFS(C524&lt;26, "19-25", C524&lt;33, "26-32", C524&lt;40, "33-39", C524&lt;47, "40-46",C524&lt;54, "47-53", TRUE, "54+")</f>
        <v>40-46</v>
      </c>
      <c r="E524">
        <v>726880</v>
      </c>
      <c r="F524" s="1">
        <v>34554</v>
      </c>
      <c r="G524" t="s">
        <v>62</v>
      </c>
      <c r="H524" t="s">
        <v>74</v>
      </c>
      <c r="I524">
        <v>1000</v>
      </c>
      <c r="J524">
        <v>1281.72</v>
      </c>
      <c r="K524">
        <v>0</v>
      </c>
      <c r="L524">
        <v>619811</v>
      </c>
      <c r="M524" t="s">
        <v>46</v>
      </c>
      <c r="N524" t="s">
        <v>146</v>
      </c>
      <c r="O524" t="s">
        <v>194</v>
      </c>
      <c r="P524" t="s">
        <v>154</v>
      </c>
      <c r="Q524" t="s">
        <v>65</v>
      </c>
      <c r="R524">
        <v>33500</v>
      </c>
      <c r="S524">
        <v>-49500</v>
      </c>
      <c r="T524" s="1">
        <v>42048</v>
      </c>
      <c r="U524" t="s">
        <v>80</v>
      </c>
      <c r="V524" t="s">
        <v>81</v>
      </c>
      <c r="W524" t="s">
        <v>68</v>
      </c>
      <c r="X524" t="s">
        <v>104</v>
      </c>
      <c r="Y524" t="s">
        <v>55</v>
      </c>
      <c r="Z524" t="s">
        <v>132</v>
      </c>
      <c r="AA524" t="s">
        <v>706</v>
      </c>
      <c r="AB524">
        <v>20</v>
      </c>
      <c r="AC524" t="str">
        <f t="shared" si="25"/>
        <v>Evening</v>
      </c>
      <c r="AD524">
        <v>4</v>
      </c>
      <c r="AE524" t="s">
        <v>84</v>
      </c>
      <c r="AF524">
        <v>0</v>
      </c>
      <c r="AG524">
        <v>2</v>
      </c>
      <c r="AH524" t="s">
        <v>58</v>
      </c>
      <c r="AI524">
        <v>47740</v>
      </c>
      <c r="AJ524">
        <v>4340</v>
      </c>
      <c r="AK524">
        <v>4340</v>
      </c>
      <c r="AL524">
        <v>39060</v>
      </c>
      <c r="AM524" t="s">
        <v>214</v>
      </c>
      <c r="AN524" t="s">
        <v>215</v>
      </c>
      <c r="AO524">
        <v>2015</v>
      </c>
      <c r="AP524">
        <v>2005</v>
      </c>
      <c r="AQ524">
        <f t="shared" si="26"/>
        <v>10</v>
      </c>
      <c r="AR524" t="s">
        <v>87</v>
      </c>
    </row>
    <row r="525" spans="1:44" x14ac:dyDescent="0.25">
      <c r="A525">
        <v>85</v>
      </c>
      <c r="B525" t="str">
        <f t="shared" si="24"/>
        <v>5-10 years</v>
      </c>
      <c r="C525">
        <v>30</v>
      </c>
      <c r="D525" t="str" cm="1">
        <f t="array" ref="D525">_xlfn.IFS(C525&lt;26, "19-25", C525&lt;33, "26-32", C525&lt;40, "33-39", C525&lt;47, "40-46",C525&lt;54, "47-53", TRUE, "54+")</f>
        <v>26-32</v>
      </c>
      <c r="E525">
        <v>190588</v>
      </c>
      <c r="F525" s="1">
        <v>37234</v>
      </c>
      <c r="G525" t="s">
        <v>44</v>
      </c>
      <c r="H525" t="s">
        <v>74</v>
      </c>
      <c r="I525">
        <v>1000</v>
      </c>
      <c r="J525">
        <v>796.35</v>
      </c>
      <c r="K525">
        <v>0</v>
      </c>
      <c r="L525">
        <v>614166</v>
      </c>
      <c r="M525" t="s">
        <v>75</v>
      </c>
      <c r="N525" t="s">
        <v>47</v>
      </c>
      <c r="O525" t="s">
        <v>48</v>
      </c>
      <c r="P525" t="s">
        <v>186</v>
      </c>
      <c r="Q525" t="s">
        <v>79</v>
      </c>
      <c r="R525">
        <v>72400</v>
      </c>
      <c r="S525">
        <v>-77000</v>
      </c>
      <c r="T525" s="1">
        <v>42055</v>
      </c>
      <c r="U525" t="s">
        <v>80</v>
      </c>
      <c r="V525" t="s">
        <v>81</v>
      </c>
      <c r="W525" t="s">
        <v>112</v>
      </c>
      <c r="X525" t="s">
        <v>104</v>
      </c>
      <c r="Y525" t="s">
        <v>55</v>
      </c>
      <c r="Z525" t="s">
        <v>132</v>
      </c>
      <c r="AA525" t="s">
        <v>707</v>
      </c>
      <c r="AB525">
        <v>9</v>
      </c>
      <c r="AC525" t="str">
        <f t="shared" si="25"/>
        <v>Morning</v>
      </c>
      <c r="AD525">
        <v>3</v>
      </c>
      <c r="AE525" t="s">
        <v>58</v>
      </c>
      <c r="AF525">
        <v>2</v>
      </c>
      <c r="AG525">
        <v>1</v>
      </c>
      <c r="AH525" t="s">
        <v>58</v>
      </c>
      <c r="AI525">
        <v>58960</v>
      </c>
      <c r="AJ525">
        <v>5360</v>
      </c>
      <c r="AK525">
        <v>10720</v>
      </c>
      <c r="AL525">
        <v>42880</v>
      </c>
      <c r="AM525" t="s">
        <v>134</v>
      </c>
      <c r="AN525" t="s">
        <v>135</v>
      </c>
      <c r="AO525">
        <v>2015</v>
      </c>
      <c r="AP525">
        <v>2004</v>
      </c>
      <c r="AQ525">
        <f t="shared" si="26"/>
        <v>11</v>
      </c>
      <c r="AR525" t="s">
        <v>87</v>
      </c>
    </row>
    <row r="526" spans="1:44" x14ac:dyDescent="0.25">
      <c r="A526">
        <v>266</v>
      </c>
      <c r="B526" t="str">
        <f t="shared" si="24"/>
        <v>10+ years</v>
      </c>
      <c r="C526">
        <v>46</v>
      </c>
      <c r="D526" t="str" cm="1">
        <f t="array" ref="D526">_xlfn.IFS(C526&lt;26, "19-25", C526&lt;33, "26-32", C526&lt;40, "33-39", C526&lt;47, "40-46",C526&lt;54, "47-53", TRUE, "54+")</f>
        <v>40-46</v>
      </c>
      <c r="E526">
        <v>246705</v>
      </c>
      <c r="F526" s="1">
        <v>32946</v>
      </c>
      <c r="G526" t="s">
        <v>44</v>
      </c>
      <c r="H526" t="s">
        <v>45</v>
      </c>
      <c r="I526">
        <v>500</v>
      </c>
      <c r="J526">
        <v>1270.02</v>
      </c>
      <c r="K526">
        <v>0</v>
      </c>
      <c r="L526">
        <v>456600</v>
      </c>
      <c r="M526" t="s">
        <v>75</v>
      </c>
      <c r="N526" t="s">
        <v>97</v>
      </c>
      <c r="O526" t="s">
        <v>102</v>
      </c>
      <c r="P526" t="s">
        <v>137</v>
      </c>
      <c r="Q526" t="s">
        <v>79</v>
      </c>
      <c r="R526">
        <v>0</v>
      </c>
      <c r="S526">
        <v>-45800</v>
      </c>
      <c r="T526" s="1">
        <v>42012</v>
      </c>
      <c r="U526" t="s">
        <v>143</v>
      </c>
      <c r="V526" t="s">
        <v>67</v>
      </c>
      <c r="W526" t="s">
        <v>68</v>
      </c>
      <c r="X526" t="s">
        <v>54</v>
      </c>
      <c r="Y526" t="s">
        <v>126</v>
      </c>
      <c r="Z526" t="s">
        <v>161</v>
      </c>
      <c r="AA526" t="s">
        <v>708</v>
      </c>
      <c r="AB526">
        <v>5</v>
      </c>
      <c r="AC526" t="str">
        <f t="shared" si="25"/>
        <v>Night</v>
      </c>
      <c r="AD526">
        <v>1</v>
      </c>
      <c r="AE526" t="s">
        <v>84</v>
      </c>
      <c r="AF526">
        <v>1</v>
      </c>
      <c r="AG526">
        <v>2</v>
      </c>
      <c r="AH526" t="s">
        <v>67</v>
      </c>
      <c r="AI526">
        <v>2160</v>
      </c>
      <c r="AJ526">
        <v>480</v>
      </c>
      <c r="AK526">
        <v>240</v>
      </c>
      <c r="AL526">
        <v>1440</v>
      </c>
      <c r="AM526" t="s">
        <v>120</v>
      </c>
      <c r="AN526" t="s">
        <v>188</v>
      </c>
      <c r="AO526">
        <v>2015</v>
      </c>
      <c r="AP526">
        <v>2004</v>
      </c>
      <c r="AQ526">
        <f t="shared" si="26"/>
        <v>11</v>
      </c>
      <c r="AR526" t="s">
        <v>87</v>
      </c>
    </row>
    <row r="527" spans="1:44" x14ac:dyDescent="0.25">
      <c r="A527">
        <v>41</v>
      </c>
      <c r="B527" t="str">
        <f t="shared" si="24"/>
        <v>2-5 years</v>
      </c>
      <c r="C527">
        <v>26</v>
      </c>
      <c r="D527" t="str" cm="1">
        <f t="array" ref="D527">_xlfn.IFS(C527&lt;26, "19-25", C527&lt;33, "26-32", C527&lt;40, "33-39", C527&lt;47, "40-46",C527&lt;54, "47-53", TRUE, "54+")</f>
        <v>26-32</v>
      </c>
      <c r="E527">
        <v>619589</v>
      </c>
      <c r="F527" s="1">
        <v>38804</v>
      </c>
      <c r="G527" t="s">
        <v>88</v>
      </c>
      <c r="H527" t="s">
        <v>74</v>
      </c>
      <c r="I527">
        <v>1000</v>
      </c>
      <c r="J527">
        <v>1383.13</v>
      </c>
      <c r="K527">
        <v>0</v>
      </c>
      <c r="L527">
        <v>618405</v>
      </c>
      <c r="M527" t="s">
        <v>75</v>
      </c>
      <c r="N527" t="s">
        <v>166</v>
      </c>
      <c r="O527" t="s">
        <v>106</v>
      </c>
      <c r="P527" t="s">
        <v>269</v>
      </c>
      <c r="Q527" t="s">
        <v>79</v>
      </c>
      <c r="R527">
        <v>46700</v>
      </c>
      <c r="S527">
        <v>0</v>
      </c>
      <c r="T527" s="1">
        <v>42063</v>
      </c>
      <c r="U527" t="s">
        <v>66</v>
      </c>
      <c r="V527" t="s">
        <v>67</v>
      </c>
      <c r="W527" t="s">
        <v>217</v>
      </c>
      <c r="X527" t="s">
        <v>54</v>
      </c>
      <c r="Y527" t="s">
        <v>55</v>
      </c>
      <c r="Z527" t="s">
        <v>70</v>
      </c>
      <c r="AA527" t="s">
        <v>709</v>
      </c>
      <c r="AB527">
        <v>12</v>
      </c>
      <c r="AC527" t="str">
        <f t="shared" si="25"/>
        <v>Afternoon</v>
      </c>
      <c r="AD527">
        <v>1</v>
      </c>
      <c r="AE527" t="s">
        <v>58</v>
      </c>
      <c r="AF527">
        <v>1</v>
      </c>
      <c r="AG527">
        <v>1</v>
      </c>
      <c r="AH527" t="s">
        <v>67</v>
      </c>
      <c r="AI527">
        <v>6890</v>
      </c>
      <c r="AJ527">
        <v>530</v>
      </c>
      <c r="AK527">
        <v>1060</v>
      </c>
      <c r="AL527">
        <v>5300</v>
      </c>
      <c r="AM527" t="s">
        <v>202</v>
      </c>
      <c r="AN527" t="s">
        <v>380</v>
      </c>
      <c r="AO527">
        <v>2015</v>
      </c>
      <c r="AP527">
        <v>1997</v>
      </c>
      <c r="AQ527">
        <f t="shared" si="26"/>
        <v>18</v>
      </c>
      <c r="AR527" t="s">
        <v>87</v>
      </c>
    </row>
    <row r="528" spans="1:44" x14ac:dyDescent="0.25">
      <c r="A528">
        <v>316</v>
      </c>
      <c r="B528" t="str">
        <f t="shared" si="24"/>
        <v>10+ years</v>
      </c>
      <c r="C528">
        <v>45</v>
      </c>
      <c r="D528" t="str" cm="1">
        <f t="array" ref="D528">_xlfn.IFS(C528&lt;26, "19-25", C528&lt;33, "26-32", C528&lt;40, "33-39", C528&lt;47, "40-46",C528&lt;54, "47-53", TRUE, "54+")</f>
        <v>40-46</v>
      </c>
      <c r="E528">
        <v>164988</v>
      </c>
      <c r="F528" s="1">
        <v>41631</v>
      </c>
      <c r="G528" t="s">
        <v>88</v>
      </c>
      <c r="H528" t="s">
        <v>74</v>
      </c>
      <c r="I528">
        <v>2000</v>
      </c>
      <c r="J528">
        <v>1290.74</v>
      </c>
      <c r="K528">
        <v>5000000</v>
      </c>
      <c r="L528">
        <v>430832</v>
      </c>
      <c r="M528" t="s">
        <v>75</v>
      </c>
      <c r="N528" t="s">
        <v>136</v>
      </c>
      <c r="O528" t="s">
        <v>106</v>
      </c>
      <c r="P528" t="s">
        <v>175</v>
      </c>
      <c r="Q528" t="s">
        <v>50</v>
      </c>
      <c r="R528">
        <v>58300</v>
      </c>
      <c r="S528">
        <v>0</v>
      </c>
      <c r="T528" s="1">
        <v>42047</v>
      </c>
      <c r="U528" t="s">
        <v>80</v>
      </c>
      <c r="V528" t="s">
        <v>52</v>
      </c>
      <c r="W528" t="s">
        <v>53</v>
      </c>
      <c r="X528" t="s">
        <v>141</v>
      </c>
      <c r="Y528" t="s">
        <v>69</v>
      </c>
      <c r="Z528" t="s">
        <v>107</v>
      </c>
      <c r="AA528" t="s">
        <v>710</v>
      </c>
      <c r="AB528">
        <v>6</v>
      </c>
      <c r="AC528" t="str">
        <f t="shared" si="25"/>
        <v>Morning</v>
      </c>
      <c r="AD528">
        <v>3</v>
      </c>
      <c r="AE528" t="s">
        <v>84</v>
      </c>
      <c r="AF528">
        <v>2</v>
      </c>
      <c r="AG528">
        <v>0</v>
      </c>
      <c r="AH528" t="s">
        <v>58</v>
      </c>
      <c r="AI528">
        <v>78870</v>
      </c>
      <c r="AJ528">
        <v>7170</v>
      </c>
      <c r="AK528">
        <v>14340</v>
      </c>
      <c r="AL528">
        <v>57360</v>
      </c>
      <c r="AM528" t="s">
        <v>158</v>
      </c>
      <c r="AN528" t="s">
        <v>159</v>
      </c>
      <c r="AO528">
        <v>2015</v>
      </c>
      <c r="AP528">
        <v>2013</v>
      </c>
      <c r="AQ528">
        <f t="shared" si="26"/>
        <v>2</v>
      </c>
      <c r="AR528" t="s">
        <v>87</v>
      </c>
    </row>
    <row r="529" spans="1:44" x14ac:dyDescent="0.25">
      <c r="A529">
        <v>285</v>
      </c>
      <c r="B529" t="str">
        <f t="shared" si="24"/>
        <v>10+ years</v>
      </c>
      <c r="C529">
        <v>47</v>
      </c>
      <c r="D529" t="str" cm="1">
        <f t="array" ref="D529">_xlfn.IFS(C529&lt;26, "19-25", C529&lt;33, "26-32", C529&lt;40, "33-39", C529&lt;47, "40-46",C529&lt;54, "47-53", TRUE, "54+")</f>
        <v>47-53</v>
      </c>
      <c r="E529">
        <v>729534</v>
      </c>
      <c r="F529" s="1">
        <v>33511</v>
      </c>
      <c r="G529" t="s">
        <v>62</v>
      </c>
      <c r="H529" t="s">
        <v>74</v>
      </c>
      <c r="I529">
        <v>1000</v>
      </c>
      <c r="J529">
        <v>1216.68</v>
      </c>
      <c r="K529">
        <v>0</v>
      </c>
      <c r="L529">
        <v>610989</v>
      </c>
      <c r="M529" t="s">
        <v>75</v>
      </c>
      <c r="N529" t="s">
        <v>129</v>
      </c>
      <c r="O529" t="s">
        <v>77</v>
      </c>
      <c r="P529" t="s">
        <v>184</v>
      </c>
      <c r="Q529" t="s">
        <v>65</v>
      </c>
      <c r="R529">
        <v>55100</v>
      </c>
      <c r="S529">
        <v>0</v>
      </c>
      <c r="T529" s="1">
        <v>42010</v>
      </c>
      <c r="U529" t="s">
        <v>66</v>
      </c>
      <c r="V529" t="s">
        <v>67</v>
      </c>
      <c r="W529" t="s">
        <v>217</v>
      </c>
      <c r="X529" t="s">
        <v>54</v>
      </c>
      <c r="Y529" t="s">
        <v>55</v>
      </c>
      <c r="Z529" t="s">
        <v>56</v>
      </c>
      <c r="AA529" t="s">
        <v>711</v>
      </c>
      <c r="AB529">
        <v>8</v>
      </c>
      <c r="AC529" t="str">
        <f t="shared" si="25"/>
        <v>Morning</v>
      </c>
      <c r="AD529">
        <v>1</v>
      </c>
      <c r="AE529" t="s">
        <v>84</v>
      </c>
      <c r="AF529">
        <v>1</v>
      </c>
      <c r="AG529">
        <v>1</v>
      </c>
      <c r="AH529" t="s">
        <v>84</v>
      </c>
      <c r="AI529">
        <v>2700</v>
      </c>
      <c r="AJ529">
        <v>300</v>
      </c>
      <c r="AK529">
        <v>300</v>
      </c>
      <c r="AL529">
        <v>2100</v>
      </c>
      <c r="AM529" t="s">
        <v>134</v>
      </c>
      <c r="AN529" t="s">
        <v>135</v>
      </c>
      <c r="AO529">
        <v>2015</v>
      </c>
      <c r="AP529">
        <v>2013</v>
      </c>
      <c r="AQ529">
        <f t="shared" si="26"/>
        <v>2</v>
      </c>
      <c r="AR529" t="s">
        <v>87</v>
      </c>
    </row>
    <row r="530" spans="1:44" x14ac:dyDescent="0.25">
      <c r="A530">
        <v>379</v>
      </c>
      <c r="B530" t="str">
        <f t="shared" si="24"/>
        <v>10+ years</v>
      </c>
      <c r="C530">
        <v>54</v>
      </c>
      <c r="D530" t="str" cm="1">
        <f t="array" ref="D530">_xlfn.IFS(C530&lt;26, "19-25", C530&lt;33, "26-32", C530&lt;40, "33-39", C530&lt;47, "40-46",C530&lt;54, "47-53", TRUE, "54+")</f>
        <v>54+</v>
      </c>
      <c r="E530">
        <v>505014</v>
      </c>
      <c r="F530" s="1">
        <v>37252</v>
      </c>
      <c r="G530" t="s">
        <v>88</v>
      </c>
      <c r="H530" t="s">
        <v>74</v>
      </c>
      <c r="I530">
        <v>500</v>
      </c>
      <c r="J530">
        <v>1251.1600000000001</v>
      </c>
      <c r="K530">
        <v>0</v>
      </c>
      <c r="L530">
        <v>447750</v>
      </c>
      <c r="M530" t="s">
        <v>75</v>
      </c>
      <c r="N530" t="s">
        <v>97</v>
      </c>
      <c r="O530" t="s">
        <v>63</v>
      </c>
      <c r="P530" t="s">
        <v>175</v>
      </c>
      <c r="Q530" t="s">
        <v>147</v>
      </c>
      <c r="R530">
        <v>41400</v>
      </c>
      <c r="S530">
        <v>0</v>
      </c>
      <c r="T530" s="1">
        <v>42050</v>
      </c>
      <c r="U530" t="s">
        <v>51</v>
      </c>
      <c r="V530" t="s">
        <v>91</v>
      </c>
      <c r="W530" t="s">
        <v>112</v>
      </c>
      <c r="X530" t="s">
        <v>141</v>
      </c>
      <c r="Y530" t="s">
        <v>118</v>
      </c>
      <c r="Z530" t="s">
        <v>70</v>
      </c>
      <c r="AA530" t="s">
        <v>712</v>
      </c>
      <c r="AB530">
        <v>14</v>
      </c>
      <c r="AC530" t="str">
        <f t="shared" si="25"/>
        <v>Afternoon</v>
      </c>
      <c r="AD530">
        <v>1</v>
      </c>
      <c r="AE530" t="s">
        <v>67</v>
      </c>
      <c r="AF530">
        <v>0</v>
      </c>
      <c r="AG530">
        <v>1</v>
      </c>
      <c r="AH530" t="s">
        <v>84</v>
      </c>
      <c r="AI530">
        <v>75960</v>
      </c>
      <c r="AJ530">
        <v>6330</v>
      </c>
      <c r="AK530">
        <v>6330</v>
      </c>
      <c r="AL530">
        <v>63300</v>
      </c>
      <c r="AM530" t="s">
        <v>202</v>
      </c>
      <c r="AN530" t="s">
        <v>380</v>
      </c>
      <c r="AO530">
        <v>2015</v>
      </c>
      <c r="AP530">
        <v>2010</v>
      </c>
      <c r="AQ530">
        <f t="shared" si="26"/>
        <v>5</v>
      </c>
      <c r="AR530" t="s">
        <v>87</v>
      </c>
    </row>
    <row r="531" spans="1:44" x14ac:dyDescent="0.25">
      <c r="A531">
        <v>15</v>
      </c>
      <c r="B531" t="str">
        <f t="shared" si="24"/>
        <v>0-2 years</v>
      </c>
      <c r="C531">
        <v>34</v>
      </c>
      <c r="D531" t="str" cm="1">
        <f t="array" ref="D531">_xlfn.IFS(C531&lt;26, "19-25", C531&lt;33, "26-32", C531&lt;40, "33-39", C531&lt;47, "40-46",C531&lt;54, "47-53", TRUE, "54+")</f>
        <v>33-39</v>
      </c>
      <c r="E531">
        <v>920826</v>
      </c>
      <c r="F531" s="1">
        <v>38449</v>
      </c>
      <c r="G531" t="s">
        <v>62</v>
      </c>
      <c r="H531" t="s">
        <v>45</v>
      </c>
      <c r="I531">
        <v>2000</v>
      </c>
      <c r="J531">
        <v>1586.41</v>
      </c>
      <c r="K531">
        <v>0</v>
      </c>
      <c r="L531">
        <v>608708</v>
      </c>
      <c r="M531" t="s">
        <v>75</v>
      </c>
      <c r="N531" t="s">
        <v>136</v>
      </c>
      <c r="O531" t="s">
        <v>77</v>
      </c>
      <c r="P531" t="s">
        <v>186</v>
      </c>
      <c r="Q531" t="s">
        <v>65</v>
      </c>
      <c r="R531">
        <v>33500</v>
      </c>
      <c r="S531">
        <v>-58900</v>
      </c>
      <c r="T531" s="1">
        <v>42024</v>
      </c>
      <c r="U531" t="s">
        <v>51</v>
      </c>
      <c r="V531" t="s">
        <v>91</v>
      </c>
      <c r="W531" t="s">
        <v>53</v>
      </c>
      <c r="X531" t="s">
        <v>54</v>
      </c>
      <c r="Y531" t="s">
        <v>118</v>
      </c>
      <c r="Z531" t="s">
        <v>161</v>
      </c>
      <c r="AA531" t="s">
        <v>713</v>
      </c>
      <c r="AB531">
        <v>10</v>
      </c>
      <c r="AC531" t="str">
        <f t="shared" si="25"/>
        <v>Morning</v>
      </c>
      <c r="AD531">
        <v>1</v>
      </c>
      <c r="AE531" t="s">
        <v>58</v>
      </c>
      <c r="AF531">
        <v>1</v>
      </c>
      <c r="AG531">
        <v>3</v>
      </c>
      <c r="AH531" t="s">
        <v>67</v>
      </c>
      <c r="AI531">
        <v>75570</v>
      </c>
      <c r="AJ531">
        <v>6870</v>
      </c>
      <c r="AK531">
        <v>13740</v>
      </c>
      <c r="AL531">
        <v>54960</v>
      </c>
      <c r="AM531" t="s">
        <v>192</v>
      </c>
      <c r="AN531" t="s">
        <v>208</v>
      </c>
      <c r="AO531">
        <v>2015</v>
      </c>
      <c r="AP531">
        <v>2010</v>
      </c>
      <c r="AQ531">
        <f t="shared" si="26"/>
        <v>5</v>
      </c>
      <c r="AR531" t="s">
        <v>61</v>
      </c>
    </row>
    <row r="532" spans="1:44" x14ac:dyDescent="0.25">
      <c r="A532">
        <v>354</v>
      </c>
      <c r="B532" t="str">
        <f t="shared" si="24"/>
        <v>10+ years</v>
      </c>
      <c r="C532">
        <v>48</v>
      </c>
      <c r="D532" t="str" cm="1">
        <f t="array" ref="D532">_xlfn.IFS(C532&lt;26, "19-25", C532&lt;33, "26-32", C532&lt;40, "33-39", C532&lt;47, "40-46",C532&lt;54, "47-53", TRUE, "54+")</f>
        <v>47-53</v>
      </c>
      <c r="E532">
        <v>534982</v>
      </c>
      <c r="F532" s="1">
        <v>37719</v>
      </c>
      <c r="G532" t="s">
        <v>88</v>
      </c>
      <c r="H532" t="s">
        <v>96</v>
      </c>
      <c r="I532">
        <v>2000</v>
      </c>
      <c r="J532">
        <v>1526.11</v>
      </c>
      <c r="K532">
        <v>5000000</v>
      </c>
      <c r="L532">
        <v>469650</v>
      </c>
      <c r="M532" t="s">
        <v>75</v>
      </c>
      <c r="N532" t="s">
        <v>129</v>
      </c>
      <c r="O532" t="s">
        <v>77</v>
      </c>
      <c r="P532" t="s">
        <v>269</v>
      </c>
      <c r="Q532" t="s">
        <v>90</v>
      </c>
      <c r="R532">
        <v>0</v>
      </c>
      <c r="S532">
        <v>0</v>
      </c>
      <c r="T532" s="1">
        <v>42007</v>
      </c>
      <c r="U532" t="s">
        <v>51</v>
      </c>
      <c r="V532" t="s">
        <v>91</v>
      </c>
      <c r="W532" t="s">
        <v>68</v>
      </c>
      <c r="X532" t="s">
        <v>54</v>
      </c>
      <c r="Y532" t="s">
        <v>55</v>
      </c>
      <c r="Z532" t="s">
        <v>56</v>
      </c>
      <c r="AA532" t="s">
        <v>714</v>
      </c>
      <c r="AB532">
        <v>12</v>
      </c>
      <c r="AC532" t="str">
        <f t="shared" si="25"/>
        <v>Afternoon</v>
      </c>
      <c r="AD532">
        <v>1</v>
      </c>
      <c r="AE532" t="s">
        <v>67</v>
      </c>
      <c r="AF532">
        <v>2</v>
      </c>
      <c r="AG532">
        <v>3</v>
      </c>
      <c r="AH532" t="s">
        <v>58</v>
      </c>
      <c r="AI532">
        <v>90240</v>
      </c>
      <c r="AJ532">
        <v>15040</v>
      </c>
      <c r="AK532">
        <v>15040</v>
      </c>
      <c r="AL532">
        <v>60160</v>
      </c>
      <c r="AM532" t="s">
        <v>94</v>
      </c>
      <c r="AN532" t="s">
        <v>250</v>
      </c>
      <c r="AO532">
        <v>2015</v>
      </c>
      <c r="AP532">
        <v>1995</v>
      </c>
      <c r="AQ532">
        <f t="shared" si="26"/>
        <v>20</v>
      </c>
      <c r="AR532" t="s">
        <v>87</v>
      </c>
    </row>
    <row r="533" spans="1:44" x14ac:dyDescent="0.25">
      <c r="A533">
        <v>342</v>
      </c>
      <c r="B533" t="str">
        <f t="shared" si="24"/>
        <v>10+ years</v>
      </c>
      <c r="C533">
        <v>53</v>
      </c>
      <c r="D533" t="str" cm="1">
        <f t="array" ref="D533">_xlfn.IFS(C533&lt;26, "19-25", C533&lt;33, "26-32", C533&lt;40, "33-39", C533&lt;47, "40-46",C533&lt;54, "47-53", TRUE, "54+")</f>
        <v>47-53</v>
      </c>
      <c r="E533">
        <v>110408</v>
      </c>
      <c r="F533" s="1">
        <v>38670</v>
      </c>
      <c r="G533" t="s">
        <v>62</v>
      </c>
      <c r="H533" t="s">
        <v>74</v>
      </c>
      <c r="I533">
        <v>1000</v>
      </c>
      <c r="J533">
        <v>1028.44</v>
      </c>
      <c r="K533">
        <v>0</v>
      </c>
      <c r="L533">
        <v>602304</v>
      </c>
      <c r="M533" t="s">
        <v>75</v>
      </c>
      <c r="N533" t="s">
        <v>146</v>
      </c>
      <c r="O533" t="s">
        <v>106</v>
      </c>
      <c r="P533" t="s">
        <v>131</v>
      </c>
      <c r="Q533" t="s">
        <v>147</v>
      </c>
      <c r="R533">
        <v>0</v>
      </c>
      <c r="S533">
        <v>0</v>
      </c>
      <c r="T533" s="1">
        <v>42030</v>
      </c>
      <c r="U533" t="s">
        <v>51</v>
      </c>
      <c r="V533" t="s">
        <v>91</v>
      </c>
      <c r="W533" t="s">
        <v>53</v>
      </c>
      <c r="X533" t="s">
        <v>141</v>
      </c>
      <c r="Y533" t="s">
        <v>55</v>
      </c>
      <c r="Z533" t="s">
        <v>107</v>
      </c>
      <c r="AA533" t="s">
        <v>715</v>
      </c>
      <c r="AB533">
        <v>12</v>
      </c>
      <c r="AC533" t="str">
        <f t="shared" si="25"/>
        <v>Afternoon</v>
      </c>
      <c r="AD533">
        <v>1</v>
      </c>
      <c r="AE533" t="s">
        <v>67</v>
      </c>
      <c r="AF533">
        <v>0</v>
      </c>
      <c r="AG533">
        <v>0</v>
      </c>
      <c r="AH533" t="s">
        <v>84</v>
      </c>
      <c r="AI533">
        <v>80960</v>
      </c>
      <c r="AJ533">
        <v>14720</v>
      </c>
      <c r="AK533">
        <v>7360</v>
      </c>
      <c r="AL533">
        <v>58880</v>
      </c>
      <c r="AM533" t="s">
        <v>100</v>
      </c>
      <c r="AN533" t="s">
        <v>153</v>
      </c>
      <c r="AO533">
        <v>2015</v>
      </c>
      <c r="AP533">
        <v>2000</v>
      </c>
      <c r="AQ533">
        <f t="shared" si="26"/>
        <v>15</v>
      </c>
      <c r="AR533" t="s">
        <v>87</v>
      </c>
    </row>
    <row r="534" spans="1:44" x14ac:dyDescent="0.25">
      <c r="A534">
        <v>169</v>
      </c>
      <c r="B534" t="str">
        <f t="shared" si="24"/>
        <v>10+ years</v>
      </c>
      <c r="C534">
        <v>38</v>
      </c>
      <c r="D534" t="str" cm="1">
        <f t="array" ref="D534">_xlfn.IFS(C534&lt;26, "19-25", C534&lt;33, "26-32", C534&lt;40, "33-39", C534&lt;47, "40-46",C534&lt;54, "47-53", TRUE, "54+")</f>
        <v>33-39</v>
      </c>
      <c r="E534">
        <v>283052</v>
      </c>
      <c r="F534" s="1">
        <v>38359</v>
      </c>
      <c r="G534" t="s">
        <v>88</v>
      </c>
      <c r="H534" t="s">
        <v>74</v>
      </c>
      <c r="I534">
        <v>1000</v>
      </c>
      <c r="J534">
        <v>1555.94</v>
      </c>
      <c r="K534">
        <v>0</v>
      </c>
      <c r="L534">
        <v>459878</v>
      </c>
      <c r="M534" t="s">
        <v>46</v>
      </c>
      <c r="N534" t="s">
        <v>76</v>
      </c>
      <c r="O534" t="s">
        <v>48</v>
      </c>
      <c r="P534" t="s">
        <v>137</v>
      </c>
      <c r="Q534" t="s">
        <v>79</v>
      </c>
      <c r="R534">
        <v>23300</v>
      </c>
      <c r="S534">
        <v>0</v>
      </c>
      <c r="T534" s="1">
        <v>42029</v>
      </c>
      <c r="U534" t="s">
        <v>80</v>
      </c>
      <c r="V534" t="s">
        <v>91</v>
      </c>
      <c r="W534" t="s">
        <v>112</v>
      </c>
      <c r="X534" t="s">
        <v>125</v>
      </c>
      <c r="Y534" t="s">
        <v>69</v>
      </c>
      <c r="Z534" t="s">
        <v>70</v>
      </c>
      <c r="AA534" t="s">
        <v>716</v>
      </c>
      <c r="AB534">
        <v>12</v>
      </c>
      <c r="AC534" t="str">
        <f t="shared" si="25"/>
        <v>Afternoon</v>
      </c>
      <c r="AD534">
        <v>3</v>
      </c>
      <c r="AE534" t="s">
        <v>84</v>
      </c>
      <c r="AF534">
        <v>1</v>
      </c>
      <c r="AG534">
        <v>3</v>
      </c>
      <c r="AH534" t="s">
        <v>58</v>
      </c>
      <c r="AI534">
        <v>79080</v>
      </c>
      <c r="AJ534">
        <v>6590</v>
      </c>
      <c r="AK534">
        <v>13180</v>
      </c>
      <c r="AL534">
        <v>59310</v>
      </c>
      <c r="AM534" t="s">
        <v>72</v>
      </c>
      <c r="AN534" t="s">
        <v>198</v>
      </c>
      <c r="AO534">
        <v>2015</v>
      </c>
      <c r="AP534">
        <v>2012</v>
      </c>
      <c r="AQ534">
        <f t="shared" si="26"/>
        <v>3</v>
      </c>
      <c r="AR534" t="s">
        <v>87</v>
      </c>
    </row>
    <row r="535" spans="1:44" x14ac:dyDescent="0.25">
      <c r="A535">
        <v>339</v>
      </c>
      <c r="B535" t="str">
        <f t="shared" si="24"/>
        <v>10+ years</v>
      </c>
      <c r="C535">
        <v>49</v>
      </c>
      <c r="D535" t="str" cm="1">
        <f t="array" ref="D535">_xlfn.IFS(C535&lt;26, "19-25", C535&lt;33, "26-32", C535&lt;40, "33-39", C535&lt;47, "40-46",C535&lt;54, "47-53", TRUE, "54+")</f>
        <v>47-53</v>
      </c>
      <c r="E535">
        <v>840806</v>
      </c>
      <c r="F535" s="1">
        <v>34379</v>
      </c>
      <c r="G535" t="s">
        <v>62</v>
      </c>
      <c r="H535" t="s">
        <v>96</v>
      </c>
      <c r="I535">
        <v>2000</v>
      </c>
      <c r="J535">
        <v>1570.77</v>
      </c>
      <c r="K535">
        <v>0</v>
      </c>
      <c r="L535">
        <v>441142</v>
      </c>
      <c r="M535" t="s">
        <v>46</v>
      </c>
      <c r="N535" t="s">
        <v>166</v>
      </c>
      <c r="O535" t="s">
        <v>190</v>
      </c>
      <c r="P535" t="s">
        <v>170</v>
      </c>
      <c r="Q535" t="s">
        <v>147</v>
      </c>
      <c r="R535">
        <v>98800</v>
      </c>
      <c r="S535">
        <v>-65300</v>
      </c>
      <c r="T535" s="1">
        <v>42022</v>
      </c>
      <c r="U535" t="s">
        <v>66</v>
      </c>
      <c r="V535" t="s">
        <v>67</v>
      </c>
      <c r="W535" t="s">
        <v>68</v>
      </c>
      <c r="X535" t="s">
        <v>98</v>
      </c>
      <c r="Y535" t="s">
        <v>55</v>
      </c>
      <c r="Z535" t="s">
        <v>56</v>
      </c>
      <c r="AA535" t="s">
        <v>717</v>
      </c>
      <c r="AB535">
        <v>13</v>
      </c>
      <c r="AC535" t="str">
        <f t="shared" si="25"/>
        <v>Afternoon</v>
      </c>
      <c r="AD535">
        <v>1</v>
      </c>
      <c r="AE535" t="s">
        <v>84</v>
      </c>
      <c r="AF535">
        <v>0</v>
      </c>
      <c r="AG535">
        <v>3</v>
      </c>
      <c r="AH535" t="s">
        <v>84</v>
      </c>
      <c r="AI535">
        <v>6820</v>
      </c>
      <c r="AJ535">
        <v>1240</v>
      </c>
      <c r="AK535">
        <v>620</v>
      </c>
      <c r="AL535">
        <v>4960</v>
      </c>
      <c r="AM535" t="s">
        <v>72</v>
      </c>
      <c r="AN535" t="s">
        <v>276</v>
      </c>
      <c r="AO535">
        <v>2015</v>
      </c>
      <c r="AP535">
        <v>2009</v>
      </c>
      <c r="AQ535">
        <f t="shared" si="26"/>
        <v>6</v>
      </c>
      <c r="AR535" t="s">
        <v>87</v>
      </c>
    </row>
    <row r="536" spans="1:44" x14ac:dyDescent="0.25">
      <c r="A536">
        <v>259</v>
      </c>
      <c r="B536" t="str">
        <f t="shared" si="24"/>
        <v>10+ years</v>
      </c>
      <c r="C536">
        <v>42</v>
      </c>
      <c r="D536" t="str" cm="1">
        <f t="array" ref="D536">_xlfn.IFS(C536&lt;26, "19-25", C536&lt;33, "26-32", C536&lt;40, "33-39", C536&lt;47, "40-46",C536&lt;54, "47-53", TRUE, "54+")</f>
        <v>40-46</v>
      </c>
      <c r="E536">
        <v>382394</v>
      </c>
      <c r="F536" s="1">
        <v>35087</v>
      </c>
      <c r="G536" t="s">
        <v>44</v>
      </c>
      <c r="H536" t="s">
        <v>74</v>
      </c>
      <c r="I536">
        <v>2000</v>
      </c>
      <c r="J536">
        <v>1170.53</v>
      </c>
      <c r="K536">
        <v>0</v>
      </c>
      <c r="L536">
        <v>465667</v>
      </c>
      <c r="M536" t="s">
        <v>75</v>
      </c>
      <c r="N536" t="s">
        <v>76</v>
      </c>
      <c r="O536" t="s">
        <v>89</v>
      </c>
      <c r="P536" t="s">
        <v>49</v>
      </c>
      <c r="Q536" t="s">
        <v>124</v>
      </c>
      <c r="R536">
        <v>65000</v>
      </c>
      <c r="S536">
        <v>-49200</v>
      </c>
      <c r="T536" s="1">
        <v>42016</v>
      </c>
      <c r="U536" t="s">
        <v>80</v>
      </c>
      <c r="V536" t="s">
        <v>81</v>
      </c>
      <c r="W536" t="s">
        <v>112</v>
      </c>
      <c r="X536" t="s">
        <v>104</v>
      </c>
      <c r="Y536" t="s">
        <v>118</v>
      </c>
      <c r="Z536" t="s">
        <v>132</v>
      </c>
      <c r="AA536" t="s">
        <v>718</v>
      </c>
      <c r="AB536">
        <v>17</v>
      </c>
      <c r="AC536" t="str">
        <f t="shared" si="25"/>
        <v>Afternoon</v>
      </c>
      <c r="AD536">
        <v>3</v>
      </c>
      <c r="AE536" t="s">
        <v>84</v>
      </c>
      <c r="AF536">
        <v>1</v>
      </c>
      <c r="AG536">
        <v>2</v>
      </c>
      <c r="AH536" t="s">
        <v>58</v>
      </c>
      <c r="AI536">
        <v>62590</v>
      </c>
      <c r="AJ536">
        <v>5690</v>
      </c>
      <c r="AK536">
        <v>11380</v>
      </c>
      <c r="AL536">
        <v>45520</v>
      </c>
      <c r="AM536" t="s">
        <v>109</v>
      </c>
      <c r="AN536" t="s">
        <v>110</v>
      </c>
      <c r="AO536">
        <v>2015</v>
      </c>
      <c r="AP536">
        <v>2006</v>
      </c>
      <c r="AQ536">
        <f t="shared" si="26"/>
        <v>9</v>
      </c>
      <c r="AR536" t="s">
        <v>87</v>
      </c>
    </row>
    <row r="537" spans="1:44" x14ac:dyDescent="0.25">
      <c r="A537">
        <v>65</v>
      </c>
      <c r="B537" t="str">
        <f t="shared" si="24"/>
        <v>5-10 years</v>
      </c>
      <c r="C537">
        <v>23</v>
      </c>
      <c r="D537" t="str" cm="1">
        <f t="array" ref="D537">_xlfn.IFS(C537&lt;26, "19-25", C537&lt;33, "26-32", C537&lt;40, "33-39", C537&lt;47, "40-46",C537&lt;54, "47-53", TRUE, "54+")</f>
        <v>19-25</v>
      </c>
      <c r="E537">
        <v>876699</v>
      </c>
      <c r="F537" s="1">
        <v>36506</v>
      </c>
      <c r="G537" t="s">
        <v>44</v>
      </c>
      <c r="H537" t="s">
        <v>45</v>
      </c>
      <c r="I537">
        <v>1000</v>
      </c>
      <c r="J537">
        <v>1099.95</v>
      </c>
      <c r="K537">
        <v>0</v>
      </c>
      <c r="L537">
        <v>473109</v>
      </c>
      <c r="M537" t="s">
        <v>75</v>
      </c>
      <c r="N537" t="s">
        <v>146</v>
      </c>
      <c r="O537" t="s">
        <v>77</v>
      </c>
      <c r="P537" t="s">
        <v>131</v>
      </c>
      <c r="Q537" t="s">
        <v>124</v>
      </c>
      <c r="R537">
        <v>0</v>
      </c>
      <c r="S537">
        <v>-71900</v>
      </c>
      <c r="T537" s="1">
        <v>42019</v>
      </c>
      <c r="U537" t="s">
        <v>51</v>
      </c>
      <c r="V537" t="s">
        <v>52</v>
      </c>
      <c r="W537" t="s">
        <v>53</v>
      </c>
      <c r="X537" t="s">
        <v>125</v>
      </c>
      <c r="Y537" t="s">
        <v>82</v>
      </c>
      <c r="Z537" t="s">
        <v>92</v>
      </c>
      <c r="AA537" t="s">
        <v>719</v>
      </c>
      <c r="AB537">
        <v>14</v>
      </c>
      <c r="AC537" t="str">
        <f t="shared" si="25"/>
        <v>Afternoon</v>
      </c>
      <c r="AD537">
        <v>1</v>
      </c>
      <c r="AE537" t="s">
        <v>84</v>
      </c>
      <c r="AF537">
        <v>1</v>
      </c>
      <c r="AG537">
        <v>0</v>
      </c>
      <c r="AH537" t="s">
        <v>58</v>
      </c>
      <c r="AI537">
        <v>52400</v>
      </c>
      <c r="AJ537">
        <v>6550</v>
      </c>
      <c r="AK537">
        <v>6550</v>
      </c>
      <c r="AL537">
        <v>39300</v>
      </c>
      <c r="AM537" t="s">
        <v>100</v>
      </c>
      <c r="AN537" t="s">
        <v>153</v>
      </c>
      <c r="AO537">
        <v>2015</v>
      </c>
      <c r="AP537">
        <v>2005</v>
      </c>
      <c r="AQ537">
        <f t="shared" si="26"/>
        <v>10</v>
      </c>
      <c r="AR537" t="s">
        <v>61</v>
      </c>
    </row>
    <row r="538" spans="1:44" x14ac:dyDescent="0.25">
      <c r="A538">
        <v>254</v>
      </c>
      <c r="B538" t="str">
        <f t="shared" si="24"/>
        <v>10+ years</v>
      </c>
      <c r="C538">
        <v>46</v>
      </c>
      <c r="D538" t="str" cm="1">
        <f t="array" ref="D538">_xlfn.IFS(C538&lt;26, "19-25", C538&lt;33, "26-32", C538&lt;40, "33-39", C538&lt;47, "40-46",C538&lt;54, "47-53", TRUE, "54+")</f>
        <v>40-46</v>
      </c>
      <c r="E538">
        <v>871432</v>
      </c>
      <c r="F538" s="1">
        <v>38183</v>
      </c>
      <c r="G538" t="s">
        <v>88</v>
      </c>
      <c r="H538" t="s">
        <v>45</v>
      </c>
      <c r="I538">
        <v>2000</v>
      </c>
      <c r="J538">
        <v>1472.43</v>
      </c>
      <c r="K538">
        <v>0</v>
      </c>
      <c r="L538">
        <v>619794</v>
      </c>
      <c r="M538" t="s">
        <v>46</v>
      </c>
      <c r="N538" t="s">
        <v>47</v>
      </c>
      <c r="O538" t="s">
        <v>102</v>
      </c>
      <c r="P538" t="s">
        <v>184</v>
      </c>
      <c r="Q538" t="s">
        <v>50</v>
      </c>
      <c r="R538">
        <v>0</v>
      </c>
      <c r="S538">
        <v>-90600</v>
      </c>
      <c r="T538" s="1">
        <v>42014</v>
      </c>
      <c r="U538" t="s">
        <v>80</v>
      </c>
      <c r="V538" t="s">
        <v>91</v>
      </c>
      <c r="W538" t="s">
        <v>53</v>
      </c>
      <c r="X538" t="s">
        <v>141</v>
      </c>
      <c r="Y538" t="s">
        <v>118</v>
      </c>
      <c r="Z538" t="s">
        <v>92</v>
      </c>
      <c r="AA538" t="s">
        <v>720</v>
      </c>
      <c r="AB538">
        <v>3</v>
      </c>
      <c r="AC538" t="str">
        <f t="shared" si="25"/>
        <v>Night</v>
      </c>
      <c r="AD538">
        <v>3</v>
      </c>
      <c r="AE538" t="s">
        <v>67</v>
      </c>
      <c r="AF538">
        <v>1</v>
      </c>
      <c r="AG538">
        <v>3</v>
      </c>
      <c r="AH538" t="s">
        <v>58</v>
      </c>
      <c r="AI538">
        <v>63580</v>
      </c>
      <c r="AJ538">
        <v>5780</v>
      </c>
      <c r="AK538">
        <v>11560</v>
      </c>
      <c r="AL538">
        <v>46240</v>
      </c>
      <c r="AM538" t="s">
        <v>219</v>
      </c>
      <c r="AN538" t="s">
        <v>263</v>
      </c>
      <c r="AO538">
        <v>2015</v>
      </c>
      <c r="AP538">
        <v>2004</v>
      </c>
      <c r="AQ538">
        <f t="shared" si="26"/>
        <v>11</v>
      </c>
      <c r="AR538" t="s">
        <v>87</v>
      </c>
    </row>
    <row r="539" spans="1:44" x14ac:dyDescent="0.25">
      <c r="A539">
        <v>440</v>
      </c>
      <c r="B539" t="str">
        <f t="shared" si="24"/>
        <v>10+ years</v>
      </c>
      <c r="C539">
        <v>55</v>
      </c>
      <c r="D539" t="str" cm="1">
        <f t="array" ref="D539">_xlfn.IFS(C539&lt;26, "19-25", C539&lt;33, "26-32", C539&lt;40, "33-39", C539&lt;47, "40-46",C539&lt;54, "47-53", TRUE, "54+")</f>
        <v>54+</v>
      </c>
      <c r="E539">
        <v>379882</v>
      </c>
      <c r="F539" s="1">
        <v>41220</v>
      </c>
      <c r="G539" t="s">
        <v>88</v>
      </c>
      <c r="H539" t="s">
        <v>45</v>
      </c>
      <c r="I539">
        <v>500</v>
      </c>
      <c r="J539">
        <v>1275.6199999999999</v>
      </c>
      <c r="K539">
        <v>0</v>
      </c>
      <c r="L539">
        <v>602258</v>
      </c>
      <c r="M539" t="s">
        <v>75</v>
      </c>
      <c r="N539" t="s">
        <v>97</v>
      </c>
      <c r="O539" t="s">
        <v>122</v>
      </c>
      <c r="P539" t="s">
        <v>64</v>
      </c>
      <c r="Q539" t="s">
        <v>65</v>
      </c>
      <c r="R539">
        <v>0</v>
      </c>
      <c r="S539">
        <v>-56200</v>
      </c>
      <c r="T539" s="1">
        <v>42027</v>
      </c>
      <c r="U539" t="s">
        <v>80</v>
      </c>
      <c r="V539" t="s">
        <v>52</v>
      </c>
      <c r="W539" t="s">
        <v>68</v>
      </c>
      <c r="X539" t="s">
        <v>54</v>
      </c>
      <c r="Y539" t="s">
        <v>82</v>
      </c>
      <c r="Z539" t="s">
        <v>70</v>
      </c>
      <c r="AA539" t="s">
        <v>721</v>
      </c>
      <c r="AB539">
        <v>18</v>
      </c>
      <c r="AC539" t="str">
        <f t="shared" si="25"/>
        <v>Evening</v>
      </c>
      <c r="AD539">
        <v>3</v>
      </c>
      <c r="AE539" t="s">
        <v>58</v>
      </c>
      <c r="AF539">
        <v>2</v>
      </c>
      <c r="AG539">
        <v>1</v>
      </c>
      <c r="AH539" t="s">
        <v>84</v>
      </c>
      <c r="AI539">
        <v>61400</v>
      </c>
      <c r="AJ539">
        <v>6140</v>
      </c>
      <c r="AK539">
        <v>6140</v>
      </c>
      <c r="AL539">
        <v>49120</v>
      </c>
      <c r="AM539" t="s">
        <v>109</v>
      </c>
      <c r="AN539" t="s">
        <v>292</v>
      </c>
      <c r="AO539">
        <v>2015</v>
      </c>
      <c r="AP539">
        <v>1995</v>
      </c>
      <c r="AQ539">
        <f t="shared" si="26"/>
        <v>20</v>
      </c>
      <c r="AR539" t="s">
        <v>87</v>
      </c>
    </row>
    <row r="540" spans="1:44" x14ac:dyDescent="0.25">
      <c r="A540">
        <v>478</v>
      </c>
      <c r="B540" t="str">
        <f t="shared" si="24"/>
        <v>10+ years</v>
      </c>
      <c r="C540">
        <v>63</v>
      </c>
      <c r="D540" t="str" cm="1">
        <f t="array" ref="D540">_xlfn.IFS(C540&lt;26, "19-25", C540&lt;33, "26-32", C540&lt;40, "33-39", C540&lt;47, "40-46",C540&lt;54, "47-53", TRUE, "54+")</f>
        <v>54+</v>
      </c>
      <c r="E540">
        <v>852002</v>
      </c>
      <c r="F540" s="1">
        <v>39993</v>
      </c>
      <c r="G540" t="s">
        <v>88</v>
      </c>
      <c r="H540" t="s">
        <v>45</v>
      </c>
      <c r="I540">
        <v>1000</v>
      </c>
      <c r="J540">
        <v>1292.3</v>
      </c>
      <c r="K540">
        <v>0</v>
      </c>
      <c r="L540">
        <v>479724</v>
      </c>
      <c r="M540" t="s">
        <v>46</v>
      </c>
      <c r="N540" t="s">
        <v>136</v>
      </c>
      <c r="O540" t="s">
        <v>190</v>
      </c>
      <c r="P540" t="s">
        <v>170</v>
      </c>
      <c r="Q540" t="s">
        <v>79</v>
      </c>
      <c r="R540">
        <v>47600</v>
      </c>
      <c r="S540">
        <v>0</v>
      </c>
      <c r="T540" s="1">
        <v>42056</v>
      </c>
      <c r="U540" t="s">
        <v>143</v>
      </c>
      <c r="V540" t="s">
        <v>67</v>
      </c>
      <c r="W540" t="s">
        <v>68</v>
      </c>
      <c r="X540" t="s">
        <v>98</v>
      </c>
      <c r="Y540" t="s">
        <v>69</v>
      </c>
      <c r="Z540" t="s">
        <v>132</v>
      </c>
      <c r="AA540" t="s">
        <v>722</v>
      </c>
      <c r="AB540">
        <v>5</v>
      </c>
      <c r="AC540" t="str">
        <f t="shared" si="25"/>
        <v>Night</v>
      </c>
      <c r="AD540">
        <v>1</v>
      </c>
      <c r="AE540" t="s">
        <v>58</v>
      </c>
      <c r="AF540">
        <v>1</v>
      </c>
      <c r="AG540">
        <v>3</v>
      </c>
      <c r="AH540" t="s">
        <v>84</v>
      </c>
      <c r="AI540">
        <v>4700</v>
      </c>
      <c r="AJ540">
        <v>940</v>
      </c>
      <c r="AK540">
        <v>470</v>
      </c>
      <c r="AL540">
        <v>3290</v>
      </c>
      <c r="AM540" t="s">
        <v>85</v>
      </c>
      <c r="AN540" t="s">
        <v>149</v>
      </c>
      <c r="AO540">
        <v>2015</v>
      </c>
      <c r="AP540">
        <v>2007</v>
      </c>
      <c r="AQ540">
        <f t="shared" si="26"/>
        <v>8</v>
      </c>
      <c r="AR540" t="s">
        <v>61</v>
      </c>
    </row>
    <row r="541" spans="1:44" x14ac:dyDescent="0.25">
      <c r="A541">
        <v>230</v>
      </c>
      <c r="B541" t="str">
        <f t="shared" si="24"/>
        <v>10+ years</v>
      </c>
      <c r="C541">
        <v>44</v>
      </c>
      <c r="D541" t="str" cm="1">
        <f t="array" ref="D541">_xlfn.IFS(C541&lt;26, "19-25", C541&lt;33, "26-32", C541&lt;40, "33-39", C541&lt;47, "40-46",C541&lt;54, "47-53", TRUE, "54+")</f>
        <v>40-46</v>
      </c>
      <c r="E541">
        <v>372891</v>
      </c>
      <c r="F541" s="1">
        <v>36703</v>
      </c>
      <c r="G541" t="s">
        <v>62</v>
      </c>
      <c r="H541" t="s">
        <v>45</v>
      </c>
      <c r="I541">
        <v>2000</v>
      </c>
      <c r="J541">
        <v>1009.37</v>
      </c>
      <c r="K541">
        <v>0</v>
      </c>
      <c r="L541">
        <v>442210</v>
      </c>
      <c r="M541" t="s">
        <v>75</v>
      </c>
      <c r="N541" t="s">
        <v>146</v>
      </c>
      <c r="O541" t="s">
        <v>106</v>
      </c>
      <c r="P541" t="s">
        <v>154</v>
      </c>
      <c r="Q541" t="s">
        <v>65</v>
      </c>
      <c r="R541">
        <v>45400</v>
      </c>
      <c r="S541">
        <v>-39400</v>
      </c>
      <c r="T541" s="1">
        <v>42052</v>
      </c>
      <c r="U541" t="s">
        <v>51</v>
      </c>
      <c r="V541" t="s">
        <v>91</v>
      </c>
      <c r="W541" t="s">
        <v>112</v>
      </c>
      <c r="X541" t="s">
        <v>104</v>
      </c>
      <c r="Y541" t="s">
        <v>55</v>
      </c>
      <c r="Z541" t="s">
        <v>70</v>
      </c>
      <c r="AA541" t="s">
        <v>723</v>
      </c>
      <c r="AB541">
        <v>19</v>
      </c>
      <c r="AC541" t="str">
        <f t="shared" si="25"/>
        <v>Evening</v>
      </c>
      <c r="AD541">
        <v>1</v>
      </c>
      <c r="AE541" t="s">
        <v>84</v>
      </c>
      <c r="AF541">
        <v>0</v>
      </c>
      <c r="AG541">
        <v>2</v>
      </c>
      <c r="AH541" t="s">
        <v>58</v>
      </c>
      <c r="AI541">
        <v>74140</v>
      </c>
      <c r="AJ541">
        <v>13480</v>
      </c>
      <c r="AK541">
        <v>13480</v>
      </c>
      <c r="AL541">
        <v>47180</v>
      </c>
      <c r="AM541" t="s">
        <v>192</v>
      </c>
      <c r="AN541" t="s">
        <v>208</v>
      </c>
      <c r="AO541">
        <v>2015</v>
      </c>
      <c r="AP541">
        <v>2015</v>
      </c>
      <c r="AQ541">
        <f t="shared" si="26"/>
        <v>0</v>
      </c>
      <c r="AR541" t="s">
        <v>87</v>
      </c>
    </row>
    <row r="542" spans="1:44" x14ac:dyDescent="0.25">
      <c r="A542">
        <v>138</v>
      </c>
      <c r="B542" t="str">
        <f t="shared" si="24"/>
        <v>10+ years</v>
      </c>
      <c r="C542">
        <v>30</v>
      </c>
      <c r="D542" t="str" cm="1">
        <f t="array" ref="D542">_xlfn.IFS(C542&lt;26, "19-25", C542&lt;33, "26-32", C542&lt;40, "33-39", C542&lt;47, "40-46",C542&lt;54, "47-53", TRUE, "54+")</f>
        <v>26-32</v>
      </c>
      <c r="E542">
        <v>689034</v>
      </c>
      <c r="F542" s="1">
        <v>37265</v>
      </c>
      <c r="G542" t="s">
        <v>44</v>
      </c>
      <c r="H542" t="s">
        <v>96</v>
      </c>
      <c r="I542">
        <v>500</v>
      </c>
      <c r="J542">
        <v>1093.07</v>
      </c>
      <c r="K542">
        <v>4000000</v>
      </c>
      <c r="L542">
        <v>463291</v>
      </c>
      <c r="M542" t="s">
        <v>75</v>
      </c>
      <c r="N542" t="s">
        <v>76</v>
      </c>
      <c r="O542" t="s">
        <v>116</v>
      </c>
      <c r="P542" t="s">
        <v>64</v>
      </c>
      <c r="Q542" t="s">
        <v>124</v>
      </c>
      <c r="R542">
        <v>27700</v>
      </c>
      <c r="S542">
        <v>-72400</v>
      </c>
      <c r="T542" s="1">
        <v>42010</v>
      </c>
      <c r="U542" t="s">
        <v>51</v>
      </c>
      <c r="V542" t="s">
        <v>91</v>
      </c>
      <c r="W542" t="s">
        <v>53</v>
      </c>
      <c r="X542" t="s">
        <v>125</v>
      </c>
      <c r="Y542" t="s">
        <v>69</v>
      </c>
      <c r="Z542" t="s">
        <v>127</v>
      </c>
      <c r="AA542" t="s">
        <v>724</v>
      </c>
      <c r="AB542">
        <v>0</v>
      </c>
      <c r="AC542" t="str">
        <f t="shared" si="25"/>
        <v>Night</v>
      </c>
      <c r="AD542">
        <v>1</v>
      </c>
      <c r="AE542" t="s">
        <v>67</v>
      </c>
      <c r="AF542">
        <v>2</v>
      </c>
      <c r="AG542">
        <v>2</v>
      </c>
      <c r="AH542" t="s">
        <v>84</v>
      </c>
      <c r="AI542">
        <v>83160</v>
      </c>
      <c r="AJ542">
        <v>6930</v>
      </c>
      <c r="AK542">
        <v>13860</v>
      </c>
      <c r="AL542">
        <v>62370</v>
      </c>
      <c r="AM542" t="s">
        <v>219</v>
      </c>
      <c r="AN542" t="s">
        <v>263</v>
      </c>
      <c r="AO542">
        <v>2015</v>
      </c>
      <c r="AP542">
        <v>2011</v>
      </c>
      <c r="AQ542">
        <f t="shared" si="26"/>
        <v>4</v>
      </c>
      <c r="AR542" t="s">
        <v>87</v>
      </c>
    </row>
    <row r="543" spans="1:44" x14ac:dyDescent="0.25">
      <c r="A543">
        <v>239</v>
      </c>
      <c r="B543" t="str">
        <f t="shared" si="24"/>
        <v>10+ years</v>
      </c>
      <c r="C543">
        <v>41</v>
      </c>
      <c r="D543" t="str" cm="1">
        <f t="array" ref="D543">_xlfn.IFS(C543&lt;26, "19-25", C543&lt;33, "26-32", C543&lt;40, "33-39", C543&lt;47, "40-46",C543&lt;54, "47-53", TRUE, "54+")</f>
        <v>40-46</v>
      </c>
      <c r="E543">
        <v>743092</v>
      </c>
      <c r="F543" s="1">
        <v>41589</v>
      </c>
      <c r="G543" t="s">
        <v>44</v>
      </c>
      <c r="H543" t="s">
        <v>45</v>
      </c>
      <c r="I543">
        <v>1000</v>
      </c>
      <c r="J543">
        <v>1325.44</v>
      </c>
      <c r="K543">
        <v>7000000</v>
      </c>
      <c r="L543">
        <v>474898</v>
      </c>
      <c r="M543" t="s">
        <v>75</v>
      </c>
      <c r="N543" t="s">
        <v>166</v>
      </c>
      <c r="O543" t="s">
        <v>194</v>
      </c>
      <c r="P543" t="s">
        <v>170</v>
      </c>
      <c r="Q543" t="s">
        <v>65</v>
      </c>
      <c r="R543">
        <v>51400</v>
      </c>
      <c r="S543">
        <v>-6300</v>
      </c>
      <c r="T543" s="1">
        <v>42053</v>
      </c>
      <c r="U543" t="s">
        <v>143</v>
      </c>
      <c r="V543" t="s">
        <v>67</v>
      </c>
      <c r="W543" t="s">
        <v>217</v>
      </c>
      <c r="X543" t="s">
        <v>54</v>
      </c>
      <c r="Y543" t="s">
        <v>126</v>
      </c>
      <c r="Z543" t="s">
        <v>92</v>
      </c>
      <c r="AA543" t="s">
        <v>725</v>
      </c>
      <c r="AB543">
        <v>22</v>
      </c>
      <c r="AC543" t="str">
        <f t="shared" si="25"/>
        <v>Evening</v>
      </c>
      <c r="AD543">
        <v>1</v>
      </c>
      <c r="AE543" t="s">
        <v>67</v>
      </c>
      <c r="AF543">
        <v>0</v>
      </c>
      <c r="AG543">
        <v>2</v>
      </c>
      <c r="AH543" t="s">
        <v>58</v>
      </c>
      <c r="AI543">
        <v>10790</v>
      </c>
      <c r="AJ543">
        <v>1660</v>
      </c>
      <c r="AK543">
        <v>830</v>
      </c>
      <c r="AL543">
        <v>8300</v>
      </c>
      <c r="AM543" t="s">
        <v>72</v>
      </c>
      <c r="AN543" t="s">
        <v>73</v>
      </c>
      <c r="AO543">
        <v>2015</v>
      </c>
      <c r="AP543">
        <v>2013</v>
      </c>
      <c r="AQ543">
        <f t="shared" si="26"/>
        <v>2</v>
      </c>
      <c r="AR543" t="s">
        <v>87</v>
      </c>
    </row>
    <row r="544" spans="1:44" x14ac:dyDescent="0.25">
      <c r="A544">
        <v>93</v>
      </c>
      <c r="B544" t="str">
        <f t="shared" si="24"/>
        <v>5-10 years</v>
      </c>
      <c r="C544">
        <v>31</v>
      </c>
      <c r="D544" t="str" cm="1">
        <f t="array" ref="D544">_xlfn.IFS(C544&lt;26, "19-25", C544&lt;33, "26-32", C544&lt;40, "33-39", C544&lt;47, "40-46",C544&lt;54, "47-53", TRUE, "54+")</f>
        <v>26-32</v>
      </c>
      <c r="E544">
        <v>599174</v>
      </c>
      <c r="F544" s="1">
        <v>39461</v>
      </c>
      <c r="G544" t="s">
        <v>88</v>
      </c>
      <c r="H544" t="s">
        <v>74</v>
      </c>
      <c r="I544">
        <v>2000</v>
      </c>
      <c r="J544">
        <v>1017.18</v>
      </c>
      <c r="K544">
        <v>0</v>
      </c>
      <c r="L544">
        <v>431354</v>
      </c>
      <c r="M544" t="s">
        <v>75</v>
      </c>
      <c r="N544" t="s">
        <v>47</v>
      </c>
      <c r="O544" t="s">
        <v>106</v>
      </c>
      <c r="P544" t="s">
        <v>170</v>
      </c>
      <c r="Q544" t="s">
        <v>50</v>
      </c>
      <c r="R544">
        <v>0</v>
      </c>
      <c r="S544">
        <v>0</v>
      </c>
      <c r="T544" s="1">
        <v>42052</v>
      </c>
      <c r="U544" t="s">
        <v>80</v>
      </c>
      <c r="V544" t="s">
        <v>81</v>
      </c>
      <c r="W544" t="s">
        <v>53</v>
      </c>
      <c r="X544" t="s">
        <v>54</v>
      </c>
      <c r="Y544" t="s">
        <v>126</v>
      </c>
      <c r="Z544" t="s">
        <v>92</v>
      </c>
      <c r="AA544" t="s">
        <v>726</v>
      </c>
      <c r="AB544">
        <v>21</v>
      </c>
      <c r="AC544" t="str">
        <f t="shared" si="25"/>
        <v>Evening</v>
      </c>
      <c r="AD544">
        <v>3</v>
      </c>
      <c r="AE544" t="s">
        <v>58</v>
      </c>
      <c r="AF544">
        <v>1</v>
      </c>
      <c r="AG544">
        <v>3</v>
      </c>
      <c r="AH544" t="s">
        <v>84</v>
      </c>
      <c r="AI544">
        <v>48070</v>
      </c>
      <c r="AJ544">
        <v>8740</v>
      </c>
      <c r="AK544">
        <v>8740</v>
      </c>
      <c r="AL544">
        <v>30590</v>
      </c>
      <c r="AM544" t="s">
        <v>59</v>
      </c>
      <c r="AN544" t="s">
        <v>60</v>
      </c>
      <c r="AO544">
        <v>2015</v>
      </c>
      <c r="AP544">
        <v>2014</v>
      </c>
      <c r="AQ544">
        <f t="shared" si="26"/>
        <v>1</v>
      </c>
      <c r="AR544" t="s">
        <v>87</v>
      </c>
    </row>
    <row r="545" spans="1:44" x14ac:dyDescent="0.25">
      <c r="A545">
        <v>37</v>
      </c>
      <c r="B545" t="str">
        <f t="shared" si="24"/>
        <v>2-5 years</v>
      </c>
      <c r="C545">
        <v>25</v>
      </c>
      <c r="D545" t="str" cm="1">
        <f t="array" ref="D545">_xlfn.IFS(C545&lt;26, "19-25", C545&lt;33, "26-32", C545&lt;40, "33-39", C545&lt;47, "40-46",C545&lt;54, "47-53", TRUE, "54+")</f>
        <v>19-25</v>
      </c>
      <c r="E545">
        <v>421092</v>
      </c>
      <c r="F545" s="1">
        <v>37684</v>
      </c>
      <c r="G545" t="s">
        <v>44</v>
      </c>
      <c r="H545" t="s">
        <v>74</v>
      </c>
      <c r="I545">
        <v>1000</v>
      </c>
      <c r="J545">
        <v>1221.17</v>
      </c>
      <c r="K545">
        <v>0</v>
      </c>
      <c r="L545">
        <v>617460</v>
      </c>
      <c r="M545" t="s">
        <v>75</v>
      </c>
      <c r="N545" t="s">
        <v>129</v>
      </c>
      <c r="O545" t="s">
        <v>140</v>
      </c>
      <c r="P545" t="s">
        <v>117</v>
      </c>
      <c r="Q545" t="s">
        <v>147</v>
      </c>
      <c r="R545">
        <v>49300</v>
      </c>
      <c r="S545">
        <v>0</v>
      </c>
      <c r="T545" s="1">
        <v>42028</v>
      </c>
      <c r="U545" t="s">
        <v>80</v>
      </c>
      <c r="V545" t="s">
        <v>81</v>
      </c>
      <c r="W545" t="s">
        <v>68</v>
      </c>
      <c r="X545" t="s">
        <v>141</v>
      </c>
      <c r="Y545" t="s">
        <v>55</v>
      </c>
      <c r="Z545" t="s">
        <v>161</v>
      </c>
      <c r="AA545" t="s">
        <v>727</v>
      </c>
      <c r="AB545">
        <v>4</v>
      </c>
      <c r="AC545" t="str">
        <f t="shared" si="25"/>
        <v>Night</v>
      </c>
      <c r="AD545">
        <v>3</v>
      </c>
      <c r="AE545" t="s">
        <v>58</v>
      </c>
      <c r="AF545">
        <v>0</v>
      </c>
      <c r="AG545">
        <v>0</v>
      </c>
      <c r="AH545" t="s">
        <v>58</v>
      </c>
      <c r="AI545">
        <v>51030</v>
      </c>
      <c r="AJ545">
        <v>5670</v>
      </c>
      <c r="AK545">
        <v>11340</v>
      </c>
      <c r="AL545">
        <v>34020</v>
      </c>
      <c r="AM545" t="s">
        <v>158</v>
      </c>
      <c r="AN545" t="s">
        <v>168</v>
      </c>
      <c r="AO545">
        <v>2015</v>
      </c>
      <c r="AP545">
        <v>1996</v>
      </c>
      <c r="AQ545">
        <f t="shared" si="26"/>
        <v>19</v>
      </c>
      <c r="AR545" t="s">
        <v>87</v>
      </c>
    </row>
    <row r="546" spans="1:44" x14ac:dyDescent="0.25">
      <c r="A546">
        <v>254</v>
      </c>
      <c r="B546" t="str">
        <f t="shared" si="24"/>
        <v>10+ years</v>
      </c>
      <c r="C546">
        <v>40</v>
      </c>
      <c r="D546" t="str" cm="1">
        <f t="array" ref="D546">_xlfn.IFS(C546&lt;26, "19-25", C546&lt;33, "26-32", C546&lt;40, "33-39", C546&lt;47, "40-46",C546&lt;54, "47-53", TRUE, "54+")</f>
        <v>40-46</v>
      </c>
      <c r="E546">
        <v>349658</v>
      </c>
      <c r="F546" s="1">
        <v>34492</v>
      </c>
      <c r="G546" t="s">
        <v>62</v>
      </c>
      <c r="H546" t="s">
        <v>74</v>
      </c>
      <c r="I546">
        <v>500</v>
      </c>
      <c r="J546">
        <v>1927.87</v>
      </c>
      <c r="K546">
        <v>0</v>
      </c>
      <c r="L546">
        <v>609317</v>
      </c>
      <c r="M546" t="s">
        <v>46</v>
      </c>
      <c r="N546" t="s">
        <v>47</v>
      </c>
      <c r="O546" t="s">
        <v>106</v>
      </c>
      <c r="P546" t="s">
        <v>160</v>
      </c>
      <c r="Q546" t="s">
        <v>50</v>
      </c>
      <c r="R546">
        <v>0</v>
      </c>
      <c r="S546">
        <v>0</v>
      </c>
      <c r="T546" s="1">
        <v>42025</v>
      </c>
      <c r="U546" t="s">
        <v>51</v>
      </c>
      <c r="V546" t="s">
        <v>91</v>
      </c>
      <c r="W546" t="s">
        <v>68</v>
      </c>
      <c r="X546" t="s">
        <v>104</v>
      </c>
      <c r="Y546" t="s">
        <v>69</v>
      </c>
      <c r="Z546" t="s">
        <v>92</v>
      </c>
      <c r="AA546" t="s">
        <v>728</v>
      </c>
      <c r="AB546">
        <v>10</v>
      </c>
      <c r="AC546" t="str">
        <f t="shared" si="25"/>
        <v>Morning</v>
      </c>
      <c r="AD546">
        <v>1</v>
      </c>
      <c r="AE546" t="s">
        <v>58</v>
      </c>
      <c r="AF546">
        <v>0</v>
      </c>
      <c r="AG546">
        <v>1</v>
      </c>
      <c r="AH546" t="s">
        <v>67</v>
      </c>
      <c r="AI546">
        <v>43280</v>
      </c>
      <c r="AJ546">
        <v>0</v>
      </c>
      <c r="AK546">
        <v>5410</v>
      </c>
      <c r="AL546">
        <v>37870</v>
      </c>
      <c r="AM546" t="s">
        <v>214</v>
      </c>
      <c r="AN546" t="s">
        <v>215</v>
      </c>
      <c r="AO546">
        <v>2015</v>
      </c>
      <c r="AP546">
        <v>1996</v>
      </c>
      <c r="AQ546">
        <f t="shared" si="26"/>
        <v>19</v>
      </c>
      <c r="AR546" t="s">
        <v>61</v>
      </c>
    </row>
    <row r="547" spans="1:44" x14ac:dyDescent="0.25">
      <c r="A547">
        <v>131</v>
      </c>
      <c r="B547" t="str">
        <f t="shared" si="24"/>
        <v>10+ years</v>
      </c>
      <c r="C547">
        <v>29</v>
      </c>
      <c r="D547" t="str" cm="1">
        <f t="array" ref="D547">_xlfn.IFS(C547&lt;26, "19-25", C547&lt;33, "26-32", C547&lt;40, "33-39", C547&lt;47, "40-46",C547&lt;54, "47-53", TRUE, "54+")</f>
        <v>26-32</v>
      </c>
      <c r="E547">
        <v>811042</v>
      </c>
      <c r="F547" s="1">
        <v>41459</v>
      </c>
      <c r="G547" t="s">
        <v>62</v>
      </c>
      <c r="H547" t="s">
        <v>45</v>
      </c>
      <c r="I547">
        <v>1000</v>
      </c>
      <c r="J547">
        <v>978.27</v>
      </c>
      <c r="K547">
        <v>0</v>
      </c>
      <c r="L547">
        <v>479821</v>
      </c>
      <c r="M547" t="s">
        <v>75</v>
      </c>
      <c r="N547" t="s">
        <v>97</v>
      </c>
      <c r="O547" t="s">
        <v>77</v>
      </c>
      <c r="P547" t="s">
        <v>170</v>
      </c>
      <c r="Q547" t="s">
        <v>79</v>
      </c>
      <c r="R547">
        <v>65700</v>
      </c>
      <c r="S547">
        <v>0</v>
      </c>
      <c r="T547" s="1">
        <v>42038</v>
      </c>
      <c r="U547" t="s">
        <v>51</v>
      </c>
      <c r="V547" t="s">
        <v>91</v>
      </c>
      <c r="W547" t="s">
        <v>53</v>
      </c>
      <c r="X547" t="s">
        <v>104</v>
      </c>
      <c r="Y547" t="s">
        <v>55</v>
      </c>
      <c r="Z547" t="s">
        <v>127</v>
      </c>
      <c r="AA547" t="s">
        <v>729</v>
      </c>
      <c r="AB547">
        <v>5</v>
      </c>
      <c r="AC547" t="str">
        <f t="shared" si="25"/>
        <v>Night</v>
      </c>
      <c r="AD547">
        <v>1</v>
      </c>
      <c r="AE547" t="s">
        <v>67</v>
      </c>
      <c r="AF547">
        <v>1</v>
      </c>
      <c r="AG547">
        <v>3</v>
      </c>
      <c r="AH547" t="s">
        <v>84</v>
      </c>
      <c r="AI547">
        <v>76400</v>
      </c>
      <c r="AJ547">
        <v>15280</v>
      </c>
      <c r="AK547">
        <v>7640</v>
      </c>
      <c r="AL547">
        <v>53480</v>
      </c>
      <c r="AM547" t="s">
        <v>158</v>
      </c>
      <c r="AN547" t="s">
        <v>172</v>
      </c>
      <c r="AO547">
        <v>2015</v>
      </c>
      <c r="AP547">
        <v>2003</v>
      </c>
      <c r="AQ547">
        <f t="shared" si="26"/>
        <v>12</v>
      </c>
      <c r="AR547" t="s">
        <v>87</v>
      </c>
    </row>
    <row r="548" spans="1:44" x14ac:dyDescent="0.25">
      <c r="A548">
        <v>230</v>
      </c>
      <c r="B548" t="str">
        <f t="shared" si="24"/>
        <v>10+ years</v>
      </c>
      <c r="C548">
        <v>43</v>
      </c>
      <c r="D548" t="str" cm="1">
        <f t="array" ref="D548">_xlfn.IFS(C548&lt;26, "19-25", C548&lt;33, "26-32", C548&lt;40, "33-39", C548&lt;47, "40-46",C548&lt;54, "47-53", TRUE, "54+")</f>
        <v>40-46</v>
      </c>
      <c r="E548">
        <v>505316</v>
      </c>
      <c r="F548" s="1">
        <v>37437</v>
      </c>
      <c r="G548" t="s">
        <v>62</v>
      </c>
      <c r="H548" t="s">
        <v>74</v>
      </c>
      <c r="I548">
        <v>2000</v>
      </c>
      <c r="J548">
        <v>1221.1400000000001</v>
      </c>
      <c r="K548">
        <v>0</v>
      </c>
      <c r="L548">
        <v>473394</v>
      </c>
      <c r="M548" t="s">
        <v>46</v>
      </c>
      <c r="N548" t="s">
        <v>47</v>
      </c>
      <c r="O548" t="s">
        <v>106</v>
      </c>
      <c r="P548" t="s">
        <v>78</v>
      </c>
      <c r="Q548" t="s">
        <v>124</v>
      </c>
      <c r="R548">
        <v>48100</v>
      </c>
      <c r="S548">
        <v>0</v>
      </c>
      <c r="T548" s="1">
        <v>42011</v>
      </c>
      <c r="U548" t="s">
        <v>51</v>
      </c>
      <c r="V548" t="s">
        <v>52</v>
      </c>
      <c r="W548" t="s">
        <v>112</v>
      </c>
      <c r="X548" t="s">
        <v>141</v>
      </c>
      <c r="Y548" t="s">
        <v>69</v>
      </c>
      <c r="Z548" t="s">
        <v>127</v>
      </c>
      <c r="AA548" t="s">
        <v>730</v>
      </c>
      <c r="AB548">
        <v>13</v>
      </c>
      <c r="AC548" t="str">
        <f t="shared" si="25"/>
        <v>Afternoon</v>
      </c>
      <c r="AD548">
        <v>1</v>
      </c>
      <c r="AE548" t="s">
        <v>67</v>
      </c>
      <c r="AF548">
        <v>0</v>
      </c>
      <c r="AG548">
        <v>2</v>
      </c>
      <c r="AH548" t="s">
        <v>67</v>
      </c>
      <c r="AI548">
        <v>75460</v>
      </c>
      <c r="AJ548">
        <v>13720</v>
      </c>
      <c r="AK548">
        <v>13720</v>
      </c>
      <c r="AL548">
        <v>48020</v>
      </c>
      <c r="AM548" t="s">
        <v>114</v>
      </c>
      <c r="AN548" t="s">
        <v>115</v>
      </c>
      <c r="AO548">
        <v>2015</v>
      </c>
      <c r="AP548">
        <v>2002</v>
      </c>
      <c r="AQ548">
        <f t="shared" si="26"/>
        <v>13</v>
      </c>
      <c r="AR548" t="s">
        <v>87</v>
      </c>
    </row>
    <row r="549" spans="1:44" x14ac:dyDescent="0.25">
      <c r="A549">
        <v>313</v>
      </c>
      <c r="B549" t="str">
        <f t="shared" si="24"/>
        <v>10+ years</v>
      </c>
      <c r="C549">
        <v>50</v>
      </c>
      <c r="D549" t="str" cm="1">
        <f t="array" ref="D549">_xlfn.IFS(C549&lt;26, "19-25", C549&lt;33, "26-32", C549&lt;40, "33-39", C549&lt;47, "40-46",C549&lt;54, "47-53", TRUE, "54+")</f>
        <v>47-53</v>
      </c>
      <c r="E549">
        <v>116645</v>
      </c>
      <c r="F549" s="1">
        <v>38168</v>
      </c>
      <c r="G549" t="s">
        <v>44</v>
      </c>
      <c r="H549" t="s">
        <v>74</v>
      </c>
      <c r="I549">
        <v>2000</v>
      </c>
      <c r="J549">
        <v>1255.6199999999999</v>
      </c>
      <c r="K549">
        <v>0</v>
      </c>
      <c r="L549">
        <v>603882</v>
      </c>
      <c r="M549" t="s">
        <v>46</v>
      </c>
      <c r="N549" t="s">
        <v>47</v>
      </c>
      <c r="O549" t="s">
        <v>89</v>
      </c>
      <c r="P549" t="s">
        <v>178</v>
      </c>
      <c r="Q549" t="s">
        <v>90</v>
      </c>
      <c r="R549">
        <v>0</v>
      </c>
      <c r="S549">
        <v>0</v>
      </c>
      <c r="T549" s="1">
        <v>42037</v>
      </c>
      <c r="U549" t="s">
        <v>80</v>
      </c>
      <c r="V549" t="s">
        <v>52</v>
      </c>
      <c r="W549" t="s">
        <v>53</v>
      </c>
      <c r="X549" t="s">
        <v>125</v>
      </c>
      <c r="Y549" t="s">
        <v>44</v>
      </c>
      <c r="Z549" t="s">
        <v>161</v>
      </c>
      <c r="AA549" t="s">
        <v>731</v>
      </c>
      <c r="AB549">
        <v>18</v>
      </c>
      <c r="AC549" t="str">
        <f t="shared" si="25"/>
        <v>Evening</v>
      </c>
      <c r="AD549">
        <v>3</v>
      </c>
      <c r="AE549" t="s">
        <v>58</v>
      </c>
      <c r="AF549">
        <v>2</v>
      </c>
      <c r="AG549">
        <v>1</v>
      </c>
      <c r="AH549" t="s">
        <v>58</v>
      </c>
      <c r="AI549">
        <v>69000</v>
      </c>
      <c r="AJ549">
        <v>13800</v>
      </c>
      <c r="AK549">
        <v>6900</v>
      </c>
      <c r="AL549">
        <v>48300</v>
      </c>
      <c r="AM549" t="s">
        <v>134</v>
      </c>
      <c r="AN549" t="s">
        <v>135</v>
      </c>
      <c r="AO549">
        <v>2015</v>
      </c>
      <c r="AP549">
        <v>1995</v>
      </c>
      <c r="AQ549">
        <f t="shared" si="26"/>
        <v>20</v>
      </c>
      <c r="AR549" t="s">
        <v>61</v>
      </c>
    </row>
    <row r="550" spans="1:44" x14ac:dyDescent="0.25">
      <c r="A550">
        <v>210</v>
      </c>
      <c r="B550" t="str">
        <f t="shared" si="24"/>
        <v>10+ years</v>
      </c>
      <c r="C550">
        <v>38</v>
      </c>
      <c r="D550" t="str" cm="1">
        <f t="array" ref="D550">_xlfn.IFS(C550&lt;26, "19-25", C550&lt;33, "26-32", C550&lt;40, "33-39", C550&lt;47, "40-46",C550&lt;54, "47-53", TRUE, "54+")</f>
        <v>33-39</v>
      </c>
      <c r="E550">
        <v>950880</v>
      </c>
      <c r="F550" s="1">
        <v>36148</v>
      </c>
      <c r="G550" t="s">
        <v>62</v>
      </c>
      <c r="H550" t="s">
        <v>45</v>
      </c>
      <c r="I550">
        <v>500</v>
      </c>
      <c r="J550">
        <v>999.52</v>
      </c>
      <c r="K550">
        <v>0</v>
      </c>
      <c r="L550">
        <v>615229</v>
      </c>
      <c r="M550" t="s">
        <v>46</v>
      </c>
      <c r="N550" t="s">
        <v>166</v>
      </c>
      <c r="O550" t="s">
        <v>102</v>
      </c>
      <c r="P550" t="s">
        <v>117</v>
      </c>
      <c r="Q550" t="s">
        <v>65</v>
      </c>
      <c r="R550">
        <v>0</v>
      </c>
      <c r="S550">
        <v>0</v>
      </c>
      <c r="T550" s="1">
        <v>42017</v>
      </c>
      <c r="U550" t="s">
        <v>66</v>
      </c>
      <c r="V550" t="s">
        <v>67</v>
      </c>
      <c r="W550" t="s">
        <v>68</v>
      </c>
      <c r="X550" t="s">
        <v>54</v>
      </c>
      <c r="Y550" t="s">
        <v>69</v>
      </c>
      <c r="Z550" t="s">
        <v>107</v>
      </c>
      <c r="AA550" t="s">
        <v>732</v>
      </c>
      <c r="AB550">
        <v>6</v>
      </c>
      <c r="AC550" t="str">
        <f t="shared" si="25"/>
        <v>Morning</v>
      </c>
      <c r="AD550">
        <v>1</v>
      </c>
      <c r="AE550" t="s">
        <v>67</v>
      </c>
      <c r="AF550">
        <v>1</v>
      </c>
      <c r="AG550">
        <v>2</v>
      </c>
      <c r="AH550" t="s">
        <v>84</v>
      </c>
      <c r="AI550">
        <v>8640</v>
      </c>
      <c r="AJ550">
        <v>1440</v>
      </c>
      <c r="AK550">
        <v>720</v>
      </c>
      <c r="AL550">
        <v>6480</v>
      </c>
      <c r="AM550" t="s">
        <v>100</v>
      </c>
      <c r="AN550" t="s">
        <v>163</v>
      </c>
      <c r="AO550">
        <v>2015</v>
      </c>
      <c r="AP550">
        <v>2008</v>
      </c>
      <c r="AQ550">
        <f t="shared" si="26"/>
        <v>7</v>
      </c>
      <c r="AR550" t="s">
        <v>87</v>
      </c>
    </row>
    <row r="551" spans="1:44" x14ac:dyDescent="0.25">
      <c r="A551">
        <v>101</v>
      </c>
      <c r="B551" t="str">
        <f t="shared" si="24"/>
        <v>5-10 years</v>
      </c>
      <c r="C551">
        <v>29</v>
      </c>
      <c r="D551" t="str" cm="1">
        <f t="array" ref="D551">_xlfn.IFS(C551&lt;26, "19-25", C551&lt;33, "26-32", C551&lt;40, "33-39", C551&lt;47, "40-46",C551&lt;54, "47-53", TRUE, "54+")</f>
        <v>26-32</v>
      </c>
      <c r="E551">
        <v>788502</v>
      </c>
      <c r="F551" s="1">
        <v>41882</v>
      </c>
      <c r="G551" t="s">
        <v>44</v>
      </c>
      <c r="H551" t="s">
        <v>45</v>
      </c>
      <c r="I551">
        <v>500</v>
      </c>
      <c r="J551">
        <v>1380.89</v>
      </c>
      <c r="K551">
        <v>0</v>
      </c>
      <c r="L551">
        <v>620197</v>
      </c>
      <c r="M551" t="s">
        <v>46</v>
      </c>
      <c r="N551" t="s">
        <v>76</v>
      </c>
      <c r="O551" t="s">
        <v>89</v>
      </c>
      <c r="P551" t="s">
        <v>131</v>
      </c>
      <c r="Q551" t="s">
        <v>79</v>
      </c>
      <c r="R551">
        <v>30000</v>
      </c>
      <c r="S551">
        <v>-53000</v>
      </c>
      <c r="T551" s="1">
        <v>42063</v>
      </c>
      <c r="U551" t="s">
        <v>80</v>
      </c>
      <c r="V551" t="s">
        <v>81</v>
      </c>
      <c r="W551" t="s">
        <v>68</v>
      </c>
      <c r="X551" t="s">
        <v>141</v>
      </c>
      <c r="Y551" t="s">
        <v>55</v>
      </c>
      <c r="Z551" t="s">
        <v>92</v>
      </c>
      <c r="AA551" t="s">
        <v>733</v>
      </c>
      <c r="AB551">
        <v>0</v>
      </c>
      <c r="AC551" t="str">
        <f t="shared" si="25"/>
        <v>Night</v>
      </c>
      <c r="AD551">
        <v>3</v>
      </c>
      <c r="AE551" t="s">
        <v>67</v>
      </c>
      <c r="AF551">
        <v>2</v>
      </c>
      <c r="AG551">
        <v>1</v>
      </c>
      <c r="AH551" t="s">
        <v>67</v>
      </c>
      <c r="AI551">
        <v>67210</v>
      </c>
      <c r="AJ551">
        <v>12220</v>
      </c>
      <c r="AK551">
        <v>12220</v>
      </c>
      <c r="AL551">
        <v>42770</v>
      </c>
      <c r="AM551" t="s">
        <v>192</v>
      </c>
      <c r="AN551" t="s">
        <v>243</v>
      </c>
      <c r="AO551">
        <v>2015</v>
      </c>
      <c r="AP551">
        <v>1996</v>
      </c>
      <c r="AQ551">
        <f t="shared" si="26"/>
        <v>19</v>
      </c>
      <c r="AR551" t="s">
        <v>87</v>
      </c>
    </row>
    <row r="552" spans="1:44" x14ac:dyDescent="0.25">
      <c r="A552">
        <v>153</v>
      </c>
      <c r="B552" t="str">
        <f t="shared" si="24"/>
        <v>10+ years</v>
      </c>
      <c r="C552">
        <v>37</v>
      </c>
      <c r="D552" t="str" cm="1">
        <f t="array" ref="D552">_xlfn.IFS(C552&lt;26, "19-25", C552&lt;33, "26-32", C552&lt;40, "33-39", C552&lt;47, "40-46",C552&lt;54, "47-53", TRUE, "54+")</f>
        <v>33-39</v>
      </c>
      <c r="E552">
        <v>627486</v>
      </c>
      <c r="F552" s="1">
        <v>38666</v>
      </c>
      <c r="G552" t="s">
        <v>62</v>
      </c>
      <c r="H552" t="s">
        <v>96</v>
      </c>
      <c r="I552">
        <v>500</v>
      </c>
      <c r="J552">
        <v>1010.77</v>
      </c>
      <c r="K552">
        <v>0</v>
      </c>
      <c r="L552">
        <v>438215</v>
      </c>
      <c r="M552" t="s">
        <v>46</v>
      </c>
      <c r="N552" t="s">
        <v>136</v>
      </c>
      <c r="O552" t="s">
        <v>150</v>
      </c>
      <c r="P552" t="s">
        <v>184</v>
      </c>
      <c r="Q552" t="s">
        <v>90</v>
      </c>
      <c r="R552">
        <v>52300</v>
      </c>
      <c r="S552">
        <v>-55600</v>
      </c>
      <c r="T552" s="1">
        <v>42020</v>
      </c>
      <c r="U552" t="s">
        <v>80</v>
      </c>
      <c r="V552" t="s">
        <v>52</v>
      </c>
      <c r="W552" t="s">
        <v>112</v>
      </c>
      <c r="X552" t="s">
        <v>141</v>
      </c>
      <c r="Y552" t="s">
        <v>126</v>
      </c>
      <c r="Z552" t="s">
        <v>92</v>
      </c>
      <c r="AA552" t="s">
        <v>734</v>
      </c>
      <c r="AB552">
        <v>5</v>
      </c>
      <c r="AC552" t="str">
        <f t="shared" si="25"/>
        <v>Night</v>
      </c>
      <c r="AD552">
        <v>3</v>
      </c>
      <c r="AE552" t="s">
        <v>67</v>
      </c>
      <c r="AF552">
        <v>0</v>
      </c>
      <c r="AG552">
        <v>3</v>
      </c>
      <c r="AH552" t="s">
        <v>84</v>
      </c>
      <c r="AI552">
        <v>42500</v>
      </c>
      <c r="AJ552">
        <v>4250</v>
      </c>
      <c r="AK552">
        <v>4250</v>
      </c>
      <c r="AL552">
        <v>34000</v>
      </c>
      <c r="AM552" t="s">
        <v>219</v>
      </c>
      <c r="AN552" t="s">
        <v>263</v>
      </c>
      <c r="AO552">
        <v>2015</v>
      </c>
      <c r="AP552">
        <v>1999</v>
      </c>
      <c r="AQ552">
        <f t="shared" si="26"/>
        <v>16</v>
      </c>
      <c r="AR552" t="s">
        <v>87</v>
      </c>
    </row>
    <row r="553" spans="1:44" x14ac:dyDescent="0.25">
      <c r="A553">
        <v>337</v>
      </c>
      <c r="B553" t="str">
        <f t="shared" si="24"/>
        <v>10+ years</v>
      </c>
      <c r="C553">
        <v>53</v>
      </c>
      <c r="D553" t="str" cm="1">
        <f t="array" ref="D553">_xlfn.IFS(C553&lt;26, "19-25", C553&lt;33, "26-32", C553&lt;40, "33-39", C553&lt;47, "40-46",C553&lt;54, "47-53", TRUE, "54+")</f>
        <v>47-53</v>
      </c>
      <c r="E553">
        <v>498842</v>
      </c>
      <c r="F553" s="1">
        <v>36650</v>
      </c>
      <c r="G553" t="s">
        <v>44</v>
      </c>
      <c r="H553" t="s">
        <v>74</v>
      </c>
      <c r="I553">
        <v>500</v>
      </c>
      <c r="J553">
        <v>1205.8599999999999</v>
      </c>
      <c r="K553">
        <v>0</v>
      </c>
      <c r="L553">
        <v>444583</v>
      </c>
      <c r="M553" t="s">
        <v>46</v>
      </c>
      <c r="N553" t="s">
        <v>97</v>
      </c>
      <c r="O553" t="s">
        <v>89</v>
      </c>
      <c r="P553" t="s">
        <v>184</v>
      </c>
      <c r="Q553" t="s">
        <v>124</v>
      </c>
      <c r="R553">
        <v>0</v>
      </c>
      <c r="S553">
        <v>-34600</v>
      </c>
      <c r="T553" s="1">
        <v>42036</v>
      </c>
      <c r="U553" t="s">
        <v>51</v>
      </c>
      <c r="V553" t="s">
        <v>81</v>
      </c>
      <c r="W553" t="s">
        <v>68</v>
      </c>
      <c r="X553" t="s">
        <v>104</v>
      </c>
      <c r="Y553" t="s">
        <v>55</v>
      </c>
      <c r="Z553" t="s">
        <v>92</v>
      </c>
      <c r="AA553" t="s">
        <v>735</v>
      </c>
      <c r="AB553">
        <v>8</v>
      </c>
      <c r="AC553" t="str">
        <f t="shared" si="25"/>
        <v>Morning</v>
      </c>
      <c r="AD553">
        <v>1</v>
      </c>
      <c r="AE553" t="s">
        <v>58</v>
      </c>
      <c r="AF553">
        <v>0</v>
      </c>
      <c r="AG553">
        <v>1</v>
      </c>
      <c r="AH553" t="s">
        <v>84</v>
      </c>
      <c r="AI553">
        <v>86400</v>
      </c>
      <c r="AJ553">
        <v>14400</v>
      </c>
      <c r="AK553">
        <v>7200</v>
      </c>
      <c r="AL553">
        <v>64800</v>
      </c>
      <c r="AM553" t="s">
        <v>100</v>
      </c>
      <c r="AN553" t="s">
        <v>101</v>
      </c>
      <c r="AO553">
        <v>2015</v>
      </c>
      <c r="AP553">
        <v>2001</v>
      </c>
      <c r="AQ553">
        <f t="shared" si="26"/>
        <v>14</v>
      </c>
      <c r="AR553" t="s">
        <v>87</v>
      </c>
    </row>
    <row r="554" spans="1:44" x14ac:dyDescent="0.25">
      <c r="A554">
        <v>360</v>
      </c>
      <c r="B554" t="str">
        <f t="shared" si="24"/>
        <v>10+ years</v>
      </c>
      <c r="C554">
        <v>51</v>
      </c>
      <c r="D554" t="str" cm="1">
        <f t="array" ref="D554">_xlfn.IFS(C554&lt;26, "19-25", C554&lt;33, "26-32", C554&lt;40, "33-39", C554&lt;47, "40-46",C554&lt;54, "47-53", TRUE, "54+")</f>
        <v>47-53</v>
      </c>
      <c r="E554">
        <v>550294</v>
      </c>
      <c r="F554" s="1">
        <v>37221</v>
      </c>
      <c r="G554" t="s">
        <v>88</v>
      </c>
      <c r="H554" t="s">
        <v>96</v>
      </c>
      <c r="I554">
        <v>1000</v>
      </c>
      <c r="J554">
        <v>1526.61</v>
      </c>
      <c r="K554">
        <v>0</v>
      </c>
      <c r="L554">
        <v>471866</v>
      </c>
      <c r="M554" t="s">
        <v>46</v>
      </c>
      <c r="N554" t="s">
        <v>129</v>
      </c>
      <c r="O554" t="s">
        <v>164</v>
      </c>
      <c r="P554" t="s">
        <v>173</v>
      </c>
      <c r="Q554" t="s">
        <v>147</v>
      </c>
      <c r="R554">
        <v>0</v>
      </c>
      <c r="S554">
        <v>-32900</v>
      </c>
      <c r="T554" s="1">
        <v>42034</v>
      </c>
      <c r="U554" t="s">
        <v>66</v>
      </c>
      <c r="V554" t="s">
        <v>67</v>
      </c>
      <c r="W554" t="s">
        <v>68</v>
      </c>
      <c r="X554" t="s">
        <v>54</v>
      </c>
      <c r="Y554" t="s">
        <v>55</v>
      </c>
      <c r="Z554" t="s">
        <v>127</v>
      </c>
      <c r="AA554" t="s">
        <v>736</v>
      </c>
      <c r="AB554">
        <v>5</v>
      </c>
      <c r="AC554" t="str">
        <f t="shared" si="25"/>
        <v>Night</v>
      </c>
      <c r="AD554">
        <v>1</v>
      </c>
      <c r="AE554" t="s">
        <v>58</v>
      </c>
      <c r="AF554">
        <v>2</v>
      </c>
      <c r="AG554">
        <v>2</v>
      </c>
      <c r="AH554" t="s">
        <v>67</v>
      </c>
      <c r="AI554">
        <v>4620</v>
      </c>
      <c r="AJ554">
        <v>840</v>
      </c>
      <c r="AK554">
        <v>840</v>
      </c>
      <c r="AL554">
        <v>2940</v>
      </c>
      <c r="AM554" t="s">
        <v>85</v>
      </c>
      <c r="AN554" t="s">
        <v>86</v>
      </c>
      <c r="AO554">
        <v>2015</v>
      </c>
      <c r="AP554">
        <v>2009</v>
      </c>
      <c r="AQ554">
        <f t="shared" si="26"/>
        <v>6</v>
      </c>
      <c r="AR554" t="s">
        <v>61</v>
      </c>
    </row>
    <row r="555" spans="1:44" x14ac:dyDescent="0.25">
      <c r="A555">
        <v>428</v>
      </c>
      <c r="B555" t="str">
        <f t="shared" si="24"/>
        <v>10+ years</v>
      </c>
      <c r="C555">
        <v>53</v>
      </c>
      <c r="D555" t="str" cm="1">
        <f t="array" ref="D555">_xlfn.IFS(C555&lt;26, "19-25", C555&lt;33, "26-32", C555&lt;40, "33-39", C555&lt;47, "40-46",C555&lt;54, "47-53", TRUE, "54+")</f>
        <v>47-53</v>
      </c>
      <c r="E555">
        <v>328387</v>
      </c>
      <c r="F555" s="1">
        <v>41765</v>
      </c>
      <c r="G555" t="s">
        <v>88</v>
      </c>
      <c r="H555" t="s">
        <v>74</v>
      </c>
      <c r="I555">
        <v>1000</v>
      </c>
      <c r="J555">
        <v>1496.44</v>
      </c>
      <c r="K555">
        <v>0</v>
      </c>
      <c r="L555">
        <v>616884</v>
      </c>
      <c r="M555" t="s">
        <v>75</v>
      </c>
      <c r="N555" t="s">
        <v>136</v>
      </c>
      <c r="O555" t="s">
        <v>102</v>
      </c>
      <c r="P555" t="s">
        <v>123</v>
      </c>
      <c r="Q555" t="s">
        <v>90</v>
      </c>
      <c r="R555">
        <v>0</v>
      </c>
      <c r="S555">
        <v>0</v>
      </c>
      <c r="T555" s="1">
        <v>42051</v>
      </c>
      <c r="U555" t="s">
        <v>143</v>
      </c>
      <c r="V555" t="s">
        <v>67</v>
      </c>
      <c r="W555" t="s">
        <v>217</v>
      </c>
      <c r="X555" t="s">
        <v>54</v>
      </c>
      <c r="Y555" t="s">
        <v>126</v>
      </c>
      <c r="Z555" t="s">
        <v>107</v>
      </c>
      <c r="AA555" t="s">
        <v>737</v>
      </c>
      <c r="AB555">
        <v>9</v>
      </c>
      <c r="AC555" t="str">
        <f t="shared" si="25"/>
        <v>Morning</v>
      </c>
      <c r="AD555">
        <v>1</v>
      </c>
      <c r="AE555" t="s">
        <v>58</v>
      </c>
      <c r="AF555">
        <v>2</v>
      </c>
      <c r="AG555">
        <v>2</v>
      </c>
      <c r="AH555" t="s">
        <v>84</v>
      </c>
      <c r="AI555">
        <v>6930</v>
      </c>
      <c r="AJ555">
        <v>630</v>
      </c>
      <c r="AK555">
        <v>1260</v>
      </c>
      <c r="AL555">
        <v>5040</v>
      </c>
      <c r="AM555" t="s">
        <v>214</v>
      </c>
      <c r="AN555" t="s">
        <v>230</v>
      </c>
      <c r="AO555">
        <v>2015</v>
      </c>
      <c r="AP555">
        <v>2013</v>
      </c>
      <c r="AQ555">
        <f t="shared" si="26"/>
        <v>2</v>
      </c>
      <c r="AR555" t="s">
        <v>87</v>
      </c>
    </row>
    <row r="556" spans="1:44" x14ac:dyDescent="0.25">
      <c r="A556">
        <v>204</v>
      </c>
      <c r="B556" t="str">
        <f t="shared" si="24"/>
        <v>10+ years</v>
      </c>
      <c r="C556">
        <v>40</v>
      </c>
      <c r="D556" t="str" cm="1">
        <f t="array" ref="D556">_xlfn.IFS(C556&lt;26, "19-25", C556&lt;33, "26-32", C556&lt;40, "33-39", C556&lt;47, "40-46",C556&lt;54, "47-53", TRUE, "54+")</f>
        <v>40-46</v>
      </c>
      <c r="E556">
        <v>540152</v>
      </c>
      <c r="F556" s="1">
        <v>33265</v>
      </c>
      <c r="G556" t="s">
        <v>88</v>
      </c>
      <c r="H556" t="s">
        <v>74</v>
      </c>
      <c r="I556">
        <v>500</v>
      </c>
      <c r="J556">
        <v>1256.2</v>
      </c>
      <c r="K556">
        <v>0</v>
      </c>
      <c r="L556">
        <v>448310</v>
      </c>
      <c r="M556" t="s">
        <v>75</v>
      </c>
      <c r="N556" t="s">
        <v>166</v>
      </c>
      <c r="O556" t="s">
        <v>77</v>
      </c>
      <c r="P556" t="s">
        <v>154</v>
      </c>
      <c r="Q556" t="s">
        <v>147</v>
      </c>
      <c r="R556">
        <v>0</v>
      </c>
      <c r="S556">
        <v>0</v>
      </c>
      <c r="T556" s="1">
        <v>42011</v>
      </c>
      <c r="U556" t="s">
        <v>80</v>
      </c>
      <c r="V556" t="s">
        <v>52</v>
      </c>
      <c r="W556" t="s">
        <v>68</v>
      </c>
      <c r="X556" t="s">
        <v>125</v>
      </c>
      <c r="Y556" t="s">
        <v>55</v>
      </c>
      <c r="Z556" t="s">
        <v>132</v>
      </c>
      <c r="AA556" t="s">
        <v>738</v>
      </c>
      <c r="AB556">
        <v>10</v>
      </c>
      <c r="AC556" t="str">
        <f t="shared" si="25"/>
        <v>Morning</v>
      </c>
      <c r="AD556">
        <v>3</v>
      </c>
      <c r="AE556" t="s">
        <v>58</v>
      </c>
      <c r="AF556">
        <v>1</v>
      </c>
      <c r="AG556">
        <v>2</v>
      </c>
      <c r="AH556" t="s">
        <v>58</v>
      </c>
      <c r="AI556">
        <v>41700</v>
      </c>
      <c r="AJ556">
        <v>8340</v>
      </c>
      <c r="AK556">
        <v>8340</v>
      </c>
      <c r="AL556">
        <v>25020</v>
      </c>
      <c r="AM556" t="s">
        <v>59</v>
      </c>
      <c r="AN556">
        <v>95</v>
      </c>
      <c r="AO556">
        <v>2015</v>
      </c>
      <c r="AP556">
        <v>2013</v>
      </c>
      <c r="AQ556">
        <f t="shared" si="26"/>
        <v>2</v>
      </c>
      <c r="AR556" t="s">
        <v>87</v>
      </c>
    </row>
    <row r="557" spans="1:44" x14ac:dyDescent="0.25">
      <c r="A557">
        <v>364</v>
      </c>
      <c r="B557" t="str">
        <f t="shared" si="24"/>
        <v>10+ years</v>
      </c>
      <c r="C557">
        <v>51</v>
      </c>
      <c r="D557" t="str" cm="1">
        <f t="array" ref="D557">_xlfn.IFS(C557&lt;26, "19-25", C557&lt;33, "26-32", C557&lt;40, "33-39", C557&lt;47, "40-46",C557&lt;54, "47-53", TRUE, "54+")</f>
        <v>47-53</v>
      </c>
      <c r="E557">
        <v>385932</v>
      </c>
      <c r="F557" s="1">
        <v>33722</v>
      </c>
      <c r="G557" t="s">
        <v>88</v>
      </c>
      <c r="H557" t="s">
        <v>74</v>
      </c>
      <c r="I557">
        <v>500</v>
      </c>
      <c r="J557">
        <v>1268.3499999999999</v>
      </c>
      <c r="K557">
        <v>0</v>
      </c>
      <c r="L557">
        <v>478902</v>
      </c>
      <c r="M557" t="s">
        <v>46</v>
      </c>
      <c r="N557" t="s">
        <v>129</v>
      </c>
      <c r="O557" t="s">
        <v>150</v>
      </c>
      <c r="P557" t="s">
        <v>78</v>
      </c>
      <c r="Q557" t="s">
        <v>124</v>
      </c>
      <c r="R557">
        <v>0</v>
      </c>
      <c r="S557">
        <v>0</v>
      </c>
      <c r="T557" s="1">
        <v>42014</v>
      </c>
      <c r="U557" t="s">
        <v>51</v>
      </c>
      <c r="V557" t="s">
        <v>81</v>
      </c>
      <c r="W557" t="s">
        <v>53</v>
      </c>
      <c r="X557" t="s">
        <v>125</v>
      </c>
      <c r="Y557" t="s">
        <v>82</v>
      </c>
      <c r="Z557" t="s">
        <v>161</v>
      </c>
      <c r="AA557" t="s">
        <v>739</v>
      </c>
      <c r="AB557">
        <v>16</v>
      </c>
      <c r="AC557" t="str">
        <f t="shared" si="25"/>
        <v>Afternoon</v>
      </c>
      <c r="AD557">
        <v>1</v>
      </c>
      <c r="AE557" t="s">
        <v>58</v>
      </c>
      <c r="AF557">
        <v>2</v>
      </c>
      <c r="AG557">
        <v>1</v>
      </c>
      <c r="AH557" t="s">
        <v>84</v>
      </c>
      <c r="AI557">
        <v>77330</v>
      </c>
      <c r="AJ557">
        <v>14060</v>
      </c>
      <c r="AK557">
        <v>14060</v>
      </c>
      <c r="AL557">
        <v>49210</v>
      </c>
      <c r="AM557" t="s">
        <v>219</v>
      </c>
      <c r="AN557" t="s">
        <v>263</v>
      </c>
      <c r="AO557">
        <v>2015</v>
      </c>
      <c r="AP557">
        <v>2014</v>
      </c>
      <c r="AQ557">
        <f t="shared" si="26"/>
        <v>1</v>
      </c>
      <c r="AR557" t="s">
        <v>61</v>
      </c>
    </row>
    <row r="558" spans="1:44" x14ac:dyDescent="0.25">
      <c r="A558">
        <v>185</v>
      </c>
      <c r="B558" t="str">
        <f t="shared" si="24"/>
        <v>10+ years</v>
      </c>
      <c r="C558">
        <v>35</v>
      </c>
      <c r="D558" t="str" cm="1">
        <f t="array" ref="D558">_xlfn.IFS(C558&lt;26, "19-25", C558&lt;33, "26-32", C558&lt;40, "33-39", C558&lt;47, "40-46",C558&lt;54, "47-53", TRUE, "54+")</f>
        <v>33-39</v>
      </c>
      <c r="E558">
        <v>618682</v>
      </c>
      <c r="F558" s="1">
        <v>36589</v>
      </c>
      <c r="G558" t="s">
        <v>62</v>
      </c>
      <c r="H558" t="s">
        <v>96</v>
      </c>
      <c r="I558">
        <v>2000</v>
      </c>
      <c r="J558">
        <v>1421.59</v>
      </c>
      <c r="K558">
        <v>0</v>
      </c>
      <c r="L558">
        <v>442695</v>
      </c>
      <c r="M558" t="s">
        <v>46</v>
      </c>
      <c r="N558" t="s">
        <v>146</v>
      </c>
      <c r="O558" t="s">
        <v>116</v>
      </c>
      <c r="P558" t="s">
        <v>49</v>
      </c>
      <c r="Q558" t="s">
        <v>79</v>
      </c>
      <c r="R558">
        <v>0</v>
      </c>
      <c r="S558">
        <v>0</v>
      </c>
      <c r="T558" s="1">
        <v>42035</v>
      </c>
      <c r="U558" t="s">
        <v>66</v>
      </c>
      <c r="V558" t="s">
        <v>67</v>
      </c>
      <c r="W558" t="s">
        <v>217</v>
      </c>
      <c r="X558" t="s">
        <v>54</v>
      </c>
      <c r="Y558" t="s">
        <v>118</v>
      </c>
      <c r="Z558" t="s">
        <v>92</v>
      </c>
      <c r="AA558" t="s">
        <v>740</v>
      </c>
      <c r="AB558">
        <v>8</v>
      </c>
      <c r="AC558" t="str">
        <f t="shared" si="25"/>
        <v>Morning</v>
      </c>
      <c r="AD558">
        <v>1</v>
      </c>
      <c r="AE558" t="s">
        <v>67</v>
      </c>
      <c r="AF558">
        <v>2</v>
      </c>
      <c r="AG558">
        <v>3</v>
      </c>
      <c r="AH558" t="s">
        <v>58</v>
      </c>
      <c r="AI558">
        <v>4950</v>
      </c>
      <c r="AJ558">
        <v>900</v>
      </c>
      <c r="AK558">
        <v>450</v>
      </c>
      <c r="AL558">
        <v>3600</v>
      </c>
      <c r="AM558" t="s">
        <v>134</v>
      </c>
      <c r="AN558" t="s">
        <v>135</v>
      </c>
      <c r="AO558">
        <v>2015</v>
      </c>
      <c r="AP558">
        <v>2011</v>
      </c>
      <c r="AQ558">
        <f t="shared" si="26"/>
        <v>4</v>
      </c>
      <c r="AR558" t="s">
        <v>87</v>
      </c>
    </row>
    <row r="559" spans="1:44" x14ac:dyDescent="0.25">
      <c r="A559">
        <v>63</v>
      </c>
      <c r="B559" t="str">
        <f t="shared" si="24"/>
        <v>5-10 years</v>
      </c>
      <c r="C559">
        <v>26</v>
      </c>
      <c r="D559" t="str" cm="1">
        <f t="array" ref="D559">_xlfn.IFS(C559&lt;26, "19-25", C559&lt;33, "26-32", C559&lt;40, "33-39", C559&lt;47, "40-46",C559&lt;54, "47-53", TRUE, "54+")</f>
        <v>26-32</v>
      </c>
      <c r="E559">
        <v>550930</v>
      </c>
      <c r="F559" s="1">
        <v>34984</v>
      </c>
      <c r="G559" t="s">
        <v>88</v>
      </c>
      <c r="H559" t="s">
        <v>96</v>
      </c>
      <c r="I559">
        <v>500</v>
      </c>
      <c r="J559">
        <v>1500.04</v>
      </c>
      <c r="K559">
        <v>6000000</v>
      </c>
      <c r="L559">
        <v>613826</v>
      </c>
      <c r="M559" t="s">
        <v>46</v>
      </c>
      <c r="N559" t="s">
        <v>76</v>
      </c>
      <c r="O559" t="s">
        <v>48</v>
      </c>
      <c r="P559" t="s">
        <v>178</v>
      </c>
      <c r="Q559" t="s">
        <v>79</v>
      </c>
      <c r="R559">
        <v>0</v>
      </c>
      <c r="S559">
        <v>-36500</v>
      </c>
      <c r="T559" s="1">
        <v>42048</v>
      </c>
      <c r="U559" t="s">
        <v>66</v>
      </c>
      <c r="V559" t="s">
        <v>67</v>
      </c>
      <c r="W559" t="s">
        <v>68</v>
      </c>
      <c r="X559" t="s">
        <v>54</v>
      </c>
      <c r="Y559" t="s">
        <v>126</v>
      </c>
      <c r="Z559" t="s">
        <v>161</v>
      </c>
      <c r="AA559" t="s">
        <v>741</v>
      </c>
      <c r="AB559">
        <v>5</v>
      </c>
      <c r="AC559" t="str">
        <f t="shared" si="25"/>
        <v>Night</v>
      </c>
      <c r="AD559">
        <v>1</v>
      </c>
      <c r="AE559" t="s">
        <v>84</v>
      </c>
      <c r="AF559">
        <v>0</v>
      </c>
      <c r="AG559">
        <v>2</v>
      </c>
      <c r="AH559" t="s">
        <v>58</v>
      </c>
      <c r="AI559">
        <v>5160</v>
      </c>
      <c r="AJ559">
        <v>860</v>
      </c>
      <c r="AK559">
        <v>860</v>
      </c>
      <c r="AL559">
        <v>3440</v>
      </c>
      <c r="AM559" t="s">
        <v>100</v>
      </c>
      <c r="AN559" t="s">
        <v>163</v>
      </c>
      <c r="AO559">
        <v>2015</v>
      </c>
      <c r="AP559">
        <v>2004</v>
      </c>
      <c r="AQ559">
        <f t="shared" si="26"/>
        <v>11</v>
      </c>
      <c r="AR559" t="s">
        <v>87</v>
      </c>
    </row>
    <row r="560" spans="1:44" x14ac:dyDescent="0.25">
      <c r="A560">
        <v>210</v>
      </c>
      <c r="B560" t="str">
        <f t="shared" si="24"/>
        <v>10+ years</v>
      </c>
      <c r="C560">
        <v>35</v>
      </c>
      <c r="D560" t="str" cm="1">
        <f t="array" ref="D560">_xlfn.IFS(C560&lt;26, "19-25", C560&lt;33, "26-32", C560&lt;40, "33-39", C560&lt;47, "40-46",C560&lt;54, "47-53", TRUE, "54+")</f>
        <v>33-39</v>
      </c>
      <c r="E560">
        <v>998192</v>
      </c>
      <c r="F560" s="1">
        <v>41754</v>
      </c>
      <c r="G560" t="s">
        <v>88</v>
      </c>
      <c r="H560" t="s">
        <v>74</v>
      </c>
      <c r="I560">
        <v>500</v>
      </c>
      <c r="J560">
        <v>1433.24</v>
      </c>
      <c r="K560">
        <v>0</v>
      </c>
      <c r="L560">
        <v>476203</v>
      </c>
      <c r="M560" t="s">
        <v>75</v>
      </c>
      <c r="N560" t="s">
        <v>146</v>
      </c>
      <c r="O560" t="s">
        <v>130</v>
      </c>
      <c r="P560" t="s">
        <v>160</v>
      </c>
      <c r="Q560" t="s">
        <v>147</v>
      </c>
      <c r="R560">
        <v>0</v>
      </c>
      <c r="S560">
        <v>-19500</v>
      </c>
      <c r="T560" s="1">
        <v>42057</v>
      </c>
      <c r="U560" t="s">
        <v>80</v>
      </c>
      <c r="V560" t="s">
        <v>52</v>
      </c>
      <c r="W560" t="s">
        <v>112</v>
      </c>
      <c r="X560" t="s">
        <v>104</v>
      </c>
      <c r="Y560" t="s">
        <v>118</v>
      </c>
      <c r="Z560" t="s">
        <v>70</v>
      </c>
      <c r="AA560" t="s">
        <v>742</v>
      </c>
      <c r="AB560">
        <v>11</v>
      </c>
      <c r="AC560" t="str">
        <f t="shared" si="25"/>
        <v>Morning</v>
      </c>
      <c r="AD560">
        <v>3</v>
      </c>
      <c r="AE560" t="s">
        <v>84</v>
      </c>
      <c r="AF560">
        <v>2</v>
      </c>
      <c r="AG560">
        <v>1</v>
      </c>
      <c r="AH560" t="s">
        <v>67</v>
      </c>
      <c r="AI560">
        <v>24570</v>
      </c>
      <c r="AJ560">
        <v>2730</v>
      </c>
      <c r="AK560">
        <v>2730</v>
      </c>
      <c r="AL560">
        <v>19110</v>
      </c>
      <c r="AM560" t="s">
        <v>59</v>
      </c>
      <c r="AN560">
        <v>95</v>
      </c>
      <c r="AO560">
        <v>2015</v>
      </c>
      <c r="AP560">
        <v>2006</v>
      </c>
      <c r="AQ560">
        <f t="shared" si="26"/>
        <v>9</v>
      </c>
      <c r="AR560" t="s">
        <v>61</v>
      </c>
    </row>
    <row r="561" spans="1:44" x14ac:dyDescent="0.25">
      <c r="A561">
        <v>194</v>
      </c>
      <c r="B561" t="str">
        <f t="shared" si="24"/>
        <v>10+ years</v>
      </c>
      <c r="C561">
        <v>38</v>
      </c>
      <c r="D561" t="str" cm="1">
        <f t="array" ref="D561">_xlfn.IFS(C561&lt;26, "19-25", C561&lt;33, "26-32", C561&lt;40, "33-39", C561&lt;47, "40-46",C561&lt;54, "47-53", TRUE, "54+")</f>
        <v>33-39</v>
      </c>
      <c r="E561">
        <v>663938</v>
      </c>
      <c r="F561" s="1">
        <v>40569</v>
      </c>
      <c r="G561" t="s">
        <v>62</v>
      </c>
      <c r="H561" t="s">
        <v>74</v>
      </c>
      <c r="I561">
        <v>2000</v>
      </c>
      <c r="J561">
        <v>1231.25</v>
      </c>
      <c r="K561">
        <v>0</v>
      </c>
      <c r="L561">
        <v>604333</v>
      </c>
      <c r="M561" t="s">
        <v>75</v>
      </c>
      <c r="N561" t="s">
        <v>76</v>
      </c>
      <c r="O561" t="s">
        <v>48</v>
      </c>
      <c r="P561" t="s">
        <v>151</v>
      </c>
      <c r="Q561" t="s">
        <v>147</v>
      </c>
      <c r="R561">
        <v>46500</v>
      </c>
      <c r="S561">
        <v>0</v>
      </c>
      <c r="T561" s="1">
        <v>42012</v>
      </c>
      <c r="U561" t="s">
        <v>80</v>
      </c>
      <c r="V561" t="s">
        <v>81</v>
      </c>
      <c r="W561" t="s">
        <v>68</v>
      </c>
      <c r="X561" t="s">
        <v>141</v>
      </c>
      <c r="Y561" t="s">
        <v>118</v>
      </c>
      <c r="Z561" t="s">
        <v>92</v>
      </c>
      <c r="AA561" t="s">
        <v>743</v>
      </c>
      <c r="AB561">
        <v>15</v>
      </c>
      <c r="AC561" t="str">
        <f t="shared" si="25"/>
        <v>Afternoon</v>
      </c>
      <c r="AD561">
        <v>3</v>
      </c>
      <c r="AE561" t="s">
        <v>67</v>
      </c>
      <c r="AF561">
        <v>1</v>
      </c>
      <c r="AG561">
        <v>0</v>
      </c>
      <c r="AH561" t="s">
        <v>67</v>
      </c>
      <c r="AI561">
        <v>53680</v>
      </c>
      <c r="AJ561">
        <v>4880</v>
      </c>
      <c r="AK561">
        <v>9760</v>
      </c>
      <c r="AL561">
        <v>39040</v>
      </c>
      <c r="AM561" t="s">
        <v>120</v>
      </c>
      <c r="AN561" t="s">
        <v>121</v>
      </c>
      <c r="AO561">
        <v>2015</v>
      </c>
      <c r="AP561">
        <v>2011</v>
      </c>
      <c r="AQ561">
        <f t="shared" si="26"/>
        <v>4</v>
      </c>
      <c r="AR561" t="s">
        <v>87</v>
      </c>
    </row>
    <row r="562" spans="1:44" x14ac:dyDescent="0.25">
      <c r="A562">
        <v>294</v>
      </c>
      <c r="B562" t="str">
        <f t="shared" si="24"/>
        <v>10+ years</v>
      </c>
      <c r="C562">
        <v>49</v>
      </c>
      <c r="D562" t="str" cm="1">
        <f t="array" ref="D562">_xlfn.IFS(C562&lt;26, "19-25", C562&lt;33, "26-32", C562&lt;40, "33-39", C562&lt;47, "40-46",C562&lt;54, "47-53", TRUE, "54+")</f>
        <v>47-53</v>
      </c>
      <c r="E562">
        <v>756870</v>
      </c>
      <c r="F562" s="1">
        <v>35090</v>
      </c>
      <c r="G562" t="s">
        <v>62</v>
      </c>
      <c r="H562" t="s">
        <v>96</v>
      </c>
      <c r="I562">
        <v>500</v>
      </c>
      <c r="J562">
        <v>1135.43</v>
      </c>
      <c r="K562">
        <v>0</v>
      </c>
      <c r="L562">
        <v>442604</v>
      </c>
      <c r="M562" t="s">
        <v>46</v>
      </c>
      <c r="N562" t="s">
        <v>129</v>
      </c>
      <c r="O562" t="s">
        <v>194</v>
      </c>
      <c r="P562" t="s">
        <v>103</v>
      </c>
      <c r="Q562" t="s">
        <v>79</v>
      </c>
      <c r="R562">
        <v>22700</v>
      </c>
      <c r="S562">
        <v>0</v>
      </c>
      <c r="T562" s="1">
        <v>42039</v>
      </c>
      <c r="U562" t="s">
        <v>80</v>
      </c>
      <c r="V562" t="s">
        <v>52</v>
      </c>
      <c r="W562" t="s">
        <v>112</v>
      </c>
      <c r="X562" t="s">
        <v>54</v>
      </c>
      <c r="Y562" t="s">
        <v>118</v>
      </c>
      <c r="Z562" t="s">
        <v>56</v>
      </c>
      <c r="AA562" t="s">
        <v>744</v>
      </c>
      <c r="AB562">
        <v>23</v>
      </c>
      <c r="AC562" t="str">
        <f t="shared" si="25"/>
        <v>Evening</v>
      </c>
      <c r="AD562">
        <v>3</v>
      </c>
      <c r="AE562" t="s">
        <v>58</v>
      </c>
      <c r="AF562">
        <v>1</v>
      </c>
      <c r="AG562">
        <v>1</v>
      </c>
      <c r="AH562" t="s">
        <v>58</v>
      </c>
      <c r="AI562">
        <v>42900</v>
      </c>
      <c r="AJ562">
        <v>3900</v>
      </c>
      <c r="AK562">
        <v>3900</v>
      </c>
      <c r="AL562">
        <v>35100</v>
      </c>
      <c r="AM562" t="s">
        <v>94</v>
      </c>
      <c r="AN562" t="s">
        <v>250</v>
      </c>
      <c r="AO562">
        <v>2015</v>
      </c>
      <c r="AP562">
        <v>2010</v>
      </c>
      <c r="AQ562">
        <f t="shared" si="26"/>
        <v>5</v>
      </c>
      <c r="AR562" t="s">
        <v>87</v>
      </c>
    </row>
    <row r="563" spans="1:44" x14ac:dyDescent="0.25">
      <c r="A563">
        <v>272</v>
      </c>
      <c r="B563" t="str">
        <f t="shared" si="24"/>
        <v>10+ years</v>
      </c>
      <c r="C563">
        <v>41</v>
      </c>
      <c r="D563" t="str" cm="1">
        <f t="array" ref="D563">_xlfn.IFS(C563&lt;26, "19-25", C563&lt;33, "26-32", C563&lt;40, "33-39", C563&lt;47, "40-46",C563&lt;54, "47-53", TRUE, "54+")</f>
        <v>40-46</v>
      </c>
      <c r="E563">
        <v>337158</v>
      </c>
      <c r="F563" s="1">
        <v>33336</v>
      </c>
      <c r="G563" t="s">
        <v>44</v>
      </c>
      <c r="H563" t="s">
        <v>45</v>
      </c>
      <c r="I563">
        <v>2000</v>
      </c>
      <c r="J563">
        <v>945.73</v>
      </c>
      <c r="K563">
        <v>5000000</v>
      </c>
      <c r="L563">
        <v>435663</v>
      </c>
      <c r="M563" t="s">
        <v>46</v>
      </c>
      <c r="N563" t="s">
        <v>47</v>
      </c>
      <c r="O563" t="s">
        <v>140</v>
      </c>
      <c r="P563" t="s">
        <v>173</v>
      </c>
      <c r="Q563" t="s">
        <v>124</v>
      </c>
      <c r="R563">
        <v>38600</v>
      </c>
      <c r="S563">
        <v>-42800</v>
      </c>
      <c r="T563" s="1">
        <v>42039</v>
      </c>
      <c r="U563" t="s">
        <v>51</v>
      </c>
      <c r="V563" t="s">
        <v>91</v>
      </c>
      <c r="W563" t="s">
        <v>68</v>
      </c>
      <c r="X563" t="s">
        <v>104</v>
      </c>
      <c r="Y563" t="s">
        <v>82</v>
      </c>
      <c r="Z563" t="s">
        <v>92</v>
      </c>
      <c r="AA563" t="s">
        <v>745</v>
      </c>
      <c r="AB563">
        <v>23</v>
      </c>
      <c r="AC563" t="str">
        <f t="shared" si="25"/>
        <v>Evening</v>
      </c>
      <c r="AD563">
        <v>1</v>
      </c>
      <c r="AE563" t="s">
        <v>84</v>
      </c>
      <c r="AF563">
        <v>0</v>
      </c>
      <c r="AG563">
        <v>0</v>
      </c>
      <c r="AH563" t="s">
        <v>84</v>
      </c>
      <c r="AI563">
        <v>84100</v>
      </c>
      <c r="AJ563">
        <v>16820</v>
      </c>
      <c r="AK563">
        <v>8410</v>
      </c>
      <c r="AL563">
        <v>58870</v>
      </c>
      <c r="AM563" t="s">
        <v>134</v>
      </c>
      <c r="AN563" t="s">
        <v>177</v>
      </c>
      <c r="AO563">
        <v>2015</v>
      </c>
      <c r="AP563">
        <v>2009</v>
      </c>
      <c r="AQ563">
        <f t="shared" si="26"/>
        <v>6</v>
      </c>
      <c r="AR563" t="s">
        <v>61</v>
      </c>
    </row>
    <row r="564" spans="1:44" x14ac:dyDescent="0.25">
      <c r="A564">
        <v>27</v>
      </c>
      <c r="B564" t="str">
        <f t="shared" si="24"/>
        <v>2-5 years</v>
      </c>
      <c r="C564">
        <v>27</v>
      </c>
      <c r="D564" t="str" cm="1">
        <f t="array" ref="D564">_xlfn.IFS(C564&lt;26, "19-25", C564&lt;33, "26-32", C564&lt;40, "33-39", C564&lt;47, "40-46",C564&lt;54, "47-53", TRUE, "54+")</f>
        <v>26-32</v>
      </c>
      <c r="E564">
        <v>919875</v>
      </c>
      <c r="F564" s="1">
        <v>37436</v>
      </c>
      <c r="G564" t="s">
        <v>62</v>
      </c>
      <c r="H564" t="s">
        <v>74</v>
      </c>
      <c r="I564">
        <v>2000</v>
      </c>
      <c r="J564">
        <v>1118.76</v>
      </c>
      <c r="K564">
        <v>0</v>
      </c>
      <c r="L564">
        <v>470866</v>
      </c>
      <c r="M564" t="s">
        <v>75</v>
      </c>
      <c r="N564" t="s">
        <v>146</v>
      </c>
      <c r="O564" t="s">
        <v>190</v>
      </c>
      <c r="P564" t="s">
        <v>131</v>
      </c>
      <c r="Q564" t="s">
        <v>79</v>
      </c>
      <c r="R564">
        <v>0</v>
      </c>
      <c r="S564">
        <v>-55800</v>
      </c>
      <c r="T564" s="1">
        <v>42061</v>
      </c>
      <c r="U564" t="s">
        <v>51</v>
      </c>
      <c r="V564" t="s">
        <v>91</v>
      </c>
      <c r="W564" t="s">
        <v>112</v>
      </c>
      <c r="X564" t="s">
        <v>104</v>
      </c>
      <c r="Y564" t="s">
        <v>82</v>
      </c>
      <c r="Z564" t="s">
        <v>161</v>
      </c>
      <c r="AA564" t="s">
        <v>746</v>
      </c>
      <c r="AB564">
        <v>23</v>
      </c>
      <c r="AC564" t="str">
        <f t="shared" si="25"/>
        <v>Evening</v>
      </c>
      <c r="AD564">
        <v>1</v>
      </c>
      <c r="AE564" t="s">
        <v>67</v>
      </c>
      <c r="AF564">
        <v>1</v>
      </c>
      <c r="AG564">
        <v>3</v>
      </c>
      <c r="AH564" t="s">
        <v>67</v>
      </c>
      <c r="AI564">
        <v>61560</v>
      </c>
      <c r="AJ564">
        <v>6840</v>
      </c>
      <c r="AK564">
        <v>6840</v>
      </c>
      <c r="AL564">
        <v>47880</v>
      </c>
      <c r="AM564" t="s">
        <v>134</v>
      </c>
      <c r="AN564" t="s">
        <v>254</v>
      </c>
      <c r="AO564">
        <v>2015</v>
      </c>
      <c r="AP564">
        <v>2008</v>
      </c>
      <c r="AQ564">
        <f t="shared" si="26"/>
        <v>7</v>
      </c>
      <c r="AR564" t="s">
        <v>87</v>
      </c>
    </row>
    <row r="565" spans="1:44" x14ac:dyDescent="0.25">
      <c r="A565">
        <v>251</v>
      </c>
      <c r="B565" t="str">
        <f t="shared" si="24"/>
        <v>10+ years</v>
      </c>
      <c r="C565">
        <v>39</v>
      </c>
      <c r="D565" t="str" cm="1">
        <f t="array" ref="D565">_xlfn.IFS(C565&lt;26, "19-25", C565&lt;33, "26-32", C565&lt;40, "33-39", C565&lt;47, "40-46",C565&lt;54, "47-53", TRUE, "54+")</f>
        <v>33-39</v>
      </c>
      <c r="E565">
        <v>315631</v>
      </c>
      <c r="F565" s="1">
        <v>36259</v>
      </c>
      <c r="G565" t="s">
        <v>62</v>
      </c>
      <c r="H565" t="s">
        <v>96</v>
      </c>
      <c r="I565">
        <v>2000</v>
      </c>
      <c r="J565">
        <v>1231.98</v>
      </c>
      <c r="K565">
        <v>0</v>
      </c>
      <c r="L565">
        <v>612908</v>
      </c>
      <c r="M565" t="s">
        <v>75</v>
      </c>
      <c r="N565" t="s">
        <v>97</v>
      </c>
      <c r="O565" t="s">
        <v>116</v>
      </c>
      <c r="P565" t="s">
        <v>154</v>
      </c>
      <c r="Q565" t="s">
        <v>147</v>
      </c>
      <c r="R565">
        <v>0</v>
      </c>
      <c r="S565">
        <v>-31700</v>
      </c>
      <c r="T565" s="1">
        <v>42012</v>
      </c>
      <c r="U565" t="s">
        <v>51</v>
      </c>
      <c r="V565" t="s">
        <v>81</v>
      </c>
      <c r="W565" t="s">
        <v>68</v>
      </c>
      <c r="X565" t="s">
        <v>54</v>
      </c>
      <c r="Y565" t="s">
        <v>82</v>
      </c>
      <c r="Z565" t="s">
        <v>127</v>
      </c>
      <c r="AA565" t="s">
        <v>747</v>
      </c>
      <c r="AB565">
        <v>10</v>
      </c>
      <c r="AC565" t="str">
        <f t="shared" si="25"/>
        <v>Morning</v>
      </c>
      <c r="AD565">
        <v>1</v>
      </c>
      <c r="AE565" t="s">
        <v>58</v>
      </c>
      <c r="AF565">
        <v>0</v>
      </c>
      <c r="AG565">
        <v>0</v>
      </c>
      <c r="AH565" t="s">
        <v>67</v>
      </c>
      <c r="AI565">
        <v>44240</v>
      </c>
      <c r="AJ565">
        <v>5530</v>
      </c>
      <c r="AK565">
        <v>5530</v>
      </c>
      <c r="AL565">
        <v>33180</v>
      </c>
      <c r="AM565" t="s">
        <v>85</v>
      </c>
      <c r="AN565" t="s">
        <v>86</v>
      </c>
      <c r="AO565">
        <v>2015</v>
      </c>
      <c r="AP565">
        <v>1997</v>
      </c>
      <c r="AQ565">
        <f t="shared" si="26"/>
        <v>18</v>
      </c>
      <c r="AR565" t="s">
        <v>87</v>
      </c>
    </row>
    <row r="566" spans="1:44" x14ac:dyDescent="0.25">
      <c r="A566">
        <v>180</v>
      </c>
      <c r="B566" t="str">
        <f t="shared" si="24"/>
        <v>10+ years</v>
      </c>
      <c r="C566">
        <v>33</v>
      </c>
      <c r="D566" t="str" cm="1">
        <f t="array" ref="D566">_xlfn.IFS(C566&lt;26, "19-25", C566&lt;33, "26-32", C566&lt;40, "33-39", C566&lt;47, "40-46",C566&lt;54, "47-53", TRUE, "54+")</f>
        <v>33-39</v>
      </c>
      <c r="E566">
        <v>113464</v>
      </c>
      <c r="F566" s="1">
        <v>39922</v>
      </c>
      <c r="G566" t="s">
        <v>62</v>
      </c>
      <c r="H566" t="s">
        <v>96</v>
      </c>
      <c r="I566">
        <v>2000</v>
      </c>
      <c r="J566">
        <v>1005.47</v>
      </c>
      <c r="K566">
        <v>0</v>
      </c>
      <c r="L566">
        <v>441871</v>
      </c>
      <c r="M566" t="s">
        <v>75</v>
      </c>
      <c r="N566" t="s">
        <v>166</v>
      </c>
      <c r="O566" t="s">
        <v>140</v>
      </c>
      <c r="P566" t="s">
        <v>154</v>
      </c>
      <c r="Q566" t="s">
        <v>79</v>
      </c>
      <c r="R566">
        <v>58100</v>
      </c>
      <c r="S566">
        <v>-49000</v>
      </c>
      <c r="T566" s="1">
        <v>42050</v>
      </c>
      <c r="U566" t="s">
        <v>80</v>
      </c>
      <c r="V566" t="s">
        <v>81</v>
      </c>
      <c r="W566" t="s">
        <v>68</v>
      </c>
      <c r="X566" t="s">
        <v>141</v>
      </c>
      <c r="Y566" t="s">
        <v>69</v>
      </c>
      <c r="Z566" t="s">
        <v>56</v>
      </c>
      <c r="AA566" t="s">
        <v>748</v>
      </c>
      <c r="AB566">
        <v>12</v>
      </c>
      <c r="AC566" t="str">
        <f t="shared" si="25"/>
        <v>Afternoon</v>
      </c>
      <c r="AD566">
        <v>4</v>
      </c>
      <c r="AE566" t="s">
        <v>67</v>
      </c>
      <c r="AF566">
        <v>2</v>
      </c>
      <c r="AG566">
        <v>3</v>
      </c>
      <c r="AH566" t="s">
        <v>58</v>
      </c>
      <c r="AI566">
        <v>57700</v>
      </c>
      <c r="AJ566">
        <v>11540</v>
      </c>
      <c r="AK566">
        <v>5770</v>
      </c>
      <c r="AL566">
        <v>40390</v>
      </c>
      <c r="AM566" t="s">
        <v>202</v>
      </c>
      <c r="AN566" t="s">
        <v>380</v>
      </c>
      <c r="AO566">
        <v>2015</v>
      </c>
      <c r="AP566">
        <v>2002</v>
      </c>
      <c r="AQ566">
        <f t="shared" si="26"/>
        <v>13</v>
      </c>
      <c r="AR566" t="s">
        <v>87</v>
      </c>
    </row>
    <row r="567" spans="1:44" x14ac:dyDescent="0.25">
      <c r="A567">
        <v>392</v>
      </c>
      <c r="B567" t="str">
        <f t="shared" si="24"/>
        <v>10+ years</v>
      </c>
      <c r="C567">
        <v>50</v>
      </c>
      <c r="D567" t="str" cm="1">
        <f t="array" ref="D567">_xlfn.IFS(C567&lt;26, "19-25", C567&lt;33, "26-32", C567&lt;40, "33-39", C567&lt;47, "40-46",C567&lt;54, "47-53", TRUE, "54+")</f>
        <v>47-53</v>
      </c>
      <c r="E567">
        <v>556415</v>
      </c>
      <c r="F567" s="1">
        <v>33472</v>
      </c>
      <c r="G567" t="s">
        <v>44</v>
      </c>
      <c r="H567" t="s">
        <v>74</v>
      </c>
      <c r="I567">
        <v>2000</v>
      </c>
      <c r="J567">
        <v>1108.97</v>
      </c>
      <c r="K567">
        <v>0</v>
      </c>
      <c r="L567">
        <v>431496</v>
      </c>
      <c r="M567" t="s">
        <v>75</v>
      </c>
      <c r="N567" t="s">
        <v>76</v>
      </c>
      <c r="O567" t="s">
        <v>130</v>
      </c>
      <c r="P567" t="s">
        <v>269</v>
      </c>
      <c r="Q567" t="s">
        <v>147</v>
      </c>
      <c r="R567">
        <v>68400</v>
      </c>
      <c r="S567">
        <v>-66800</v>
      </c>
      <c r="T567" s="1">
        <v>42018</v>
      </c>
      <c r="U567" t="s">
        <v>51</v>
      </c>
      <c r="V567" t="s">
        <v>52</v>
      </c>
      <c r="W567" t="s">
        <v>68</v>
      </c>
      <c r="X567" t="s">
        <v>125</v>
      </c>
      <c r="Y567" t="s">
        <v>118</v>
      </c>
      <c r="Z567" t="s">
        <v>107</v>
      </c>
      <c r="AA567" t="s">
        <v>749</v>
      </c>
      <c r="AB567">
        <v>4</v>
      </c>
      <c r="AC567" t="str">
        <f t="shared" si="25"/>
        <v>Night</v>
      </c>
      <c r="AD567">
        <v>1</v>
      </c>
      <c r="AE567" t="s">
        <v>84</v>
      </c>
      <c r="AF567">
        <v>2</v>
      </c>
      <c r="AG567">
        <v>2</v>
      </c>
      <c r="AH567" t="s">
        <v>58</v>
      </c>
      <c r="AI567">
        <v>108030</v>
      </c>
      <c r="AJ567">
        <v>16620</v>
      </c>
      <c r="AK567">
        <v>16620</v>
      </c>
      <c r="AL567">
        <v>74790</v>
      </c>
      <c r="AM567" t="s">
        <v>59</v>
      </c>
      <c r="AN567" t="s">
        <v>60</v>
      </c>
      <c r="AO567">
        <v>2015</v>
      </c>
      <c r="AP567">
        <v>2002</v>
      </c>
      <c r="AQ567">
        <f t="shared" si="26"/>
        <v>13</v>
      </c>
      <c r="AR567" t="s">
        <v>87</v>
      </c>
    </row>
    <row r="568" spans="1:44" x14ac:dyDescent="0.25">
      <c r="A568">
        <v>143</v>
      </c>
      <c r="B568" t="str">
        <f t="shared" si="24"/>
        <v>10+ years</v>
      </c>
      <c r="C568">
        <v>30</v>
      </c>
      <c r="D568" t="str" cm="1">
        <f t="array" ref="D568">_xlfn.IFS(C568&lt;26, "19-25", C568&lt;33, "26-32", C568&lt;40, "33-39", C568&lt;47, "40-46",C568&lt;54, "47-53", TRUE, "54+")</f>
        <v>26-32</v>
      </c>
      <c r="E568">
        <v>250249</v>
      </c>
      <c r="F568" s="1">
        <v>33570</v>
      </c>
      <c r="G568" t="s">
        <v>62</v>
      </c>
      <c r="H568" t="s">
        <v>74</v>
      </c>
      <c r="I568">
        <v>500</v>
      </c>
      <c r="J568">
        <v>1392.39</v>
      </c>
      <c r="K568">
        <v>5000000</v>
      </c>
      <c r="L568">
        <v>436499</v>
      </c>
      <c r="M568" t="s">
        <v>75</v>
      </c>
      <c r="N568" t="s">
        <v>136</v>
      </c>
      <c r="O568" t="s">
        <v>130</v>
      </c>
      <c r="P568" t="s">
        <v>131</v>
      </c>
      <c r="Q568" t="s">
        <v>90</v>
      </c>
      <c r="R568">
        <v>0</v>
      </c>
      <c r="S568">
        <v>-65700</v>
      </c>
      <c r="T568" s="1">
        <v>42016</v>
      </c>
      <c r="U568" t="s">
        <v>51</v>
      </c>
      <c r="V568" t="s">
        <v>81</v>
      </c>
      <c r="W568" t="s">
        <v>68</v>
      </c>
      <c r="X568" t="s">
        <v>104</v>
      </c>
      <c r="Y568" t="s">
        <v>55</v>
      </c>
      <c r="Z568" t="s">
        <v>70</v>
      </c>
      <c r="AA568" t="s">
        <v>750</v>
      </c>
      <c r="AB568">
        <v>16</v>
      </c>
      <c r="AC568" t="str">
        <f t="shared" si="25"/>
        <v>Afternoon</v>
      </c>
      <c r="AD568">
        <v>1</v>
      </c>
      <c r="AE568" t="s">
        <v>84</v>
      </c>
      <c r="AF568">
        <v>2</v>
      </c>
      <c r="AG568">
        <v>0</v>
      </c>
      <c r="AH568" t="s">
        <v>58</v>
      </c>
      <c r="AI568">
        <v>54300</v>
      </c>
      <c r="AJ568">
        <v>10860</v>
      </c>
      <c r="AK568">
        <v>5430</v>
      </c>
      <c r="AL568">
        <v>38010</v>
      </c>
      <c r="AM568" t="s">
        <v>120</v>
      </c>
      <c r="AN568" t="s">
        <v>145</v>
      </c>
      <c r="AO568">
        <v>2015</v>
      </c>
      <c r="AP568">
        <v>2010</v>
      </c>
      <c r="AQ568">
        <f t="shared" si="26"/>
        <v>5</v>
      </c>
      <c r="AR568" t="s">
        <v>87</v>
      </c>
    </row>
    <row r="569" spans="1:44" x14ac:dyDescent="0.25">
      <c r="A569">
        <v>371</v>
      </c>
      <c r="B569" t="str">
        <f t="shared" si="24"/>
        <v>10+ years</v>
      </c>
      <c r="C569">
        <v>54</v>
      </c>
      <c r="D569" t="str" cm="1">
        <f t="array" ref="D569">_xlfn.IFS(C569&lt;26, "19-25", C569&lt;33, "26-32", C569&lt;40, "33-39", C569&lt;47, "40-46",C569&lt;54, "47-53", TRUE, "54+")</f>
        <v>54+</v>
      </c>
      <c r="E569">
        <v>403776</v>
      </c>
      <c r="F569" s="1">
        <v>41026</v>
      </c>
      <c r="G569" t="s">
        <v>62</v>
      </c>
      <c r="H569" t="s">
        <v>74</v>
      </c>
      <c r="I569">
        <v>2000</v>
      </c>
      <c r="J569">
        <v>1317.97</v>
      </c>
      <c r="K569">
        <v>0</v>
      </c>
      <c r="L569">
        <v>469853</v>
      </c>
      <c r="M569" t="s">
        <v>46</v>
      </c>
      <c r="N569" t="s">
        <v>136</v>
      </c>
      <c r="O569" t="s">
        <v>48</v>
      </c>
      <c r="P569" t="s">
        <v>151</v>
      </c>
      <c r="Q569" t="s">
        <v>124</v>
      </c>
      <c r="R569">
        <v>34700</v>
      </c>
      <c r="S569">
        <v>-81000</v>
      </c>
      <c r="T569" s="1">
        <v>42022</v>
      </c>
      <c r="U569" t="s">
        <v>80</v>
      </c>
      <c r="V569" t="s">
        <v>91</v>
      </c>
      <c r="W569" t="s">
        <v>53</v>
      </c>
      <c r="X569" t="s">
        <v>141</v>
      </c>
      <c r="Y569" t="s">
        <v>55</v>
      </c>
      <c r="Z569" t="s">
        <v>56</v>
      </c>
      <c r="AA569" t="s">
        <v>751</v>
      </c>
      <c r="AB569">
        <v>18</v>
      </c>
      <c r="AC569" t="str">
        <f t="shared" si="25"/>
        <v>Evening</v>
      </c>
      <c r="AD569">
        <v>3</v>
      </c>
      <c r="AE569" t="s">
        <v>67</v>
      </c>
      <c r="AF569">
        <v>1</v>
      </c>
      <c r="AG569">
        <v>2</v>
      </c>
      <c r="AH569" t="s">
        <v>67</v>
      </c>
      <c r="AI569">
        <v>32280</v>
      </c>
      <c r="AJ569">
        <v>5380</v>
      </c>
      <c r="AK569">
        <v>5380</v>
      </c>
      <c r="AL569">
        <v>21520</v>
      </c>
      <c r="AM569" t="s">
        <v>134</v>
      </c>
      <c r="AN569" t="s">
        <v>254</v>
      </c>
      <c r="AO569">
        <v>2015</v>
      </c>
      <c r="AP569">
        <v>2010</v>
      </c>
      <c r="AQ569">
        <f t="shared" si="26"/>
        <v>5</v>
      </c>
      <c r="AR569" t="s">
        <v>61</v>
      </c>
    </row>
    <row r="570" spans="1:44" x14ac:dyDescent="0.25">
      <c r="A570">
        <v>292</v>
      </c>
      <c r="B570" t="str">
        <f t="shared" si="24"/>
        <v>10+ years</v>
      </c>
      <c r="C570">
        <v>42</v>
      </c>
      <c r="D570" t="str" cm="1">
        <f t="array" ref="D570">_xlfn.IFS(C570&lt;26, "19-25", C570&lt;33, "26-32", C570&lt;40, "33-39", C570&lt;47, "40-46",C570&lt;54, "47-53", TRUE, "54+")</f>
        <v>40-46</v>
      </c>
      <c r="E570">
        <v>396002</v>
      </c>
      <c r="F570" s="1">
        <v>39145</v>
      </c>
      <c r="G570" t="s">
        <v>62</v>
      </c>
      <c r="H570" t="s">
        <v>45</v>
      </c>
      <c r="I570">
        <v>1000</v>
      </c>
      <c r="J570">
        <v>1588.22</v>
      </c>
      <c r="K570">
        <v>0</v>
      </c>
      <c r="L570">
        <v>605369</v>
      </c>
      <c r="M570" t="s">
        <v>46</v>
      </c>
      <c r="N570" t="s">
        <v>166</v>
      </c>
      <c r="O570" t="s">
        <v>63</v>
      </c>
      <c r="P570" t="s">
        <v>123</v>
      </c>
      <c r="Q570" t="s">
        <v>65</v>
      </c>
      <c r="R570">
        <v>0</v>
      </c>
      <c r="S570">
        <v>-53800</v>
      </c>
      <c r="T570" s="1">
        <v>42019</v>
      </c>
      <c r="U570" t="s">
        <v>80</v>
      </c>
      <c r="V570" t="s">
        <v>81</v>
      </c>
      <c r="W570" t="s">
        <v>112</v>
      </c>
      <c r="X570" t="s">
        <v>125</v>
      </c>
      <c r="Y570" t="s">
        <v>118</v>
      </c>
      <c r="Z570" t="s">
        <v>70</v>
      </c>
      <c r="AA570" t="s">
        <v>752</v>
      </c>
      <c r="AB570">
        <v>15</v>
      </c>
      <c r="AC570" t="str">
        <f t="shared" si="25"/>
        <v>Afternoon</v>
      </c>
      <c r="AD570">
        <v>3</v>
      </c>
      <c r="AE570" t="s">
        <v>58</v>
      </c>
      <c r="AF570">
        <v>1</v>
      </c>
      <c r="AG570">
        <v>1</v>
      </c>
      <c r="AH570" t="s">
        <v>84</v>
      </c>
      <c r="AI570">
        <v>84600</v>
      </c>
      <c r="AJ570">
        <v>16920</v>
      </c>
      <c r="AK570">
        <v>8460</v>
      </c>
      <c r="AL570">
        <v>59220</v>
      </c>
      <c r="AM570" t="s">
        <v>94</v>
      </c>
      <c r="AN570" t="s">
        <v>250</v>
      </c>
      <c r="AO570">
        <v>2015</v>
      </c>
      <c r="AP570">
        <v>2007</v>
      </c>
      <c r="AQ570">
        <f t="shared" si="26"/>
        <v>8</v>
      </c>
      <c r="AR570" t="s">
        <v>87</v>
      </c>
    </row>
    <row r="571" spans="1:44" x14ac:dyDescent="0.25">
      <c r="A571">
        <v>165</v>
      </c>
      <c r="B571" t="str">
        <f t="shared" si="24"/>
        <v>10+ years</v>
      </c>
      <c r="C571">
        <v>35</v>
      </c>
      <c r="D571" t="str" cm="1">
        <f t="array" ref="D571">_xlfn.IFS(C571&lt;26, "19-25", C571&lt;33, "26-32", C571&lt;40, "33-39", C571&lt;47, "40-46",C571&lt;54, "47-53", TRUE, "54+")</f>
        <v>33-39</v>
      </c>
      <c r="E571">
        <v>976908</v>
      </c>
      <c r="F571" s="1">
        <v>41274</v>
      </c>
      <c r="G571" t="s">
        <v>88</v>
      </c>
      <c r="H571" t="s">
        <v>45</v>
      </c>
      <c r="I571">
        <v>500</v>
      </c>
      <c r="J571">
        <v>900.02</v>
      </c>
      <c r="K571">
        <v>6000000</v>
      </c>
      <c r="L571">
        <v>448466</v>
      </c>
      <c r="M571" t="s">
        <v>46</v>
      </c>
      <c r="N571" t="s">
        <v>146</v>
      </c>
      <c r="O571" t="s">
        <v>48</v>
      </c>
      <c r="P571" t="s">
        <v>123</v>
      </c>
      <c r="Q571" t="s">
        <v>79</v>
      </c>
      <c r="R571">
        <v>0</v>
      </c>
      <c r="S571">
        <v>-49900</v>
      </c>
      <c r="T571" s="1">
        <v>42059</v>
      </c>
      <c r="U571" t="s">
        <v>51</v>
      </c>
      <c r="V571" t="s">
        <v>91</v>
      </c>
      <c r="W571" t="s">
        <v>112</v>
      </c>
      <c r="X571" t="s">
        <v>125</v>
      </c>
      <c r="Y571" t="s">
        <v>55</v>
      </c>
      <c r="Z571" t="s">
        <v>107</v>
      </c>
      <c r="AA571" t="s">
        <v>753</v>
      </c>
      <c r="AB571">
        <v>8</v>
      </c>
      <c r="AC571" t="str">
        <f t="shared" si="25"/>
        <v>Morning</v>
      </c>
      <c r="AD571">
        <v>1</v>
      </c>
      <c r="AE571" t="s">
        <v>84</v>
      </c>
      <c r="AF571">
        <v>1</v>
      </c>
      <c r="AG571">
        <v>3</v>
      </c>
      <c r="AH571" t="s">
        <v>58</v>
      </c>
      <c r="AI571">
        <v>69700</v>
      </c>
      <c r="AJ571">
        <v>6970</v>
      </c>
      <c r="AK571">
        <v>6970</v>
      </c>
      <c r="AL571">
        <v>55760</v>
      </c>
      <c r="AM571" t="s">
        <v>192</v>
      </c>
      <c r="AN571" t="s">
        <v>193</v>
      </c>
      <c r="AO571">
        <v>2015</v>
      </c>
      <c r="AP571">
        <v>2008</v>
      </c>
      <c r="AQ571">
        <f t="shared" si="26"/>
        <v>7</v>
      </c>
      <c r="AR571" t="s">
        <v>87</v>
      </c>
    </row>
    <row r="572" spans="1:44" x14ac:dyDescent="0.25">
      <c r="A572">
        <v>158</v>
      </c>
      <c r="B572" t="str">
        <f t="shared" si="24"/>
        <v>10+ years</v>
      </c>
      <c r="C572">
        <v>33</v>
      </c>
      <c r="D572" t="str" cm="1">
        <f t="array" ref="D572">_xlfn.IFS(C572&lt;26, "19-25", C572&lt;33, "26-32", C572&lt;40, "33-39", C572&lt;47, "40-46",C572&lt;54, "47-53", TRUE, "54+")</f>
        <v>33-39</v>
      </c>
      <c r="E572">
        <v>509489</v>
      </c>
      <c r="F572" s="1">
        <v>41629</v>
      </c>
      <c r="G572" t="s">
        <v>44</v>
      </c>
      <c r="H572" t="s">
        <v>74</v>
      </c>
      <c r="I572">
        <v>1000</v>
      </c>
      <c r="J572">
        <v>1744.64</v>
      </c>
      <c r="K572">
        <v>3000000</v>
      </c>
      <c r="L572">
        <v>432786</v>
      </c>
      <c r="M572" t="s">
        <v>46</v>
      </c>
      <c r="N572" t="s">
        <v>166</v>
      </c>
      <c r="O572" t="s">
        <v>106</v>
      </c>
      <c r="P572" t="s">
        <v>151</v>
      </c>
      <c r="Q572" t="s">
        <v>90</v>
      </c>
      <c r="R572">
        <v>0</v>
      </c>
      <c r="S572">
        <v>0</v>
      </c>
      <c r="T572" s="1">
        <v>42042</v>
      </c>
      <c r="U572" t="s">
        <v>80</v>
      </c>
      <c r="V572" t="s">
        <v>81</v>
      </c>
      <c r="W572" t="s">
        <v>112</v>
      </c>
      <c r="X572" t="s">
        <v>141</v>
      </c>
      <c r="Y572" t="s">
        <v>118</v>
      </c>
      <c r="Z572" t="s">
        <v>107</v>
      </c>
      <c r="AA572" t="s">
        <v>754</v>
      </c>
      <c r="AB572">
        <v>4</v>
      </c>
      <c r="AC572" t="str">
        <f t="shared" si="25"/>
        <v>Night</v>
      </c>
      <c r="AD572">
        <v>3</v>
      </c>
      <c r="AE572" t="s">
        <v>84</v>
      </c>
      <c r="AF572">
        <v>0</v>
      </c>
      <c r="AG572">
        <v>1</v>
      </c>
      <c r="AH572" t="s">
        <v>84</v>
      </c>
      <c r="AI572">
        <v>36400</v>
      </c>
      <c r="AJ572">
        <v>3640</v>
      </c>
      <c r="AK572">
        <v>7280</v>
      </c>
      <c r="AL572">
        <v>25480</v>
      </c>
      <c r="AM572" t="s">
        <v>219</v>
      </c>
      <c r="AN572" t="s">
        <v>263</v>
      </c>
      <c r="AO572">
        <v>2015</v>
      </c>
      <c r="AP572">
        <v>1998</v>
      </c>
      <c r="AQ572">
        <f t="shared" si="26"/>
        <v>17</v>
      </c>
      <c r="AR572" t="s">
        <v>87</v>
      </c>
    </row>
    <row r="573" spans="1:44" x14ac:dyDescent="0.25">
      <c r="A573">
        <v>241</v>
      </c>
      <c r="B573" t="str">
        <f t="shared" si="24"/>
        <v>10+ years</v>
      </c>
      <c r="C573">
        <v>39</v>
      </c>
      <c r="D573" t="str" cm="1">
        <f t="array" ref="D573">_xlfn.IFS(C573&lt;26, "19-25", C573&lt;33, "26-32", C573&lt;40, "33-39", C573&lt;47, "40-46",C573&lt;54, "47-53", TRUE, "54+")</f>
        <v>33-39</v>
      </c>
      <c r="E573">
        <v>485295</v>
      </c>
      <c r="F573" s="1">
        <v>38470</v>
      </c>
      <c r="G573" t="s">
        <v>44</v>
      </c>
      <c r="H573" t="s">
        <v>45</v>
      </c>
      <c r="I573">
        <v>1000</v>
      </c>
      <c r="J573">
        <v>1260.56</v>
      </c>
      <c r="K573">
        <v>0</v>
      </c>
      <c r="L573">
        <v>473591</v>
      </c>
      <c r="M573" t="s">
        <v>75</v>
      </c>
      <c r="N573" t="s">
        <v>166</v>
      </c>
      <c r="O573" t="s">
        <v>190</v>
      </c>
      <c r="P573" t="s">
        <v>170</v>
      </c>
      <c r="Q573" t="s">
        <v>79</v>
      </c>
      <c r="R573">
        <v>0</v>
      </c>
      <c r="S573">
        <v>-54900</v>
      </c>
      <c r="T573" s="1">
        <v>42057</v>
      </c>
      <c r="U573" t="s">
        <v>80</v>
      </c>
      <c r="V573" t="s">
        <v>52</v>
      </c>
      <c r="W573" t="s">
        <v>68</v>
      </c>
      <c r="X573" t="s">
        <v>54</v>
      </c>
      <c r="Y573" t="s">
        <v>55</v>
      </c>
      <c r="Z573" t="s">
        <v>161</v>
      </c>
      <c r="AA573" t="s">
        <v>755</v>
      </c>
      <c r="AB573">
        <v>20</v>
      </c>
      <c r="AC573" t="str">
        <f t="shared" si="25"/>
        <v>Evening</v>
      </c>
      <c r="AD573">
        <v>3</v>
      </c>
      <c r="AE573" t="s">
        <v>84</v>
      </c>
      <c r="AF573">
        <v>0</v>
      </c>
      <c r="AG573">
        <v>2</v>
      </c>
      <c r="AH573" t="s">
        <v>58</v>
      </c>
      <c r="AI573">
        <v>37520</v>
      </c>
      <c r="AJ573">
        <v>4690</v>
      </c>
      <c r="AK573">
        <v>4690</v>
      </c>
      <c r="AL573">
        <v>28140</v>
      </c>
      <c r="AM573" t="s">
        <v>202</v>
      </c>
      <c r="AN573" t="s">
        <v>203</v>
      </c>
      <c r="AO573">
        <v>2015</v>
      </c>
      <c r="AP573">
        <v>2010</v>
      </c>
      <c r="AQ573">
        <f t="shared" si="26"/>
        <v>5</v>
      </c>
      <c r="AR573" t="s">
        <v>87</v>
      </c>
    </row>
    <row r="574" spans="1:44" x14ac:dyDescent="0.25">
      <c r="A574">
        <v>103</v>
      </c>
      <c r="B574" t="str">
        <f t="shared" si="24"/>
        <v>5-10 years</v>
      </c>
      <c r="C574">
        <v>33</v>
      </c>
      <c r="D574" t="str" cm="1">
        <f t="array" ref="D574">_xlfn.IFS(C574&lt;26, "19-25", C574&lt;33, "26-32", C574&lt;40, "33-39", C574&lt;47, "40-46",C574&lt;54, "47-53", TRUE, "54+")</f>
        <v>33-39</v>
      </c>
      <c r="E574">
        <v>361829</v>
      </c>
      <c r="F574" s="1">
        <v>34594</v>
      </c>
      <c r="G574" t="s">
        <v>44</v>
      </c>
      <c r="H574" t="s">
        <v>96</v>
      </c>
      <c r="I574">
        <v>2000</v>
      </c>
      <c r="J574">
        <v>1021.14</v>
      </c>
      <c r="K574">
        <v>0</v>
      </c>
      <c r="L574">
        <v>618418</v>
      </c>
      <c r="M574" t="s">
        <v>75</v>
      </c>
      <c r="N574" t="s">
        <v>129</v>
      </c>
      <c r="O574" t="s">
        <v>116</v>
      </c>
      <c r="P574" t="s">
        <v>170</v>
      </c>
      <c r="Q574" t="s">
        <v>124</v>
      </c>
      <c r="R574">
        <v>69500</v>
      </c>
      <c r="S574">
        <v>-47700</v>
      </c>
      <c r="T574" s="1">
        <v>42023</v>
      </c>
      <c r="U574" t="s">
        <v>80</v>
      </c>
      <c r="V574" t="s">
        <v>52</v>
      </c>
      <c r="W574" t="s">
        <v>53</v>
      </c>
      <c r="X574" t="s">
        <v>141</v>
      </c>
      <c r="Y574" t="s">
        <v>82</v>
      </c>
      <c r="Z574" t="s">
        <v>132</v>
      </c>
      <c r="AA574" t="s">
        <v>756</v>
      </c>
      <c r="AB574">
        <v>1</v>
      </c>
      <c r="AC574" t="str">
        <f t="shared" si="25"/>
        <v>Night</v>
      </c>
      <c r="AD574">
        <v>3</v>
      </c>
      <c r="AE574" t="s">
        <v>84</v>
      </c>
      <c r="AF574">
        <v>2</v>
      </c>
      <c r="AG574">
        <v>3</v>
      </c>
      <c r="AH574" t="s">
        <v>67</v>
      </c>
      <c r="AI574">
        <v>79090</v>
      </c>
      <c r="AJ574">
        <v>14380</v>
      </c>
      <c r="AK574">
        <v>14380</v>
      </c>
      <c r="AL574">
        <v>50330</v>
      </c>
      <c r="AM574" t="s">
        <v>85</v>
      </c>
      <c r="AN574" t="s">
        <v>86</v>
      </c>
      <c r="AO574">
        <v>2015</v>
      </c>
      <c r="AP574">
        <v>2014</v>
      </c>
      <c r="AQ574">
        <f t="shared" si="26"/>
        <v>1</v>
      </c>
      <c r="AR574" t="s">
        <v>87</v>
      </c>
    </row>
    <row r="575" spans="1:44" x14ac:dyDescent="0.25">
      <c r="A575">
        <v>402</v>
      </c>
      <c r="B575" t="str">
        <f t="shared" si="24"/>
        <v>10+ years</v>
      </c>
      <c r="C575">
        <v>54</v>
      </c>
      <c r="D575" t="str" cm="1">
        <f t="array" ref="D575">_xlfn.IFS(C575&lt;26, "19-25", C575&lt;33, "26-32", C575&lt;40, "33-39", C575&lt;47, "40-46",C575&lt;54, "47-53", TRUE, "54+")</f>
        <v>54+</v>
      </c>
      <c r="E575">
        <v>603632</v>
      </c>
      <c r="F575" s="1">
        <v>37849</v>
      </c>
      <c r="G575" t="s">
        <v>44</v>
      </c>
      <c r="H575" t="s">
        <v>45</v>
      </c>
      <c r="I575">
        <v>2000</v>
      </c>
      <c r="J575">
        <v>1285.0899999999999</v>
      </c>
      <c r="K575">
        <v>0</v>
      </c>
      <c r="L575">
        <v>444558</v>
      </c>
      <c r="M575" t="s">
        <v>46</v>
      </c>
      <c r="N575" t="s">
        <v>166</v>
      </c>
      <c r="O575" t="s">
        <v>194</v>
      </c>
      <c r="P575" t="s">
        <v>78</v>
      </c>
      <c r="Q575" t="s">
        <v>147</v>
      </c>
      <c r="R575">
        <v>48000</v>
      </c>
      <c r="S575">
        <v>-79600</v>
      </c>
      <c r="T575" s="1">
        <v>42063</v>
      </c>
      <c r="U575" t="s">
        <v>51</v>
      </c>
      <c r="V575" t="s">
        <v>81</v>
      </c>
      <c r="W575" t="s">
        <v>53</v>
      </c>
      <c r="X575" t="s">
        <v>125</v>
      </c>
      <c r="Y575" t="s">
        <v>82</v>
      </c>
      <c r="Z575" t="s">
        <v>107</v>
      </c>
      <c r="AA575" t="s">
        <v>757</v>
      </c>
      <c r="AB575">
        <v>19</v>
      </c>
      <c r="AC575" t="str">
        <f t="shared" si="25"/>
        <v>Evening</v>
      </c>
      <c r="AD575">
        <v>1</v>
      </c>
      <c r="AE575" t="s">
        <v>84</v>
      </c>
      <c r="AF575">
        <v>0</v>
      </c>
      <c r="AG575">
        <v>2</v>
      </c>
      <c r="AH575" t="s">
        <v>58</v>
      </c>
      <c r="AI575">
        <v>67770</v>
      </c>
      <c r="AJ575">
        <v>7530</v>
      </c>
      <c r="AK575">
        <v>15060</v>
      </c>
      <c r="AL575">
        <v>45180</v>
      </c>
      <c r="AM575" t="s">
        <v>72</v>
      </c>
      <c r="AN575" t="s">
        <v>276</v>
      </c>
      <c r="AO575">
        <v>2015</v>
      </c>
      <c r="AP575">
        <v>2013</v>
      </c>
      <c r="AQ575">
        <f t="shared" si="26"/>
        <v>2</v>
      </c>
      <c r="AR575" t="s">
        <v>61</v>
      </c>
    </row>
    <row r="576" spans="1:44" x14ac:dyDescent="0.25">
      <c r="A576">
        <v>102</v>
      </c>
      <c r="B576" t="str">
        <f t="shared" si="24"/>
        <v>5-10 years</v>
      </c>
      <c r="C576">
        <v>32</v>
      </c>
      <c r="D576" t="str" cm="1">
        <f t="array" ref="D576">_xlfn.IFS(C576&lt;26, "19-25", C576&lt;33, "26-32", C576&lt;40, "33-39", C576&lt;47, "40-46",C576&lt;54, "47-53", TRUE, "54+")</f>
        <v>26-32</v>
      </c>
      <c r="E576">
        <v>783494</v>
      </c>
      <c r="F576" s="1">
        <v>41884</v>
      </c>
      <c r="G576" t="s">
        <v>44</v>
      </c>
      <c r="H576" t="s">
        <v>74</v>
      </c>
      <c r="I576">
        <v>500</v>
      </c>
      <c r="J576">
        <v>1537.07</v>
      </c>
      <c r="K576">
        <v>3000000</v>
      </c>
      <c r="L576">
        <v>457733</v>
      </c>
      <c r="M576" t="s">
        <v>46</v>
      </c>
      <c r="N576" t="s">
        <v>166</v>
      </c>
      <c r="O576" t="s">
        <v>102</v>
      </c>
      <c r="P576" t="s">
        <v>173</v>
      </c>
      <c r="Q576" t="s">
        <v>124</v>
      </c>
      <c r="R576">
        <v>0</v>
      </c>
      <c r="S576">
        <v>0</v>
      </c>
      <c r="T576" s="1">
        <v>42039</v>
      </c>
      <c r="U576" t="s">
        <v>51</v>
      </c>
      <c r="V576" t="s">
        <v>52</v>
      </c>
      <c r="W576" t="s">
        <v>112</v>
      </c>
      <c r="X576" t="s">
        <v>125</v>
      </c>
      <c r="Y576" t="s">
        <v>44</v>
      </c>
      <c r="Z576" t="s">
        <v>132</v>
      </c>
      <c r="AA576" t="s">
        <v>758</v>
      </c>
      <c r="AB576">
        <v>11</v>
      </c>
      <c r="AC576" t="str">
        <f t="shared" si="25"/>
        <v>Morning</v>
      </c>
      <c r="AD576">
        <v>1</v>
      </c>
      <c r="AE576" t="s">
        <v>84</v>
      </c>
      <c r="AF576">
        <v>1</v>
      </c>
      <c r="AG576">
        <v>0</v>
      </c>
      <c r="AH576" t="s">
        <v>84</v>
      </c>
      <c r="AI576">
        <v>47400</v>
      </c>
      <c r="AJ576">
        <v>9480</v>
      </c>
      <c r="AK576">
        <v>4740</v>
      </c>
      <c r="AL576">
        <v>33180</v>
      </c>
      <c r="AM576" t="s">
        <v>94</v>
      </c>
      <c r="AN576" t="s">
        <v>228</v>
      </c>
      <c r="AO576">
        <v>2015</v>
      </c>
      <c r="AP576">
        <v>2004</v>
      </c>
      <c r="AQ576">
        <f t="shared" si="26"/>
        <v>11</v>
      </c>
      <c r="AR576" t="s">
        <v>61</v>
      </c>
    </row>
    <row r="577" spans="1:44" x14ac:dyDescent="0.25">
      <c r="A577">
        <v>182</v>
      </c>
      <c r="B577" t="str">
        <f t="shared" si="24"/>
        <v>10+ years</v>
      </c>
      <c r="C577">
        <v>40</v>
      </c>
      <c r="D577" t="str" cm="1">
        <f t="array" ref="D577">_xlfn.IFS(C577&lt;26, "19-25", C577&lt;33, "26-32", C577&lt;40, "33-39", C577&lt;47, "40-46",C577&lt;54, "47-53", TRUE, "54+")</f>
        <v>40-46</v>
      </c>
      <c r="E577">
        <v>439049</v>
      </c>
      <c r="F577" s="1">
        <v>40889</v>
      </c>
      <c r="G577" t="s">
        <v>62</v>
      </c>
      <c r="H577" t="s">
        <v>74</v>
      </c>
      <c r="I577">
        <v>1000</v>
      </c>
      <c r="J577">
        <v>1022.42</v>
      </c>
      <c r="K577">
        <v>0</v>
      </c>
      <c r="L577">
        <v>466161</v>
      </c>
      <c r="M577" t="s">
        <v>46</v>
      </c>
      <c r="N577" t="s">
        <v>76</v>
      </c>
      <c r="O577" t="s">
        <v>116</v>
      </c>
      <c r="P577" t="s">
        <v>137</v>
      </c>
      <c r="Q577" t="s">
        <v>50</v>
      </c>
      <c r="R577">
        <v>50000</v>
      </c>
      <c r="S577">
        <v>-56900</v>
      </c>
      <c r="T577" s="1">
        <v>42052</v>
      </c>
      <c r="U577" t="s">
        <v>51</v>
      </c>
      <c r="V577" t="s">
        <v>91</v>
      </c>
      <c r="W577" t="s">
        <v>112</v>
      </c>
      <c r="X577" t="s">
        <v>125</v>
      </c>
      <c r="Y577" t="s">
        <v>55</v>
      </c>
      <c r="Z577" t="s">
        <v>132</v>
      </c>
      <c r="AA577" t="s">
        <v>759</v>
      </c>
      <c r="AB577">
        <v>13</v>
      </c>
      <c r="AC577" t="str">
        <f t="shared" si="25"/>
        <v>Afternoon</v>
      </c>
      <c r="AD577">
        <v>1</v>
      </c>
      <c r="AE577" t="s">
        <v>58</v>
      </c>
      <c r="AF577">
        <v>0</v>
      </c>
      <c r="AG577">
        <v>2</v>
      </c>
      <c r="AH577" t="s">
        <v>67</v>
      </c>
      <c r="AI577">
        <v>71100</v>
      </c>
      <c r="AJ577">
        <v>7110</v>
      </c>
      <c r="AK577">
        <v>14220</v>
      </c>
      <c r="AL577">
        <v>49770</v>
      </c>
      <c r="AM577" t="s">
        <v>114</v>
      </c>
      <c r="AN577" t="s">
        <v>139</v>
      </c>
      <c r="AO577">
        <v>2015</v>
      </c>
      <c r="AP577">
        <v>2008</v>
      </c>
      <c r="AQ577">
        <f t="shared" si="26"/>
        <v>7</v>
      </c>
      <c r="AR577" t="s">
        <v>87</v>
      </c>
    </row>
    <row r="578" spans="1:44" x14ac:dyDescent="0.25">
      <c r="A578">
        <v>282</v>
      </c>
      <c r="B578" t="str">
        <f t="shared" si="24"/>
        <v>10+ years</v>
      </c>
      <c r="C578">
        <v>46</v>
      </c>
      <c r="D578" t="str" cm="1">
        <f t="array" ref="D578">_xlfn.IFS(C578&lt;26, "19-25", C578&lt;33, "26-32", C578&lt;40, "33-39", C578&lt;47, "40-46",C578&lt;54, "47-53", TRUE, "54+")</f>
        <v>40-46</v>
      </c>
      <c r="E578">
        <v>502634</v>
      </c>
      <c r="F578" s="1">
        <v>33467</v>
      </c>
      <c r="G578" t="s">
        <v>44</v>
      </c>
      <c r="H578" t="s">
        <v>74</v>
      </c>
      <c r="I578">
        <v>2000</v>
      </c>
      <c r="J578">
        <v>1558.86</v>
      </c>
      <c r="K578">
        <v>0</v>
      </c>
      <c r="L578">
        <v>450800</v>
      </c>
      <c r="M578" t="s">
        <v>46</v>
      </c>
      <c r="N578" t="s">
        <v>47</v>
      </c>
      <c r="O578" t="s">
        <v>116</v>
      </c>
      <c r="P578" t="s">
        <v>131</v>
      </c>
      <c r="Q578" t="s">
        <v>124</v>
      </c>
      <c r="R578">
        <v>51100</v>
      </c>
      <c r="S578">
        <v>-75100</v>
      </c>
      <c r="T578" s="1">
        <v>42052</v>
      </c>
      <c r="U578" t="s">
        <v>51</v>
      </c>
      <c r="V578" t="s">
        <v>91</v>
      </c>
      <c r="W578" t="s">
        <v>68</v>
      </c>
      <c r="X578" t="s">
        <v>54</v>
      </c>
      <c r="Y578" t="s">
        <v>82</v>
      </c>
      <c r="Z578" t="s">
        <v>107</v>
      </c>
      <c r="AA578" t="s">
        <v>760</v>
      </c>
      <c r="AB578">
        <v>2</v>
      </c>
      <c r="AC578" t="str">
        <f t="shared" si="25"/>
        <v>Night</v>
      </c>
      <c r="AD578">
        <v>1</v>
      </c>
      <c r="AE578" t="s">
        <v>67</v>
      </c>
      <c r="AF578">
        <v>2</v>
      </c>
      <c r="AG578">
        <v>2</v>
      </c>
      <c r="AH578" t="s">
        <v>84</v>
      </c>
      <c r="AI578">
        <v>69400</v>
      </c>
      <c r="AJ578">
        <v>13880</v>
      </c>
      <c r="AK578">
        <v>6940</v>
      </c>
      <c r="AL578">
        <v>48580</v>
      </c>
      <c r="AM578" t="s">
        <v>192</v>
      </c>
      <c r="AN578" t="s">
        <v>206</v>
      </c>
      <c r="AO578">
        <v>2015</v>
      </c>
      <c r="AP578">
        <v>2012</v>
      </c>
      <c r="AQ578">
        <f t="shared" si="26"/>
        <v>3</v>
      </c>
      <c r="AR578" t="s">
        <v>87</v>
      </c>
    </row>
    <row r="579" spans="1:44" x14ac:dyDescent="0.25">
      <c r="A579">
        <v>222</v>
      </c>
      <c r="B579" t="str">
        <f t="shared" ref="B579:B642" si="27">IF(A579&lt;=24, "0-2 years", IF(A579&lt;=60, "2-5 years", IF(A579&lt;=120, "5-10 years", "10+ years")))</f>
        <v>10+ years</v>
      </c>
      <c r="C579">
        <v>39</v>
      </c>
      <c r="D579" t="str" cm="1">
        <f t="array" ref="D579">_xlfn.IFS(C579&lt;26, "19-25", C579&lt;33, "26-32", C579&lt;40, "33-39", C579&lt;47, "40-46",C579&lt;54, "47-53", TRUE, "54+")</f>
        <v>33-39</v>
      </c>
      <c r="E579">
        <v>378588</v>
      </c>
      <c r="F579" s="1">
        <v>38046</v>
      </c>
      <c r="G579" t="s">
        <v>44</v>
      </c>
      <c r="H579" t="s">
        <v>96</v>
      </c>
      <c r="I579">
        <v>500</v>
      </c>
      <c r="J579">
        <v>1757.87</v>
      </c>
      <c r="K579">
        <v>0</v>
      </c>
      <c r="L579">
        <v>458993</v>
      </c>
      <c r="M579" t="s">
        <v>46</v>
      </c>
      <c r="N579" t="s">
        <v>136</v>
      </c>
      <c r="O579" t="s">
        <v>150</v>
      </c>
      <c r="P579" t="s">
        <v>78</v>
      </c>
      <c r="Q579" t="s">
        <v>147</v>
      </c>
      <c r="R579">
        <v>71400</v>
      </c>
      <c r="S579">
        <v>0</v>
      </c>
      <c r="T579" s="1">
        <v>42021</v>
      </c>
      <c r="U579" t="s">
        <v>80</v>
      </c>
      <c r="V579" t="s">
        <v>81</v>
      </c>
      <c r="W579" t="s">
        <v>53</v>
      </c>
      <c r="X579" t="s">
        <v>125</v>
      </c>
      <c r="Y579" t="s">
        <v>55</v>
      </c>
      <c r="Z579" t="s">
        <v>161</v>
      </c>
      <c r="AA579" t="s">
        <v>761</v>
      </c>
      <c r="AB579">
        <v>9</v>
      </c>
      <c r="AC579" t="str">
        <f t="shared" ref="AC579:AC642" si="28">IF(AB579&lt;6, "Night", IF(AB579&lt;12, "Morning", IF(AB579&lt;18, "Afternoon", "Evening")))</f>
        <v>Morning</v>
      </c>
      <c r="AD579">
        <v>3</v>
      </c>
      <c r="AE579" t="s">
        <v>58</v>
      </c>
      <c r="AF579">
        <v>2</v>
      </c>
      <c r="AG579">
        <v>1</v>
      </c>
      <c r="AH579" t="s">
        <v>67</v>
      </c>
      <c r="AI579">
        <v>55000</v>
      </c>
      <c r="AJ579">
        <v>5000</v>
      </c>
      <c r="AK579">
        <v>10000</v>
      </c>
      <c r="AL579">
        <v>40000</v>
      </c>
      <c r="AM579" t="s">
        <v>59</v>
      </c>
      <c r="AN579">
        <v>93</v>
      </c>
      <c r="AO579">
        <v>2015</v>
      </c>
      <c r="AP579">
        <v>1996</v>
      </c>
      <c r="AQ579">
        <f t="shared" ref="AQ579:AQ642" si="29">AO579-AP579</f>
        <v>19</v>
      </c>
      <c r="AR579" t="s">
        <v>61</v>
      </c>
    </row>
    <row r="580" spans="1:44" x14ac:dyDescent="0.25">
      <c r="A580">
        <v>415</v>
      </c>
      <c r="B580" t="str">
        <f t="shared" si="27"/>
        <v>10+ years</v>
      </c>
      <c r="C580">
        <v>52</v>
      </c>
      <c r="D580" t="str" cm="1">
        <f t="array" ref="D580">_xlfn.IFS(C580&lt;26, "19-25", C580&lt;33, "26-32", C580&lt;40, "33-39", C580&lt;47, "40-46",C580&lt;54, "47-53", TRUE, "54+")</f>
        <v>47-53</v>
      </c>
      <c r="E580">
        <v>794731</v>
      </c>
      <c r="F580" s="1">
        <v>42057</v>
      </c>
      <c r="G580" t="s">
        <v>62</v>
      </c>
      <c r="H580" t="s">
        <v>45</v>
      </c>
      <c r="I580">
        <v>1000</v>
      </c>
      <c r="J580">
        <v>973.5</v>
      </c>
      <c r="K580">
        <v>0</v>
      </c>
      <c r="L580">
        <v>468634</v>
      </c>
      <c r="M580" t="s">
        <v>46</v>
      </c>
      <c r="N580" t="s">
        <v>76</v>
      </c>
      <c r="O580" t="s">
        <v>63</v>
      </c>
      <c r="P580" t="s">
        <v>178</v>
      </c>
      <c r="Q580" t="s">
        <v>147</v>
      </c>
      <c r="R580">
        <v>50400</v>
      </c>
      <c r="S580">
        <v>0</v>
      </c>
      <c r="T580" s="1">
        <v>42037</v>
      </c>
      <c r="U580" t="s">
        <v>80</v>
      </c>
      <c r="V580" t="s">
        <v>81</v>
      </c>
      <c r="W580" t="s">
        <v>112</v>
      </c>
      <c r="X580" t="s">
        <v>54</v>
      </c>
      <c r="Y580" t="s">
        <v>118</v>
      </c>
      <c r="Z580" t="s">
        <v>92</v>
      </c>
      <c r="AA580" t="s">
        <v>762</v>
      </c>
      <c r="AB580">
        <v>15</v>
      </c>
      <c r="AC580" t="str">
        <f t="shared" si="28"/>
        <v>Afternoon</v>
      </c>
      <c r="AD580">
        <v>2</v>
      </c>
      <c r="AE580" t="s">
        <v>58</v>
      </c>
      <c r="AF580">
        <v>1</v>
      </c>
      <c r="AG580">
        <v>3</v>
      </c>
      <c r="AH580" t="s">
        <v>58</v>
      </c>
      <c r="AI580">
        <v>51090</v>
      </c>
      <c r="AJ580">
        <v>7860</v>
      </c>
      <c r="AK580">
        <v>7860</v>
      </c>
      <c r="AL580">
        <v>35370</v>
      </c>
      <c r="AM580" t="s">
        <v>120</v>
      </c>
      <c r="AN580" t="s">
        <v>145</v>
      </c>
      <c r="AO580">
        <v>2015</v>
      </c>
      <c r="AP580">
        <v>2003</v>
      </c>
      <c r="AQ580">
        <f t="shared" si="29"/>
        <v>12</v>
      </c>
      <c r="AR580" t="s">
        <v>87</v>
      </c>
    </row>
    <row r="581" spans="1:44" x14ac:dyDescent="0.25">
      <c r="A581">
        <v>51</v>
      </c>
      <c r="B581" t="str">
        <f t="shared" si="27"/>
        <v>2-5 years</v>
      </c>
      <c r="C581">
        <v>34</v>
      </c>
      <c r="D581" t="str" cm="1">
        <f t="array" ref="D581">_xlfn.IFS(C581&lt;26, "19-25", C581&lt;33, "26-32", C581&lt;40, "33-39", C581&lt;47, "40-46",C581&lt;54, "47-53", TRUE, "54+")</f>
        <v>33-39</v>
      </c>
      <c r="E581">
        <v>641934</v>
      </c>
      <c r="F581" s="1">
        <v>41633</v>
      </c>
      <c r="G581" t="s">
        <v>44</v>
      </c>
      <c r="H581" t="s">
        <v>96</v>
      </c>
      <c r="I581">
        <v>500</v>
      </c>
      <c r="J581">
        <v>1430.8</v>
      </c>
      <c r="K581">
        <v>0</v>
      </c>
      <c r="L581">
        <v>461264</v>
      </c>
      <c r="M581" t="s">
        <v>46</v>
      </c>
      <c r="N581" t="s">
        <v>76</v>
      </c>
      <c r="O581" t="s">
        <v>63</v>
      </c>
      <c r="P581" t="s">
        <v>123</v>
      </c>
      <c r="Q581" t="s">
        <v>90</v>
      </c>
      <c r="R581">
        <v>0</v>
      </c>
      <c r="S581">
        <v>0</v>
      </c>
      <c r="T581" s="1">
        <v>42047</v>
      </c>
      <c r="U581" t="s">
        <v>51</v>
      </c>
      <c r="V581" t="s">
        <v>52</v>
      </c>
      <c r="W581" t="s">
        <v>53</v>
      </c>
      <c r="X581" t="s">
        <v>104</v>
      </c>
      <c r="Y581" t="s">
        <v>82</v>
      </c>
      <c r="Z581" t="s">
        <v>107</v>
      </c>
      <c r="AA581" t="s">
        <v>763</v>
      </c>
      <c r="AB581">
        <v>23</v>
      </c>
      <c r="AC581" t="str">
        <f t="shared" si="28"/>
        <v>Evening</v>
      </c>
      <c r="AD581">
        <v>1</v>
      </c>
      <c r="AE581" t="s">
        <v>67</v>
      </c>
      <c r="AF581">
        <v>2</v>
      </c>
      <c r="AG581">
        <v>3</v>
      </c>
      <c r="AH581" t="s">
        <v>84</v>
      </c>
      <c r="AI581">
        <v>64200</v>
      </c>
      <c r="AJ581">
        <v>6420</v>
      </c>
      <c r="AK581">
        <v>19260</v>
      </c>
      <c r="AL581">
        <v>38520</v>
      </c>
      <c r="AM581" t="s">
        <v>214</v>
      </c>
      <c r="AN581" t="s">
        <v>215</v>
      </c>
      <c r="AO581">
        <v>2015</v>
      </c>
      <c r="AP581">
        <v>2007</v>
      </c>
      <c r="AQ581">
        <f t="shared" si="29"/>
        <v>8</v>
      </c>
      <c r="AR581" t="s">
        <v>61</v>
      </c>
    </row>
    <row r="582" spans="1:44" x14ac:dyDescent="0.25">
      <c r="A582">
        <v>255</v>
      </c>
      <c r="B582" t="str">
        <f t="shared" si="27"/>
        <v>10+ years</v>
      </c>
      <c r="C582">
        <v>45</v>
      </c>
      <c r="D582" t="str" cm="1">
        <f t="array" ref="D582">_xlfn.IFS(C582&lt;26, "19-25", C582&lt;33, "26-32", C582&lt;40, "33-39", C582&lt;47, "40-46",C582&lt;54, "47-53", TRUE, "54+")</f>
        <v>40-46</v>
      </c>
      <c r="E582">
        <v>113516</v>
      </c>
      <c r="F582" s="1">
        <v>33159</v>
      </c>
      <c r="G582" t="s">
        <v>88</v>
      </c>
      <c r="H582" t="s">
        <v>96</v>
      </c>
      <c r="I582">
        <v>500</v>
      </c>
      <c r="J582">
        <v>1192.27</v>
      </c>
      <c r="K582">
        <v>0</v>
      </c>
      <c r="L582">
        <v>600184</v>
      </c>
      <c r="M582" t="s">
        <v>46</v>
      </c>
      <c r="N582" t="s">
        <v>136</v>
      </c>
      <c r="O582" t="s">
        <v>77</v>
      </c>
      <c r="P582" t="s">
        <v>111</v>
      </c>
      <c r="Q582" t="s">
        <v>79</v>
      </c>
      <c r="R582">
        <v>0</v>
      </c>
      <c r="S582">
        <v>-40200</v>
      </c>
      <c r="T582" s="1">
        <v>42008</v>
      </c>
      <c r="U582" t="s">
        <v>51</v>
      </c>
      <c r="V582" t="s">
        <v>91</v>
      </c>
      <c r="W582" t="s">
        <v>112</v>
      </c>
      <c r="X582" t="s">
        <v>125</v>
      </c>
      <c r="Y582" t="s">
        <v>126</v>
      </c>
      <c r="Z582" t="s">
        <v>70</v>
      </c>
      <c r="AA582" t="s">
        <v>764</v>
      </c>
      <c r="AB582">
        <v>16</v>
      </c>
      <c r="AC582" t="str">
        <f t="shared" si="28"/>
        <v>Afternoon</v>
      </c>
      <c r="AD582">
        <v>1</v>
      </c>
      <c r="AE582" t="s">
        <v>84</v>
      </c>
      <c r="AF582">
        <v>2</v>
      </c>
      <c r="AG582">
        <v>0</v>
      </c>
      <c r="AH582" t="s">
        <v>58</v>
      </c>
      <c r="AI582">
        <v>67320</v>
      </c>
      <c r="AJ582">
        <v>12240</v>
      </c>
      <c r="AK582">
        <v>12240</v>
      </c>
      <c r="AL582">
        <v>42840</v>
      </c>
      <c r="AM582" t="s">
        <v>134</v>
      </c>
      <c r="AN582" t="s">
        <v>254</v>
      </c>
      <c r="AO582">
        <v>2015</v>
      </c>
      <c r="AP582">
        <v>2006</v>
      </c>
      <c r="AQ582">
        <f t="shared" si="29"/>
        <v>9</v>
      </c>
      <c r="AR582" t="s">
        <v>87</v>
      </c>
    </row>
    <row r="583" spans="1:44" x14ac:dyDescent="0.25">
      <c r="A583">
        <v>143</v>
      </c>
      <c r="B583" t="str">
        <f t="shared" si="27"/>
        <v>10+ years</v>
      </c>
      <c r="C583">
        <v>31</v>
      </c>
      <c r="D583" t="str" cm="1">
        <f t="array" ref="D583">_xlfn.IFS(C583&lt;26, "19-25", C583&lt;33, "26-32", C583&lt;40, "33-39", C583&lt;47, "40-46",C583&lt;54, "47-53", TRUE, "54+")</f>
        <v>26-32</v>
      </c>
      <c r="E583">
        <v>425631</v>
      </c>
      <c r="F583" s="1">
        <v>41825</v>
      </c>
      <c r="G583" t="s">
        <v>88</v>
      </c>
      <c r="H583" t="s">
        <v>45</v>
      </c>
      <c r="I583">
        <v>500</v>
      </c>
      <c r="J583">
        <v>1163.83</v>
      </c>
      <c r="K583">
        <v>0</v>
      </c>
      <c r="L583">
        <v>604874</v>
      </c>
      <c r="M583" t="s">
        <v>46</v>
      </c>
      <c r="N583" t="s">
        <v>97</v>
      </c>
      <c r="O583" t="s">
        <v>140</v>
      </c>
      <c r="P583" t="s">
        <v>151</v>
      </c>
      <c r="Q583" t="s">
        <v>50</v>
      </c>
      <c r="R583">
        <v>37700</v>
      </c>
      <c r="S583">
        <v>0</v>
      </c>
      <c r="T583" s="1">
        <v>42056</v>
      </c>
      <c r="U583" t="s">
        <v>80</v>
      </c>
      <c r="V583" t="s">
        <v>52</v>
      </c>
      <c r="W583" t="s">
        <v>53</v>
      </c>
      <c r="X583" t="s">
        <v>125</v>
      </c>
      <c r="Y583" t="s">
        <v>126</v>
      </c>
      <c r="Z583" t="s">
        <v>92</v>
      </c>
      <c r="AA583" t="s">
        <v>765</v>
      </c>
      <c r="AB583">
        <v>21</v>
      </c>
      <c r="AC583" t="str">
        <f t="shared" si="28"/>
        <v>Evening</v>
      </c>
      <c r="AD583">
        <v>4</v>
      </c>
      <c r="AE583" t="s">
        <v>58</v>
      </c>
      <c r="AF583">
        <v>2</v>
      </c>
      <c r="AG583">
        <v>0</v>
      </c>
      <c r="AH583" t="s">
        <v>67</v>
      </c>
      <c r="AI583">
        <v>76120</v>
      </c>
      <c r="AJ583">
        <v>6920</v>
      </c>
      <c r="AK583">
        <v>13840</v>
      </c>
      <c r="AL583">
        <v>55360</v>
      </c>
      <c r="AM583" t="s">
        <v>114</v>
      </c>
      <c r="AN583" t="s">
        <v>115</v>
      </c>
      <c r="AO583">
        <v>2015</v>
      </c>
      <c r="AP583">
        <v>1999</v>
      </c>
      <c r="AQ583">
        <f t="shared" si="29"/>
        <v>16</v>
      </c>
      <c r="AR583" t="s">
        <v>87</v>
      </c>
    </row>
    <row r="584" spans="1:44" x14ac:dyDescent="0.25">
      <c r="A584">
        <v>130</v>
      </c>
      <c r="B584" t="str">
        <f t="shared" si="27"/>
        <v>10+ years</v>
      </c>
      <c r="C584">
        <v>28</v>
      </c>
      <c r="D584" t="str" cm="1">
        <f t="array" ref="D584">_xlfn.IFS(C584&lt;26, "19-25", C584&lt;33, "26-32", C584&lt;40, "33-39", C584&lt;47, "40-46",C584&lt;54, "47-53", TRUE, "54+")</f>
        <v>26-32</v>
      </c>
      <c r="E584">
        <v>542245</v>
      </c>
      <c r="F584" s="1">
        <v>33567</v>
      </c>
      <c r="G584" t="s">
        <v>44</v>
      </c>
      <c r="H584" t="s">
        <v>96</v>
      </c>
      <c r="I584">
        <v>1000</v>
      </c>
      <c r="J584">
        <v>1003.15</v>
      </c>
      <c r="K584">
        <v>0</v>
      </c>
      <c r="L584">
        <v>462377</v>
      </c>
      <c r="M584" t="s">
        <v>75</v>
      </c>
      <c r="N584" t="s">
        <v>166</v>
      </c>
      <c r="O584" t="s">
        <v>194</v>
      </c>
      <c r="P584" t="s">
        <v>151</v>
      </c>
      <c r="Q584" t="s">
        <v>65</v>
      </c>
      <c r="R584">
        <v>0</v>
      </c>
      <c r="S584">
        <v>-38500</v>
      </c>
      <c r="T584" s="1">
        <v>42027</v>
      </c>
      <c r="U584" t="s">
        <v>80</v>
      </c>
      <c r="V584" t="s">
        <v>91</v>
      </c>
      <c r="W584" t="s">
        <v>68</v>
      </c>
      <c r="X584" t="s">
        <v>141</v>
      </c>
      <c r="Y584" t="s">
        <v>55</v>
      </c>
      <c r="Z584" t="s">
        <v>127</v>
      </c>
      <c r="AA584" t="s">
        <v>766</v>
      </c>
      <c r="AB584">
        <v>21</v>
      </c>
      <c r="AC584" t="str">
        <f t="shared" si="28"/>
        <v>Evening</v>
      </c>
      <c r="AD584">
        <v>2</v>
      </c>
      <c r="AE584" t="s">
        <v>58</v>
      </c>
      <c r="AF584">
        <v>2</v>
      </c>
      <c r="AG584">
        <v>1</v>
      </c>
      <c r="AH584" t="s">
        <v>84</v>
      </c>
      <c r="AI584">
        <v>85020</v>
      </c>
      <c r="AJ584">
        <v>13080</v>
      </c>
      <c r="AK584">
        <v>13080</v>
      </c>
      <c r="AL584">
        <v>58860</v>
      </c>
      <c r="AM584" t="s">
        <v>134</v>
      </c>
      <c r="AN584" t="s">
        <v>254</v>
      </c>
      <c r="AO584">
        <v>2015</v>
      </c>
      <c r="AP584">
        <v>2010</v>
      </c>
      <c r="AQ584">
        <f t="shared" si="29"/>
        <v>5</v>
      </c>
      <c r="AR584" t="s">
        <v>87</v>
      </c>
    </row>
    <row r="585" spans="1:44" x14ac:dyDescent="0.25">
      <c r="A585">
        <v>242</v>
      </c>
      <c r="B585" t="str">
        <f t="shared" si="27"/>
        <v>10+ years</v>
      </c>
      <c r="C585">
        <v>41</v>
      </c>
      <c r="D585" t="str" cm="1">
        <f t="array" ref="D585">_xlfn.IFS(C585&lt;26, "19-25", C585&lt;33, "26-32", C585&lt;40, "33-39", C585&lt;47, "40-46",C585&lt;54, "47-53", TRUE, "54+")</f>
        <v>40-46</v>
      </c>
      <c r="E585">
        <v>512894</v>
      </c>
      <c r="F585" s="1">
        <v>33148</v>
      </c>
      <c r="G585" t="s">
        <v>44</v>
      </c>
      <c r="H585" t="s">
        <v>45</v>
      </c>
      <c r="I585">
        <v>2000</v>
      </c>
      <c r="J585">
        <v>1153.54</v>
      </c>
      <c r="K585">
        <v>6000000</v>
      </c>
      <c r="L585">
        <v>619657</v>
      </c>
      <c r="M585" t="s">
        <v>46</v>
      </c>
      <c r="N585" t="s">
        <v>129</v>
      </c>
      <c r="O585" t="s">
        <v>140</v>
      </c>
      <c r="P585" t="s">
        <v>178</v>
      </c>
      <c r="Q585" t="s">
        <v>90</v>
      </c>
      <c r="R585">
        <v>0</v>
      </c>
      <c r="S585">
        <v>-57000</v>
      </c>
      <c r="T585" s="1">
        <v>42047</v>
      </c>
      <c r="U585" t="s">
        <v>80</v>
      </c>
      <c r="V585" t="s">
        <v>81</v>
      </c>
      <c r="W585" t="s">
        <v>68</v>
      </c>
      <c r="X585" t="s">
        <v>104</v>
      </c>
      <c r="Y585" t="s">
        <v>82</v>
      </c>
      <c r="Z585" t="s">
        <v>161</v>
      </c>
      <c r="AA585" t="s">
        <v>767</v>
      </c>
      <c r="AB585">
        <v>3</v>
      </c>
      <c r="AC585" t="str">
        <f t="shared" si="28"/>
        <v>Night</v>
      </c>
      <c r="AD585">
        <v>3</v>
      </c>
      <c r="AE585" t="s">
        <v>84</v>
      </c>
      <c r="AF585">
        <v>0</v>
      </c>
      <c r="AG585">
        <v>1</v>
      </c>
      <c r="AH585" t="s">
        <v>67</v>
      </c>
      <c r="AI585">
        <v>68090</v>
      </c>
      <c r="AJ585">
        <v>12380</v>
      </c>
      <c r="AK585">
        <v>12380</v>
      </c>
      <c r="AL585">
        <v>43330</v>
      </c>
      <c r="AM585" t="s">
        <v>120</v>
      </c>
      <c r="AN585" t="s">
        <v>188</v>
      </c>
      <c r="AO585">
        <v>2015</v>
      </c>
      <c r="AP585">
        <v>2009</v>
      </c>
      <c r="AQ585">
        <f t="shared" si="29"/>
        <v>6</v>
      </c>
      <c r="AR585" t="s">
        <v>87</v>
      </c>
    </row>
    <row r="586" spans="1:44" x14ac:dyDescent="0.25">
      <c r="A586">
        <v>96</v>
      </c>
      <c r="B586" t="str">
        <f t="shared" si="27"/>
        <v>5-10 years</v>
      </c>
      <c r="C586">
        <v>27</v>
      </c>
      <c r="D586" t="str" cm="1">
        <f t="array" ref="D586">_xlfn.IFS(C586&lt;26, "19-25", C586&lt;33, "26-32", C586&lt;40, "33-39", C586&lt;47, "40-46",C586&lt;54, "47-53", TRUE, "54+")</f>
        <v>26-32</v>
      </c>
      <c r="E586">
        <v>633090</v>
      </c>
      <c r="F586" s="1">
        <v>39861</v>
      </c>
      <c r="G586" t="s">
        <v>88</v>
      </c>
      <c r="H586" t="s">
        <v>74</v>
      </c>
      <c r="I586">
        <v>1000</v>
      </c>
      <c r="J586">
        <v>1631.1</v>
      </c>
      <c r="K586">
        <v>0</v>
      </c>
      <c r="L586">
        <v>437323</v>
      </c>
      <c r="M586" t="s">
        <v>75</v>
      </c>
      <c r="N586" t="s">
        <v>136</v>
      </c>
      <c r="O586" t="s">
        <v>122</v>
      </c>
      <c r="P586" t="s">
        <v>269</v>
      </c>
      <c r="Q586" t="s">
        <v>124</v>
      </c>
      <c r="R586">
        <v>0</v>
      </c>
      <c r="S586">
        <v>0</v>
      </c>
      <c r="T586" s="1">
        <v>42027</v>
      </c>
      <c r="U586" t="s">
        <v>143</v>
      </c>
      <c r="V586" t="s">
        <v>67</v>
      </c>
      <c r="W586" t="s">
        <v>217</v>
      </c>
      <c r="X586" t="s">
        <v>54</v>
      </c>
      <c r="Y586" t="s">
        <v>118</v>
      </c>
      <c r="Z586" t="s">
        <v>92</v>
      </c>
      <c r="AA586" t="s">
        <v>768</v>
      </c>
      <c r="AB586">
        <v>4</v>
      </c>
      <c r="AC586" t="str">
        <f t="shared" si="28"/>
        <v>Night</v>
      </c>
      <c r="AD586">
        <v>1</v>
      </c>
      <c r="AE586" t="s">
        <v>67</v>
      </c>
      <c r="AF586">
        <v>1</v>
      </c>
      <c r="AG586">
        <v>2</v>
      </c>
      <c r="AH586" t="s">
        <v>84</v>
      </c>
      <c r="AI586">
        <v>6030</v>
      </c>
      <c r="AJ586">
        <v>670</v>
      </c>
      <c r="AK586">
        <v>670</v>
      </c>
      <c r="AL586">
        <v>4690</v>
      </c>
      <c r="AM586" t="s">
        <v>109</v>
      </c>
      <c r="AN586" t="s">
        <v>110</v>
      </c>
      <c r="AO586">
        <v>2015</v>
      </c>
      <c r="AP586">
        <v>2007</v>
      </c>
      <c r="AQ586">
        <f t="shared" si="29"/>
        <v>8</v>
      </c>
      <c r="AR586" t="s">
        <v>87</v>
      </c>
    </row>
    <row r="587" spans="1:44" x14ac:dyDescent="0.25">
      <c r="A587">
        <v>180</v>
      </c>
      <c r="B587" t="str">
        <f t="shared" si="27"/>
        <v>10+ years</v>
      </c>
      <c r="C587">
        <v>35</v>
      </c>
      <c r="D587" t="str" cm="1">
        <f t="array" ref="D587">_xlfn.IFS(C587&lt;26, "19-25", C587&lt;33, "26-32", C587&lt;40, "33-39", C587&lt;47, "40-46",C587&lt;54, "47-53", TRUE, "54+")</f>
        <v>33-39</v>
      </c>
      <c r="E587">
        <v>464234</v>
      </c>
      <c r="F587" s="1">
        <v>38550</v>
      </c>
      <c r="G587" t="s">
        <v>88</v>
      </c>
      <c r="H587" t="s">
        <v>96</v>
      </c>
      <c r="I587">
        <v>1000</v>
      </c>
      <c r="J587">
        <v>1252.48</v>
      </c>
      <c r="K587">
        <v>0</v>
      </c>
      <c r="L587">
        <v>432148</v>
      </c>
      <c r="M587" t="s">
        <v>46</v>
      </c>
      <c r="N587" t="s">
        <v>47</v>
      </c>
      <c r="O587" t="s">
        <v>63</v>
      </c>
      <c r="P587" t="s">
        <v>160</v>
      </c>
      <c r="Q587" t="s">
        <v>124</v>
      </c>
      <c r="R587">
        <v>0</v>
      </c>
      <c r="S587">
        <v>-55800</v>
      </c>
      <c r="T587" s="1">
        <v>42045</v>
      </c>
      <c r="U587" t="s">
        <v>66</v>
      </c>
      <c r="V587" t="s">
        <v>67</v>
      </c>
      <c r="W587" t="s">
        <v>68</v>
      </c>
      <c r="X587" t="s">
        <v>98</v>
      </c>
      <c r="Y587" t="s">
        <v>44</v>
      </c>
      <c r="Z587" t="s">
        <v>107</v>
      </c>
      <c r="AA587" t="s">
        <v>769</v>
      </c>
      <c r="AB587">
        <v>17</v>
      </c>
      <c r="AC587" t="str">
        <f t="shared" si="28"/>
        <v>Afternoon</v>
      </c>
      <c r="AD587">
        <v>1</v>
      </c>
      <c r="AE587" t="s">
        <v>67</v>
      </c>
      <c r="AF587">
        <v>1</v>
      </c>
      <c r="AG587">
        <v>3</v>
      </c>
      <c r="AH587" t="s">
        <v>84</v>
      </c>
      <c r="AI587">
        <v>5100</v>
      </c>
      <c r="AJ587">
        <v>1020</v>
      </c>
      <c r="AK587">
        <v>510</v>
      </c>
      <c r="AL587">
        <v>3570</v>
      </c>
      <c r="AM587" t="s">
        <v>94</v>
      </c>
      <c r="AN587" t="s">
        <v>250</v>
      </c>
      <c r="AO587">
        <v>2015</v>
      </c>
      <c r="AP587">
        <v>2000</v>
      </c>
      <c r="AQ587">
        <f t="shared" si="29"/>
        <v>15</v>
      </c>
      <c r="AR587" t="s">
        <v>87</v>
      </c>
    </row>
    <row r="588" spans="1:44" x14ac:dyDescent="0.25">
      <c r="A588">
        <v>150</v>
      </c>
      <c r="B588" t="str">
        <f t="shared" si="27"/>
        <v>10+ years</v>
      </c>
      <c r="C588">
        <v>30</v>
      </c>
      <c r="D588" t="str" cm="1">
        <f t="array" ref="D588">_xlfn.IFS(C588&lt;26, "19-25", C588&lt;33, "26-32", C588&lt;40, "33-39", C588&lt;47, "40-46",C588&lt;54, "47-53", TRUE, "54+")</f>
        <v>26-32</v>
      </c>
      <c r="E588">
        <v>290162</v>
      </c>
      <c r="F588" s="1">
        <v>34405</v>
      </c>
      <c r="G588" t="s">
        <v>62</v>
      </c>
      <c r="H588" t="s">
        <v>74</v>
      </c>
      <c r="I588">
        <v>1000</v>
      </c>
      <c r="J588">
        <v>1677.26</v>
      </c>
      <c r="K588">
        <v>0</v>
      </c>
      <c r="L588">
        <v>439690</v>
      </c>
      <c r="M588" t="s">
        <v>46</v>
      </c>
      <c r="N588" t="s">
        <v>146</v>
      </c>
      <c r="O588" t="s">
        <v>77</v>
      </c>
      <c r="P588" t="s">
        <v>160</v>
      </c>
      <c r="Q588" t="s">
        <v>79</v>
      </c>
      <c r="R588">
        <v>40100</v>
      </c>
      <c r="S588">
        <v>0</v>
      </c>
      <c r="T588" s="1">
        <v>42014</v>
      </c>
      <c r="U588" t="s">
        <v>66</v>
      </c>
      <c r="V588" t="s">
        <v>67</v>
      </c>
      <c r="W588" t="s">
        <v>217</v>
      </c>
      <c r="X588" t="s">
        <v>54</v>
      </c>
      <c r="Y588" t="s">
        <v>118</v>
      </c>
      <c r="Z588" t="s">
        <v>107</v>
      </c>
      <c r="AA588" t="s">
        <v>770</v>
      </c>
      <c r="AB588">
        <v>7</v>
      </c>
      <c r="AC588" t="str">
        <f t="shared" si="28"/>
        <v>Morning</v>
      </c>
      <c r="AD588">
        <v>1</v>
      </c>
      <c r="AE588" t="s">
        <v>58</v>
      </c>
      <c r="AF588">
        <v>1</v>
      </c>
      <c r="AG588">
        <v>3</v>
      </c>
      <c r="AH588" t="s">
        <v>58</v>
      </c>
      <c r="AI588">
        <v>4590</v>
      </c>
      <c r="AJ588">
        <v>510</v>
      </c>
      <c r="AK588">
        <v>510</v>
      </c>
      <c r="AL588">
        <v>3570</v>
      </c>
      <c r="AM588" t="s">
        <v>219</v>
      </c>
      <c r="AN588" t="s">
        <v>263</v>
      </c>
      <c r="AO588">
        <v>2015</v>
      </c>
      <c r="AP588">
        <v>2013</v>
      </c>
      <c r="AQ588">
        <f t="shared" si="29"/>
        <v>2</v>
      </c>
      <c r="AR588" t="s">
        <v>87</v>
      </c>
    </row>
    <row r="589" spans="1:44" x14ac:dyDescent="0.25">
      <c r="A589">
        <v>463</v>
      </c>
      <c r="B589" t="str">
        <f t="shared" si="27"/>
        <v>10+ years</v>
      </c>
      <c r="C589">
        <v>59</v>
      </c>
      <c r="D589" t="str" cm="1">
        <f t="array" ref="D589">_xlfn.IFS(C589&lt;26, "19-25", C589&lt;33, "26-32", C589&lt;40, "33-39", C589&lt;47, "40-46",C589&lt;54, "47-53", TRUE, "54+")</f>
        <v>54+</v>
      </c>
      <c r="E589">
        <v>638155</v>
      </c>
      <c r="F589" s="1">
        <v>34549</v>
      </c>
      <c r="G589" t="s">
        <v>88</v>
      </c>
      <c r="H589" t="s">
        <v>45</v>
      </c>
      <c r="I589">
        <v>1000</v>
      </c>
      <c r="J589">
        <v>979.73</v>
      </c>
      <c r="K589">
        <v>0</v>
      </c>
      <c r="L589">
        <v>601848</v>
      </c>
      <c r="M589" t="s">
        <v>75</v>
      </c>
      <c r="N589" t="s">
        <v>166</v>
      </c>
      <c r="O589" t="s">
        <v>130</v>
      </c>
      <c r="P589" t="s">
        <v>160</v>
      </c>
      <c r="Q589" t="s">
        <v>147</v>
      </c>
      <c r="R589">
        <v>51700</v>
      </c>
      <c r="S589">
        <v>0</v>
      </c>
      <c r="T589" s="1">
        <v>42047</v>
      </c>
      <c r="U589" t="s">
        <v>80</v>
      </c>
      <c r="V589" t="s">
        <v>91</v>
      </c>
      <c r="W589" t="s">
        <v>53</v>
      </c>
      <c r="X589" t="s">
        <v>125</v>
      </c>
      <c r="Y589" t="s">
        <v>55</v>
      </c>
      <c r="Z589" t="s">
        <v>56</v>
      </c>
      <c r="AA589" t="s">
        <v>771</v>
      </c>
      <c r="AB589">
        <v>14</v>
      </c>
      <c r="AC589" t="str">
        <f t="shared" si="28"/>
        <v>Afternoon</v>
      </c>
      <c r="AD589">
        <v>2</v>
      </c>
      <c r="AE589" t="s">
        <v>67</v>
      </c>
      <c r="AF589">
        <v>1</v>
      </c>
      <c r="AG589">
        <v>2</v>
      </c>
      <c r="AH589" t="s">
        <v>84</v>
      </c>
      <c r="AI589">
        <v>72400</v>
      </c>
      <c r="AJ589">
        <v>7240</v>
      </c>
      <c r="AK589">
        <v>14480</v>
      </c>
      <c r="AL589">
        <v>50680</v>
      </c>
      <c r="AM589" t="s">
        <v>94</v>
      </c>
      <c r="AN589" t="s">
        <v>95</v>
      </c>
      <c r="AO589">
        <v>2015</v>
      </c>
      <c r="AP589">
        <v>1999</v>
      </c>
      <c r="AQ589">
        <f t="shared" si="29"/>
        <v>16</v>
      </c>
      <c r="AR589" t="s">
        <v>61</v>
      </c>
    </row>
    <row r="590" spans="1:44" x14ac:dyDescent="0.25">
      <c r="A590">
        <v>472</v>
      </c>
      <c r="B590" t="str">
        <f t="shared" si="27"/>
        <v>10+ years</v>
      </c>
      <c r="C590">
        <v>64</v>
      </c>
      <c r="D590" t="str" cm="1">
        <f t="array" ref="D590">_xlfn.IFS(C590&lt;26, "19-25", C590&lt;33, "26-32", C590&lt;40, "33-39", C590&lt;47, "40-46",C590&lt;54, "47-53", TRUE, "54+")</f>
        <v>54+</v>
      </c>
      <c r="E590">
        <v>911429</v>
      </c>
      <c r="F590" s="1">
        <v>41146</v>
      </c>
      <c r="G590" t="s">
        <v>62</v>
      </c>
      <c r="H590" t="s">
        <v>45</v>
      </c>
      <c r="I590">
        <v>500</v>
      </c>
      <c r="J590">
        <v>989.24</v>
      </c>
      <c r="K590">
        <v>0</v>
      </c>
      <c r="L590">
        <v>615821</v>
      </c>
      <c r="M590" t="s">
        <v>46</v>
      </c>
      <c r="N590" t="s">
        <v>129</v>
      </c>
      <c r="O590" t="s">
        <v>116</v>
      </c>
      <c r="P590" t="s">
        <v>137</v>
      </c>
      <c r="Q590" t="s">
        <v>147</v>
      </c>
      <c r="R590">
        <v>0</v>
      </c>
      <c r="S590">
        <v>0</v>
      </c>
      <c r="T590" s="1">
        <v>42056</v>
      </c>
      <c r="U590" t="s">
        <v>51</v>
      </c>
      <c r="V590" t="s">
        <v>91</v>
      </c>
      <c r="W590" t="s">
        <v>53</v>
      </c>
      <c r="X590" t="s">
        <v>104</v>
      </c>
      <c r="Y590" t="s">
        <v>82</v>
      </c>
      <c r="Z590" t="s">
        <v>161</v>
      </c>
      <c r="AA590" t="s">
        <v>772</v>
      </c>
      <c r="AB590">
        <v>13</v>
      </c>
      <c r="AC590" t="str">
        <f t="shared" si="28"/>
        <v>Afternoon</v>
      </c>
      <c r="AD590">
        <v>1</v>
      </c>
      <c r="AE590" t="s">
        <v>84</v>
      </c>
      <c r="AF590">
        <v>2</v>
      </c>
      <c r="AG590">
        <v>3</v>
      </c>
      <c r="AH590" t="s">
        <v>84</v>
      </c>
      <c r="AI590">
        <v>70900</v>
      </c>
      <c r="AJ590">
        <v>14180</v>
      </c>
      <c r="AK590">
        <v>7090</v>
      </c>
      <c r="AL590">
        <v>49630</v>
      </c>
      <c r="AM590" t="s">
        <v>72</v>
      </c>
      <c r="AN590" t="s">
        <v>276</v>
      </c>
      <c r="AO590">
        <v>2015</v>
      </c>
      <c r="AP590">
        <v>2002</v>
      </c>
      <c r="AQ590">
        <f t="shared" si="29"/>
        <v>13</v>
      </c>
      <c r="AR590" t="s">
        <v>87</v>
      </c>
    </row>
    <row r="591" spans="1:44" x14ac:dyDescent="0.25">
      <c r="A591">
        <v>75</v>
      </c>
      <c r="B591" t="str">
        <f t="shared" si="27"/>
        <v>5-10 years</v>
      </c>
      <c r="C591">
        <v>25</v>
      </c>
      <c r="D591" t="str" cm="1">
        <f t="array" ref="D591">_xlfn.IFS(C591&lt;26, "19-25", C591&lt;33, "26-32", C591&lt;40, "33-39", C591&lt;47, "40-46",C591&lt;54, "47-53", TRUE, "54+")</f>
        <v>19-25</v>
      </c>
      <c r="E591">
        <v>106186</v>
      </c>
      <c r="F591" s="1">
        <v>40879</v>
      </c>
      <c r="G591" t="s">
        <v>88</v>
      </c>
      <c r="H591" t="s">
        <v>96</v>
      </c>
      <c r="I591">
        <v>1000</v>
      </c>
      <c r="J591">
        <v>1389.86</v>
      </c>
      <c r="K591">
        <v>0</v>
      </c>
      <c r="L591">
        <v>472475</v>
      </c>
      <c r="M591" t="s">
        <v>75</v>
      </c>
      <c r="N591" t="s">
        <v>97</v>
      </c>
      <c r="O591" t="s">
        <v>122</v>
      </c>
      <c r="P591" t="s">
        <v>154</v>
      </c>
      <c r="Q591" t="s">
        <v>50</v>
      </c>
      <c r="R591">
        <v>0</v>
      </c>
      <c r="S591">
        <v>0</v>
      </c>
      <c r="T591" s="1">
        <v>42022</v>
      </c>
      <c r="U591" t="s">
        <v>80</v>
      </c>
      <c r="V591" t="s">
        <v>52</v>
      </c>
      <c r="W591" t="s">
        <v>112</v>
      </c>
      <c r="X591" t="s">
        <v>125</v>
      </c>
      <c r="Y591" t="s">
        <v>118</v>
      </c>
      <c r="Z591" t="s">
        <v>107</v>
      </c>
      <c r="AA591" t="s">
        <v>773</v>
      </c>
      <c r="AB591">
        <v>23</v>
      </c>
      <c r="AC591" t="str">
        <f t="shared" si="28"/>
        <v>Evening</v>
      </c>
      <c r="AD591">
        <v>2</v>
      </c>
      <c r="AE591" t="s">
        <v>67</v>
      </c>
      <c r="AF591">
        <v>2</v>
      </c>
      <c r="AG591">
        <v>3</v>
      </c>
      <c r="AH591" t="s">
        <v>58</v>
      </c>
      <c r="AI591">
        <v>65100</v>
      </c>
      <c r="AJ591">
        <v>6510</v>
      </c>
      <c r="AK591">
        <v>6510</v>
      </c>
      <c r="AL591">
        <v>52080</v>
      </c>
      <c r="AM591" t="s">
        <v>59</v>
      </c>
      <c r="AN591">
        <v>93</v>
      </c>
      <c r="AO591">
        <v>2015</v>
      </c>
      <c r="AP591">
        <v>2011</v>
      </c>
      <c r="AQ591">
        <f t="shared" si="29"/>
        <v>4</v>
      </c>
      <c r="AR591" t="s">
        <v>87</v>
      </c>
    </row>
    <row r="592" spans="1:44" x14ac:dyDescent="0.25">
      <c r="A592">
        <v>193</v>
      </c>
      <c r="B592" t="str">
        <f t="shared" si="27"/>
        <v>10+ years</v>
      </c>
      <c r="C592">
        <v>40</v>
      </c>
      <c r="D592" t="str" cm="1">
        <f t="array" ref="D592">_xlfn.IFS(C592&lt;26, "19-25", C592&lt;33, "26-32", C592&lt;40, "33-39", C592&lt;47, "40-46",C592&lt;54, "47-53", TRUE, "54+")</f>
        <v>40-46</v>
      </c>
      <c r="E592">
        <v>311783</v>
      </c>
      <c r="F592" s="1">
        <v>38408</v>
      </c>
      <c r="G592" t="s">
        <v>44</v>
      </c>
      <c r="H592" t="s">
        <v>74</v>
      </c>
      <c r="I592">
        <v>500</v>
      </c>
      <c r="J592">
        <v>1233.8499999999999</v>
      </c>
      <c r="K592">
        <v>0</v>
      </c>
      <c r="L592">
        <v>457463</v>
      </c>
      <c r="M592" t="s">
        <v>75</v>
      </c>
      <c r="N592" t="s">
        <v>146</v>
      </c>
      <c r="O592" t="s">
        <v>164</v>
      </c>
      <c r="P592" t="s">
        <v>173</v>
      </c>
      <c r="Q592" t="s">
        <v>50</v>
      </c>
      <c r="R592">
        <v>0</v>
      </c>
      <c r="S592">
        <v>0</v>
      </c>
      <c r="T592" s="1">
        <v>42063</v>
      </c>
      <c r="U592" t="s">
        <v>80</v>
      </c>
      <c r="V592" t="s">
        <v>52</v>
      </c>
      <c r="W592" t="s">
        <v>112</v>
      </c>
      <c r="X592" t="s">
        <v>141</v>
      </c>
      <c r="Y592" t="s">
        <v>180</v>
      </c>
      <c r="Z592" t="s">
        <v>127</v>
      </c>
      <c r="AA592" t="s">
        <v>774</v>
      </c>
      <c r="AB592">
        <v>23</v>
      </c>
      <c r="AC592" t="str">
        <f t="shared" si="28"/>
        <v>Evening</v>
      </c>
      <c r="AD592">
        <v>3</v>
      </c>
      <c r="AE592" t="s">
        <v>67</v>
      </c>
      <c r="AF592">
        <v>2</v>
      </c>
      <c r="AG592">
        <v>1</v>
      </c>
      <c r="AH592" t="s">
        <v>58</v>
      </c>
      <c r="AI592">
        <v>64260</v>
      </c>
      <c r="AJ592">
        <v>0</v>
      </c>
      <c r="AK592">
        <v>14280</v>
      </c>
      <c r="AL592">
        <v>49980</v>
      </c>
      <c r="AM592" t="s">
        <v>134</v>
      </c>
      <c r="AN592" t="s">
        <v>177</v>
      </c>
      <c r="AO592">
        <v>2015</v>
      </c>
      <c r="AP592">
        <v>1999</v>
      </c>
      <c r="AQ592">
        <f t="shared" si="29"/>
        <v>16</v>
      </c>
      <c r="AR592" t="s">
        <v>87</v>
      </c>
    </row>
    <row r="593" spans="1:44" x14ac:dyDescent="0.25">
      <c r="A593">
        <v>43</v>
      </c>
      <c r="B593" t="str">
        <f t="shared" si="27"/>
        <v>2-5 years</v>
      </c>
      <c r="C593">
        <v>43</v>
      </c>
      <c r="D593" t="str" cm="1">
        <f t="array" ref="D593">_xlfn.IFS(C593&lt;26, "19-25", C593&lt;33, "26-32", C593&lt;40, "33-39", C593&lt;47, "40-46",C593&lt;54, "47-53", TRUE, "54+")</f>
        <v>40-46</v>
      </c>
      <c r="E593">
        <v>528385</v>
      </c>
      <c r="F593" s="1">
        <v>35741</v>
      </c>
      <c r="G593" t="s">
        <v>88</v>
      </c>
      <c r="H593" t="s">
        <v>96</v>
      </c>
      <c r="I593">
        <v>500</v>
      </c>
      <c r="J593">
        <v>1320.39</v>
      </c>
      <c r="K593">
        <v>0</v>
      </c>
      <c r="L593">
        <v>604861</v>
      </c>
      <c r="M593" t="s">
        <v>75</v>
      </c>
      <c r="N593" t="s">
        <v>97</v>
      </c>
      <c r="O593" t="s">
        <v>89</v>
      </c>
      <c r="P593" t="s">
        <v>160</v>
      </c>
      <c r="Q593" t="s">
        <v>147</v>
      </c>
      <c r="R593">
        <v>0</v>
      </c>
      <c r="S593">
        <v>0</v>
      </c>
      <c r="T593" s="1">
        <v>42023</v>
      </c>
      <c r="U593" t="s">
        <v>51</v>
      </c>
      <c r="V593" t="s">
        <v>81</v>
      </c>
      <c r="W593" t="s">
        <v>53</v>
      </c>
      <c r="X593" t="s">
        <v>141</v>
      </c>
      <c r="Y593" t="s">
        <v>118</v>
      </c>
      <c r="Z593" t="s">
        <v>92</v>
      </c>
      <c r="AA593" t="s">
        <v>775</v>
      </c>
      <c r="AB593">
        <v>16</v>
      </c>
      <c r="AC593" t="str">
        <f t="shared" si="28"/>
        <v>Afternoon</v>
      </c>
      <c r="AD593">
        <v>1</v>
      </c>
      <c r="AE593" t="s">
        <v>67</v>
      </c>
      <c r="AF593">
        <v>2</v>
      </c>
      <c r="AG593">
        <v>1</v>
      </c>
      <c r="AH593" t="s">
        <v>67</v>
      </c>
      <c r="AI593">
        <v>79970</v>
      </c>
      <c r="AJ593">
        <v>7270</v>
      </c>
      <c r="AK593">
        <v>21810</v>
      </c>
      <c r="AL593">
        <v>50890</v>
      </c>
      <c r="AM593" t="s">
        <v>214</v>
      </c>
      <c r="AN593" t="s">
        <v>230</v>
      </c>
      <c r="AO593">
        <v>2015</v>
      </c>
      <c r="AP593">
        <v>1996</v>
      </c>
      <c r="AQ593">
        <f t="shared" si="29"/>
        <v>19</v>
      </c>
      <c r="AR593" t="s">
        <v>61</v>
      </c>
    </row>
    <row r="594" spans="1:44" x14ac:dyDescent="0.25">
      <c r="A594">
        <v>253</v>
      </c>
      <c r="B594" t="str">
        <f t="shared" si="27"/>
        <v>10+ years</v>
      </c>
      <c r="C594">
        <v>41</v>
      </c>
      <c r="D594" t="str" cm="1">
        <f t="array" ref="D594">_xlfn.IFS(C594&lt;26, "19-25", C594&lt;33, "26-32", C594&lt;40, "33-39", C594&lt;47, "40-46",C594&lt;54, "47-53", TRUE, "54+")</f>
        <v>40-46</v>
      </c>
      <c r="E594">
        <v>228403</v>
      </c>
      <c r="F594" s="1">
        <v>38097</v>
      </c>
      <c r="G594" t="s">
        <v>62</v>
      </c>
      <c r="H594" t="s">
        <v>74</v>
      </c>
      <c r="I594">
        <v>1000</v>
      </c>
      <c r="J594">
        <v>1435.09</v>
      </c>
      <c r="K594">
        <v>0</v>
      </c>
      <c r="L594">
        <v>471519</v>
      </c>
      <c r="M594" t="s">
        <v>75</v>
      </c>
      <c r="N594" t="s">
        <v>146</v>
      </c>
      <c r="O594" t="s">
        <v>63</v>
      </c>
      <c r="P594" t="s">
        <v>103</v>
      </c>
      <c r="Q594" t="s">
        <v>147</v>
      </c>
      <c r="R594">
        <v>36600</v>
      </c>
      <c r="S594">
        <v>0</v>
      </c>
      <c r="T594" s="1">
        <v>42015</v>
      </c>
      <c r="U594" t="s">
        <v>51</v>
      </c>
      <c r="V594" t="s">
        <v>81</v>
      </c>
      <c r="W594" t="s">
        <v>112</v>
      </c>
      <c r="X594" t="s">
        <v>54</v>
      </c>
      <c r="Y594" t="s">
        <v>55</v>
      </c>
      <c r="Z594" t="s">
        <v>161</v>
      </c>
      <c r="AA594" t="s">
        <v>776</v>
      </c>
      <c r="AB594">
        <v>17</v>
      </c>
      <c r="AC594" t="str">
        <f t="shared" si="28"/>
        <v>Afternoon</v>
      </c>
      <c r="AD594">
        <v>1</v>
      </c>
      <c r="AE594" t="s">
        <v>84</v>
      </c>
      <c r="AF594">
        <v>2</v>
      </c>
      <c r="AG594">
        <v>0</v>
      </c>
      <c r="AH594" t="s">
        <v>67</v>
      </c>
      <c r="AI594">
        <v>56610</v>
      </c>
      <c r="AJ594">
        <v>6290</v>
      </c>
      <c r="AK594">
        <v>6290</v>
      </c>
      <c r="AL594">
        <v>44030</v>
      </c>
      <c r="AM594" t="s">
        <v>94</v>
      </c>
      <c r="AN594" t="s">
        <v>95</v>
      </c>
      <c r="AO594">
        <v>2015</v>
      </c>
      <c r="AP594">
        <v>1995</v>
      </c>
      <c r="AQ594">
        <f t="shared" si="29"/>
        <v>20</v>
      </c>
      <c r="AR594" t="s">
        <v>87</v>
      </c>
    </row>
    <row r="595" spans="1:44" x14ac:dyDescent="0.25">
      <c r="A595">
        <v>152</v>
      </c>
      <c r="B595" t="str">
        <f t="shared" si="27"/>
        <v>10+ years</v>
      </c>
      <c r="C595">
        <v>30</v>
      </c>
      <c r="D595" t="str" cm="1">
        <f t="array" ref="D595">_xlfn.IFS(C595&lt;26, "19-25", C595&lt;33, "26-32", C595&lt;40, "33-39", C595&lt;47, "40-46",C595&lt;54, "47-53", TRUE, "54+")</f>
        <v>26-32</v>
      </c>
      <c r="E595">
        <v>209177</v>
      </c>
      <c r="F595" s="1">
        <v>40134</v>
      </c>
      <c r="G595" t="s">
        <v>62</v>
      </c>
      <c r="H595" t="s">
        <v>96</v>
      </c>
      <c r="I595">
        <v>500</v>
      </c>
      <c r="J595">
        <v>1448.54</v>
      </c>
      <c r="K595">
        <v>0</v>
      </c>
      <c r="L595">
        <v>618682</v>
      </c>
      <c r="M595" t="s">
        <v>75</v>
      </c>
      <c r="N595" t="s">
        <v>166</v>
      </c>
      <c r="O595" t="s">
        <v>48</v>
      </c>
      <c r="P595" t="s">
        <v>178</v>
      </c>
      <c r="Q595" t="s">
        <v>124</v>
      </c>
      <c r="R595">
        <v>58600</v>
      </c>
      <c r="S595">
        <v>0</v>
      </c>
      <c r="T595" s="1">
        <v>42046</v>
      </c>
      <c r="U595" t="s">
        <v>51</v>
      </c>
      <c r="V595" t="s">
        <v>52</v>
      </c>
      <c r="W595" t="s">
        <v>53</v>
      </c>
      <c r="X595" t="s">
        <v>104</v>
      </c>
      <c r="Y595" t="s">
        <v>69</v>
      </c>
      <c r="Z595" t="s">
        <v>161</v>
      </c>
      <c r="AA595" t="s">
        <v>777</v>
      </c>
      <c r="AB595">
        <v>9</v>
      </c>
      <c r="AC595" t="str">
        <f t="shared" si="28"/>
        <v>Morning</v>
      </c>
      <c r="AD595">
        <v>1</v>
      </c>
      <c r="AE595" t="s">
        <v>58</v>
      </c>
      <c r="AF595">
        <v>1</v>
      </c>
      <c r="AG595">
        <v>1</v>
      </c>
      <c r="AH595" t="s">
        <v>67</v>
      </c>
      <c r="AI595">
        <v>84590</v>
      </c>
      <c r="AJ595">
        <v>7690</v>
      </c>
      <c r="AK595">
        <v>7690</v>
      </c>
      <c r="AL595">
        <v>69210</v>
      </c>
      <c r="AM595" t="s">
        <v>120</v>
      </c>
      <c r="AN595" t="s">
        <v>145</v>
      </c>
      <c r="AO595">
        <v>2015</v>
      </c>
      <c r="AP595">
        <v>2000</v>
      </c>
      <c r="AQ595">
        <f t="shared" si="29"/>
        <v>15</v>
      </c>
      <c r="AR595" t="s">
        <v>61</v>
      </c>
    </row>
    <row r="596" spans="1:44" x14ac:dyDescent="0.25">
      <c r="A596">
        <v>160</v>
      </c>
      <c r="B596" t="str">
        <f t="shared" si="27"/>
        <v>10+ years</v>
      </c>
      <c r="C596">
        <v>38</v>
      </c>
      <c r="D596" t="str" cm="1">
        <f t="array" ref="D596">_xlfn.IFS(C596&lt;26, "19-25", C596&lt;33, "26-32", C596&lt;40, "33-39", C596&lt;47, "40-46",C596&lt;54, "47-53", TRUE, "54+")</f>
        <v>33-39</v>
      </c>
      <c r="E596">
        <v>497929</v>
      </c>
      <c r="F596" s="1">
        <v>40075</v>
      </c>
      <c r="G596" t="s">
        <v>44</v>
      </c>
      <c r="H596" t="s">
        <v>45</v>
      </c>
      <c r="I596">
        <v>500</v>
      </c>
      <c r="J596">
        <v>1733.56</v>
      </c>
      <c r="K596">
        <v>0</v>
      </c>
      <c r="L596">
        <v>441425</v>
      </c>
      <c r="M596" t="s">
        <v>46</v>
      </c>
      <c r="N596" t="s">
        <v>136</v>
      </c>
      <c r="O596" t="s">
        <v>77</v>
      </c>
      <c r="P596" t="s">
        <v>49</v>
      </c>
      <c r="Q596" t="s">
        <v>124</v>
      </c>
      <c r="R596">
        <v>0</v>
      </c>
      <c r="S596">
        <v>-43800</v>
      </c>
      <c r="T596" s="1">
        <v>42013</v>
      </c>
      <c r="U596" t="s">
        <v>80</v>
      </c>
      <c r="V596" t="s">
        <v>52</v>
      </c>
      <c r="W596" t="s">
        <v>53</v>
      </c>
      <c r="X596" t="s">
        <v>104</v>
      </c>
      <c r="Y596" t="s">
        <v>55</v>
      </c>
      <c r="Z596" t="s">
        <v>127</v>
      </c>
      <c r="AA596" t="s">
        <v>778</v>
      </c>
      <c r="AB596">
        <v>13</v>
      </c>
      <c r="AC596" t="str">
        <f t="shared" si="28"/>
        <v>Afternoon</v>
      </c>
      <c r="AD596">
        <v>3</v>
      </c>
      <c r="AE596" t="s">
        <v>84</v>
      </c>
      <c r="AF596">
        <v>2</v>
      </c>
      <c r="AG596">
        <v>1</v>
      </c>
      <c r="AH596" t="s">
        <v>58</v>
      </c>
      <c r="AI596">
        <v>66780</v>
      </c>
      <c r="AJ596">
        <v>7420</v>
      </c>
      <c r="AK596">
        <v>14840</v>
      </c>
      <c r="AL596">
        <v>44520</v>
      </c>
      <c r="AM596" t="s">
        <v>72</v>
      </c>
      <c r="AN596" t="s">
        <v>276</v>
      </c>
      <c r="AO596">
        <v>2015</v>
      </c>
      <c r="AP596">
        <v>1996</v>
      </c>
      <c r="AQ596">
        <f t="shared" si="29"/>
        <v>19</v>
      </c>
      <c r="AR596" t="s">
        <v>87</v>
      </c>
    </row>
    <row r="597" spans="1:44" x14ac:dyDescent="0.25">
      <c r="A597">
        <v>56</v>
      </c>
      <c r="B597" t="str">
        <f t="shared" si="27"/>
        <v>2-5 years</v>
      </c>
      <c r="C597">
        <v>36</v>
      </c>
      <c r="D597" t="str" cm="1">
        <f t="array" ref="D597">_xlfn.IFS(C597&lt;26, "19-25", C597&lt;33, "26-32", C597&lt;40, "33-39", C597&lt;47, "40-46",C597&lt;54, "47-53", TRUE, "54+")</f>
        <v>33-39</v>
      </c>
      <c r="E597">
        <v>735844</v>
      </c>
      <c r="F597" s="1">
        <v>40125</v>
      </c>
      <c r="G597" t="s">
        <v>62</v>
      </c>
      <c r="H597" t="s">
        <v>74</v>
      </c>
      <c r="I597">
        <v>500</v>
      </c>
      <c r="J597">
        <v>1533.07</v>
      </c>
      <c r="K597">
        <v>0</v>
      </c>
      <c r="L597">
        <v>609336</v>
      </c>
      <c r="M597" t="s">
        <v>46</v>
      </c>
      <c r="N597" t="s">
        <v>166</v>
      </c>
      <c r="O597" t="s">
        <v>194</v>
      </c>
      <c r="P597" t="s">
        <v>269</v>
      </c>
      <c r="Q597" t="s">
        <v>79</v>
      </c>
      <c r="R597">
        <v>0</v>
      </c>
      <c r="S597">
        <v>-28800</v>
      </c>
      <c r="T597" s="1">
        <v>42024</v>
      </c>
      <c r="U597" t="s">
        <v>51</v>
      </c>
      <c r="V597" t="s">
        <v>81</v>
      </c>
      <c r="W597" t="s">
        <v>53</v>
      </c>
      <c r="X597" t="s">
        <v>54</v>
      </c>
      <c r="Y597" t="s">
        <v>126</v>
      </c>
      <c r="Z597" t="s">
        <v>107</v>
      </c>
      <c r="AA597" t="s">
        <v>779</v>
      </c>
      <c r="AB597">
        <v>13</v>
      </c>
      <c r="AC597" t="str">
        <f t="shared" si="28"/>
        <v>Afternoon</v>
      </c>
      <c r="AD597">
        <v>1</v>
      </c>
      <c r="AE597" t="s">
        <v>58</v>
      </c>
      <c r="AF597">
        <v>1</v>
      </c>
      <c r="AG597">
        <v>2</v>
      </c>
      <c r="AH597" t="s">
        <v>58</v>
      </c>
      <c r="AI597">
        <v>58500</v>
      </c>
      <c r="AJ597">
        <v>0</v>
      </c>
      <c r="AK597">
        <v>6500</v>
      </c>
      <c r="AL597">
        <v>52000</v>
      </c>
      <c r="AM597" t="s">
        <v>134</v>
      </c>
      <c r="AN597" t="s">
        <v>177</v>
      </c>
      <c r="AO597">
        <v>2015</v>
      </c>
      <c r="AP597">
        <v>2001</v>
      </c>
      <c r="AQ597">
        <f t="shared" si="29"/>
        <v>14</v>
      </c>
      <c r="AR597" t="s">
        <v>87</v>
      </c>
    </row>
    <row r="598" spans="1:44" x14ac:dyDescent="0.25">
      <c r="A598">
        <v>286</v>
      </c>
      <c r="B598" t="str">
        <f t="shared" si="27"/>
        <v>10+ years</v>
      </c>
      <c r="C598">
        <v>41</v>
      </c>
      <c r="D598" t="str" cm="1">
        <f t="array" ref="D598">_xlfn.IFS(C598&lt;26, "19-25", C598&lt;33, "26-32", C598&lt;40, "33-39", C598&lt;47, "40-46",C598&lt;54, "47-53", TRUE, "54+")</f>
        <v>40-46</v>
      </c>
      <c r="E598">
        <v>710741</v>
      </c>
      <c r="F598" s="1">
        <v>37146</v>
      </c>
      <c r="G598" t="s">
        <v>88</v>
      </c>
      <c r="H598" t="s">
        <v>74</v>
      </c>
      <c r="I598">
        <v>500</v>
      </c>
      <c r="J598">
        <v>1106.77</v>
      </c>
      <c r="K598">
        <v>0</v>
      </c>
      <c r="L598">
        <v>603320</v>
      </c>
      <c r="M598" t="s">
        <v>75</v>
      </c>
      <c r="N598" t="s">
        <v>146</v>
      </c>
      <c r="O598" t="s">
        <v>106</v>
      </c>
      <c r="P598" t="s">
        <v>117</v>
      </c>
      <c r="Q598" t="s">
        <v>65</v>
      </c>
      <c r="R598">
        <v>45500</v>
      </c>
      <c r="S598">
        <v>-62500</v>
      </c>
      <c r="T598" s="1">
        <v>42061</v>
      </c>
      <c r="U598" t="s">
        <v>143</v>
      </c>
      <c r="V598" t="s">
        <v>67</v>
      </c>
      <c r="W598" t="s">
        <v>217</v>
      </c>
      <c r="X598" t="s">
        <v>54</v>
      </c>
      <c r="Y598" t="s">
        <v>118</v>
      </c>
      <c r="Z598" t="s">
        <v>56</v>
      </c>
      <c r="AA598" t="s">
        <v>780</v>
      </c>
      <c r="AB598">
        <v>3</v>
      </c>
      <c r="AC598" t="str">
        <f t="shared" si="28"/>
        <v>Night</v>
      </c>
      <c r="AD598">
        <v>1</v>
      </c>
      <c r="AE598" t="s">
        <v>67</v>
      </c>
      <c r="AF598">
        <v>2</v>
      </c>
      <c r="AG598">
        <v>0</v>
      </c>
      <c r="AH598" t="s">
        <v>84</v>
      </c>
      <c r="AI598">
        <v>5000</v>
      </c>
      <c r="AJ598">
        <v>500</v>
      </c>
      <c r="AK598">
        <v>500</v>
      </c>
      <c r="AL598">
        <v>4000</v>
      </c>
      <c r="AM598" t="s">
        <v>85</v>
      </c>
      <c r="AN598" t="s">
        <v>86</v>
      </c>
      <c r="AO598">
        <v>2015</v>
      </c>
      <c r="AP598">
        <v>2003</v>
      </c>
      <c r="AQ598">
        <f t="shared" si="29"/>
        <v>12</v>
      </c>
      <c r="AR598" t="s">
        <v>87</v>
      </c>
    </row>
    <row r="599" spans="1:44" x14ac:dyDescent="0.25">
      <c r="A599">
        <v>3</v>
      </c>
      <c r="B599" t="str">
        <f t="shared" si="27"/>
        <v>0-2 years</v>
      </c>
      <c r="C599">
        <v>29</v>
      </c>
      <c r="D599" t="str" cm="1">
        <f t="array" ref="D599">_xlfn.IFS(C599&lt;26, "19-25", C599&lt;33, "26-32", C599&lt;40, "33-39", C599&lt;47, "40-46",C599&lt;54, "47-53", TRUE, "54+")</f>
        <v>26-32</v>
      </c>
      <c r="E599">
        <v>276804</v>
      </c>
      <c r="F599" s="1">
        <v>33935</v>
      </c>
      <c r="G599" t="s">
        <v>88</v>
      </c>
      <c r="H599" t="s">
        <v>74</v>
      </c>
      <c r="I599">
        <v>500</v>
      </c>
      <c r="J599">
        <v>995.7</v>
      </c>
      <c r="K599">
        <v>5000000</v>
      </c>
      <c r="L599">
        <v>615446</v>
      </c>
      <c r="M599" t="s">
        <v>75</v>
      </c>
      <c r="N599" t="s">
        <v>166</v>
      </c>
      <c r="O599" t="s">
        <v>122</v>
      </c>
      <c r="P599" t="s">
        <v>173</v>
      </c>
      <c r="Q599" t="s">
        <v>90</v>
      </c>
      <c r="R599">
        <v>0</v>
      </c>
      <c r="S599">
        <v>0</v>
      </c>
      <c r="T599" s="1">
        <v>42037</v>
      </c>
      <c r="U599" t="s">
        <v>143</v>
      </c>
      <c r="V599" t="s">
        <v>67</v>
      </c>
      <c r="W599" t="s">
        <v>217</v>
      </c>
      <c r="X599" t="s">
        <v>54</v>
      </c>
      <c r="Y599" t="s">
        <v>180</v>
      </c>
      <c r="Z599" t="s">
        <v>107</v>
      </c>
      <c r="AA599" t="s">
        <v>781</v>
      </c>
      <c r="AB599">
        <v>3</v>
      </c>
      <c r="AC599" t="str">
        <f t="shared" si="28"/>
        <v>Night</v>
      </c>
      <c r="AD599">
        <v>1</v>
      </c>
      <c r="AE599" t="s">
        <v>67</v>
      </c>
      <c r="AF599">
        <v>2</v>
      </c>
      <c r="AG599">
        <v>1</v>
      </c>
      <c r="AH599" t="s">
        <v>67</v>
      </c>
      <c r="AI599">
        <v>5000</v>
      </c>
      <c r="AJ599">
        <v>500</v>
      </c>
      <c r="AK599">
        <v>1000</v>
      </c>
      <c r="AL599">
        <v>3500</v>
      </c>
      <c r="AM599" t="s">
        <v>72</v>
      </c>
      <c r="AN599" t="s">
        <v>73</v>
      </c>
      <c r="AO599">
        <v>2015</v>
      </c>
      <c r="AP599">
        <v>2008</v>
      </c>
      <c r="AQ599">
        <f t="shared" si="29"/>
        <v>7</v>
      </c>
      <c r="AR599" t="s">
        <v>61</v>
      </c>
    </row>
    <row r="600" spans="1:44" x14ac:dyDescent="0.25">
      <c r="A600">
        <v>286</v>
      </c>
      <c r="B600" t="str">
        <f t="shared" si="27"/>
        <v>10+ years</v>
      </c>
      <c r="C600">
        <v>41</v>
      </c>
      <c r="D600" t="str" cm="1">
        <f t="array" ref="D600">_xlfn.IFS(C600&lt;26, "19-25", C600&lt;33, "26-32", C600&lt;40, "33-39", C600&lt;47, "40-46",C600&lt;54, "47-53", TRUE, "54+")</f>
        <v>40-46</v>
      </c>
      <c r="E600">
        <v>507545</v>
      </c>
      <c r="F600" s="1">
        <v>36136</v>
      </c>
      <c r="G600" t="s">
        <v>88</v>
      </c>
      <c r="H600" t="s">
        <v>45</v>
      </c>
      <c r="I600">
        <v>1000</v>
      </c>
      <c r="J600">
        <v>1298.8499999999999</v>
      </c>
      <c r="K600">
        <v>6000000</v>
      </c>
      <c r="L600">
        <v>435967</v>
      </c>
      <c r="M600" t="s">
        <v>75</v>
      </c>
      <c r="N600" t="s">
        <v>136</v>
      </c>
      <c r="O600" t="s">
        <v>77</v>
      </c>
      <c r="P600" t="s">
        <v>123</v>
      </c>
      <c r="Q600" t="s">
        <v>65</v>
      </c>
      <c r="R600">
        <v>71300</v>
      </c>
      <c r="S600">
        <v>-70300</v>
      </c>
      <c r="T600" s="1">
        <v>42008</v>
      </c>
      <c r="U600" t="s">
        <v>80</v>
      </c>
      <c r="V600" t="s">
        <v>91</v>
      </c>
      <c r="W600" t="s">
        <v>53</v>
      </c>
      <c r="X600" t="s">
        <v>141</v>
      </c>
      <c r="Y600" t="s">
        <v>82</v>
      </c>
      <c r="Z600" t="s">
        <v>56</v>
      </c>
      <c r="AA600" t="s">
        <v>782</v>
      </c>
      <c r="AB600">
        <v>16</v>
      </c>
      <c r="AC600" t="str">
        <f t="shared" si="28"/>
        <v>Afternoon</v>
      </c>
      <c r="AD600">
        <v>3</v>
      </c>
      <c r="AE600" t="s">
        <v>67</v>
      </c>
      <c r="AF600">
        <v>1</v>
      </c>
      <c r="AG600">
        <v>3</v>
      </c>
      <c r="AH600" t="s">
        <v>58</v>
      </c>
      <c r="AI600">
        <v>54450</v>
      </c>
      <c r="AJ600">
        <v>6050</v>
      </c>
      <c r="AK600">
        <v>12100</v>
      </c>
      <c r="AL600">
        <v>36300</v>
      </c>
      <c r="AM600" t="s">
        <v>59</v>
      </c>
      <c r="AN600" t="s">
        <v>60</v>
      </c>
      <c r="AO600">
        <v>2015</v>
      </c>
      <c r="AP600">
        <v>2007</v>
      </c>
      <c r="AQ600">
        <f t="shared" si="29"/>
        <v>8</v>
      </c>
      <c r="AR600" t="s">
        <v>87</v>
      </c>
    </row>
    <row r="601" spans="1:44" x14ac:dyDescent="0.25">
      <c r="A601">
        <v>239</v>
      </c>
      <c r="B601" t="str">
        <f t="shared" si="27"/>
        <v>10+ years</v>
      </c>
      <c r="C601">
        <v>38</v>
      </c>
      <c r="D601" t="str" cm="1">
        <f t="array" ref="D601">_xlfn.IFS(C601&lt;26, "19-25", C601&lt;33, "26-32", C601&lt;40, "33-39", C601&lt;47, "40-46",C601&lt;54, "47-53", TRUE, "54+")</f>
        <v>33-39</v>
      </c>
      <c r="E601">
        <v>485642</v>
      </c>
      <c r="F601" s="1">
        <v>33110</v>
      </c>
      <c r="G601" t="s">
        <v>44</v>
      </c>
      <c r="H601" t="s">
        <v>45</v>
      </c>
      <c r="I601">
        <v>1000</v>
      </c>
      <c r="J601">
        <v>1276.73</v>
      </c>
      <c r="K601">
        <v>5000000</v>
      </c>
      <c r="L601">
        <v>610246</v>
      </c>
      <c r="M601" t="s">
        <v>75</v>
      </c>
      <c r="N601" t="s">
        <v>129</v>
      </c>
      <c r="O601" t="s">
        <v>164</v>
      </c>
      <c r="P601" t="s">
        <v>103</v>
      </c>
      <c r="Q601" t="s">
        <v>65</v>
      </c>
      <c r="R601">
        <v>0</v>
      </c>
      <c r="S601">
        <v>0</v>
      </c>
      <c r="T601" s="1">
        <v>42054</v>
      </c>
      <c r="U601" t="s">
        <v>80</v>
      </c>
      <c r="V601" t="s">
        <v>91</v>
      </c>
      <c r="W601" t="s">
        <v>53</v>
      </c>
      <c r="X601" t="s">
        <v>54</v>
      </c>
      <c r="Y601" t="s">
        <v>118</v>
      </c>
      <c r="Z601" t="s">
        <v>161</v>
      </c>
      <c r="AA601" t="s">
        <v>783</v>
      </c>
      <c r="AB601">
        <v>12</v>
      </c>
      <c r="AC601" t="str">
        <f t="shared" si="28"/>
        <v>Afternoon</v>
      </c>
      <c r="AD601">
        <v>3</v>
      </c>
      <c r="AE601" t="s">
        <v>84</v>
      </c>
      <c r="AF601">
        <v>1</v>
      </c>
      <c r="AG601">
        <v>3</v>
      </c>
      <c r="AH601" t="s">
        <v>67</v>
      </c>
      <c r="AI601">
        <v>61920</v>
      </c>
      <c r="AJ601">
        <v>6880</v>
      </c>
      <c r="AK601">
        <v>6880</v>
      </c>
      <c r="AL601">
        <v>48160</v>
      </c>
      <c r="AM601" t="s">
        <v>59</v>
      </c>
      <c r="AN601">
        <v>93</v>
      </c>
      <c r="AO601">
        <v>2015</v>
      </c>
      <c r="AP601">
        <v>2003</v>
      </c>
      <c r="AQ601">
        <f t="shared" si="29"/>
        <v>12</v>
      </c>
      <c r="AR601" t="s">
        <v>87</v>
      </c>
    </row>
    <row r="602" spans="1:44" x14ac:dyDescent="0.25">
      <c r="A602">
        <v>64</v>
      </c>
      <c r="B602" t="str">
        <f t="shared" si="27"/>
        <v>5-10 years</v>
      </c>
      <c r="C602">
        <v>29</v>
      </c>
      <c r="D602" t="str" cm="1">
        <f t="array" ref="D602">_xlfn.IFS(C602&lt;26, "19-25", C602&lt;33, "26-32", C602&lt;40, "33-39", C602&lt;47, "40-46",C602&lt;54, "47-53", TRUE, "54+")</f>
        <v>26-32</v>
      </c>
      <c r="E602">
        <v>796375</v>
      </c>
      <c r="F602" s="1">
        <v>40838</v>
      </c>
      <c r="G602" t="s">
        <v>44</v>
      </c>
      <c r="H602" t="s">
        <v>45</v>
      </c>
      <c r="I602">
        <v>2000</v>
      </c>
      <c r="J602">
        <v>1202.28</v>
      </c>
      <c r="K602">
        <v>0</v>
      </c>
      <c r="L602">
        <v>479327</v>
      </c>
      <c r="M602" t="s">
        <v>46</v>
      </c>
      <c r="N602" t="s">
        <v>136</v>
      </c>
      <c r="O602" t="s">
        <v>130</v>
      </c>
      <c r="P602" t="s">
        <v>247</v>
      </c>
      <c r="Q602" t="s">
        <v>65</v>
      </c>
      <c r="R602">
        <v>0</v>
      </c>
      <c r="S602">
        <v>-61400</v>
      </c>
      <c r="T602" s="1">
        <v>42016</v>
      </c>
      <c r="U602" t="s">
        <v>51</v>
      </c>
      <c r="V602" t="s">
        <v>52</v>
      </c>
      <c r="W602" t="s">
        <v>68</v>
      </c>
      <c r="X602" t="s">
        <v>141</v>
      </c>
      <c r="Y602" t="s">
        <v>69</v>
      </c>
      <c r="Z602" t="s">
        <v>127</v>
      </c>
      <c r="AA602" t="s">
        <v>784</v>
      </c>
      <c r="AB602">
        <v>4</v>
      </c>
      <c r="AC602" t="str">
        <f t="shared" si="28"/>
        <v>Night</v>
      </c>
      <c r="AD602">
        <v>1</v>
      </c>
      <c r="AE602" t="s">
        <v>67</v>
      </c>
      <c r="AF602">
        <v>1</v>
      </c>
      <c r="AG602">
        <v>2</v>
      </c>
      <c r="AH602" t="s">
        <v>84</v>
      </c>
      <c r="AI602">
        <v>43700</v>
      </c>
      <c r="AJ602">
        <v>4370</v>
      </c>
      <c r="AK602">
        <v>4370</v>
      </c>
      <c r="AL602">
        <v>34960</v>
      </c>
      <c r="AM602" t="s">
        <v>109</v>
      </c>
      <c r="AN602" t="s">
        <v>110</v>
      </c>
      <c r="AO602">
        <v>2015</v>
      </c>
      <c r="AP602">
        <v>2007</v>
      </c>
      <c r="AQ602">
        <f t="shared" si="29"/>
        <v>8</v>
      </c>
      <c r="AR602" t="s">
        <v>61</v>
      </c>
    </row>
    <row r="603" spans="1:44" x14ac:dyDescent="0.25">
      <c r="A603">
        <v>98</v>
      </c>
      <c r="B603" t="str">
        <f t="shared" si="27"/>
        <v>5-10 years</v>
      </c>
      <c r="C603">
        <v>31</v>
      </c>
      <c r="D603" t="str" cm="1">
        <f t="array" ref="D603">_xlfn.IFS(C603&lt;26, "19-25", C603&lt;33, "26-32", C603&lt;40, "33-39", C603&lt;47, "40-46",C603&lt;54, "47-53", TRUE, "54+")</f>
        <v>26-32</v>
      </c>
      <c r="E603">
        <v>171183</v>
      </c>
      <c r="F603" s="1">
        <v>32905</v>
      </c>
      <c r="G603" t="s">
        <v>62</v>
      </c>
      <c r="H603" t="s">
        <v>74</v>
      </c>
      <c r="I603">
        <v>500</v>
      </c>
      <c r="J603">
        <v>671.92</v>
      </c>
      <c r="K603">
        <v>0</v>
      </c>
      <c r="L603">
        <v>468300</v>
      </c>
      <c r="M603" t="s">
        <v>46</v>
      </c>
      <c r="N603" t="s">
        <v>129</v>
      </c>
      <c r="O603" t="s">
        <v>63</v>
      </c>
      <c r="P603" t="s">
        <v>103</v>
      </c>
      <c r="Q603" t="s">
        <v>124</v>
      </c>
      <c r="R603">
        <v>0</v>
      </c>
      <c r="S603">
        <v>-26400</v>
      </c>
      <c r="T603" s="1">
        <v>42028</v>
      </c>
      <c r="U603" t="s">
        <v>51</v>
      </c>
      <c r="V603" t="s">
        <v>91</v>
      </c>
      <c r="W603" t="s">
        <v>68</v>
      </c>
      <c r="X603" t="s">
        <v>125</v>
      </c>
      <c r="Y603" t="s">
        <v>126</v>
      </c>
      <c r="Z603" t="s">
        <v>70</v>
      </c>
      <c r="AA603" t="s">
        <v>785</v>
      </c>
      <c r="AB603">
        <v>3</v>
      </c>
      <c r="AC603" t="str">
        <f t="shared" si="28"/>
        <v>Night</v>
      </c>
      <c r="AD603">
        <v>1</v>
      </c>
      <c r="AE603" t="s">
        <v>67</v>
      </c>
      <c r="AF603">
        <v>2</v>
      </c>
      <c r="AG603">
        <v>0</v>
      </c>
      <c r="AH603" t="s">
        <v>67</v>
      </c>
      <c r="AI603">
        <v>64080</v>
      </c>
      <c r="AJ603">
        <v>7120</v>
      </c>
      <c r="AK603">
        <v>7120</v>
      </c>
      <c r="AL603">
        <v>49840</v>
      </c>
      <c r="AM603" t="s">
        <v>134</v>
      </c>
      <c r="AN603" t="s">
        <v>177</v>
      </c>
      <c r="AO603">
        <v>2015</v>
      </c>
      <c r="AP603">
        <v>1997</v>
      </c>
      <c r="AQ603">
        <f t="shared" si="29"/>
        <v>18</v>
      </c>
      <c r="AR603" t="s">
        <v>87</v>
      </c>
    </row>
    <row r="604" spans="1:44" x14ac:dyDescent="0.25">
      <c r="A604">
        <v>16</v>
      </c>
      <c r="B604" t="str">
        <f t="shared" si="27"/>
        <v>0-2 years</v>
      </c>
      <c r="C604">
        <v>35</v>
      </c>
      <c r="D604" t="str" cm="1">
        <f t="array" ref="D604">_xlfn.IFS(C604&lt;26, "19-25", C604&lt;33, "26-32", C604&lt;40, "33-39", C604&lt;47, "40-46",C604&lt;54, "47-53", TRUE, "54+")</f>
        <v>33-39</v>
      </c>
      <c r="E604">
        <v>110084</v>
      </c>
      <c r="F604" s="1">
        <v>33204</v>
      </c>
      <c r="G604" t="s">
        <v>88</v>
      </c>
      <c r="H604" t="s">
        <v>45</v>
      </c>
      <c r="I604">
        <v>1000</v>
      </c>
      <c r="J604">
        <v>1358.03</v>
      </c>
      <c r="K604">
        <v>0</v>
      </c>
      <c r="L604">
        <v>612660</v>
      </c>
      <c r="M604" t="s">
        <v>46</v>
      </c>
      <c r="N604" t="s">
        <v>166</v>
      </c>
      <c r="O604" t="s">
        <v>77</v>
      </c>
      <c r="P604" t="s">
        <v>173</v>
      </c>
      <c r="Q604" t="s">
        <v>79</v>
      </c>
      <c r="R604">
        <v>59300</v>
      </c>
      <c r="S604">
        <v>-31400</v>
      </c>
      <c r="T604" s="1">
        <v>42052</v>
      </c>
      <c r="U604" t="s">
        <v>51</v>
      </c>
      <c r="V604" t="s">
        <v>81</v>
      </c>
      <c r="W604" t="s">
        <v>112</v>
      </c>
      <c r="X604" t="s">
        <v>125</v>
      </c>
      <c r="Y604" t="s">
        <v>55</v>
      </c>
      <c r="Z604" t="s">
        <v>127</v>
      </c>
      <c r="AA604" t="s">
        <v>786</v>
      </c>
      <c r="AB604">
        <v>0</v>
      </c>
      <c r="AC604" t="str">
        <f t="shared" si="28"/>
        <v>Night</v>
      </c>
      <c r="AD604">
        <v>1</v>
      </c>
      <c r="AE604" t="s">
        <v>84</v>
      </c>
      <c r="AF604">
        <v>2</v>
      </c>
      <c r="AG604">
        <v>1</v>
      </c>
      <c r="AH604" t="s">
        <v>67</v>
      </c>
      <c r="AI604">
        <v>55000</v>
      </c>
      <c r="AJ604">
        <v>10000</v>
      </c>
      <c r="AK604">
        <v>10000</v>
      </c>
      <c r="AL604">
        <v>35000</v>
      </c>
      <c r="AM604" t="s">
        <v>219</v>
      </c>
      <c r="AN604" t="s">
        <v>263</v>
      </c>
      <c r="AO604">
        <v>2015</v>
      </c>
      <c r="AP604">
        <v>2008</v>
      </c>
      <c r="AQ604">
        <f t="shared" si="29"/>
        <v>7</v>
      </c>
      <c r="AR604" t="s">
        <v>61</v>
      </c>
    </row>
    <row r="605" spans="1:44" x14ac:dyDescent="0.25">
      <c r="A605">
        <v>70</v>
      </c>
      <c r="B605" t="str">
        <f t="shared" si="27"/>
        <v>5-10 years</v>
      </c>
      <c r="C605">
        <v>27</v>
      </c>
      <c r="D605" t="str" cm="1">
        <f t="array" ref="D605">_xlfn.IFS(C605&lt;26, "19-25", C605&lt;33, "26-32", C605&lt;40, "33-39", C605&lt;47, "40-46",C605&lt;54, "47-53", TRUE, "54+")</f>
        <v>26-32</v>
      </c>
      <c r="E605">
        <v>714784</v>
      </c>
      <c r="F605" s="1">
        <v>38184</v>
      </c>
      <c r="G605" t="s">
        <v>62</v>
      </c>
      <c r="H605" t="s">
        <v>45</v>
      </c>
      <c r="I605">
        <v>1000</v>
      </c>
      <c r="J605">
        <v>1008.79</v>
      </c>
      <c r="K605">
        <v>4000000</v>
      </c>
      <c r="L605">
        <v>466691</v>
      </c>
      <c r="M605" t="s">
        <v>75</v>
      </c>
      <c r="N605" t="s">
        <v>129</v>
      </c>
      <c r="O605" t="s">
        <v>190</v>
      </c>
      <c r="P605" t="s">
        <v>186</v>
      </c>
      <c r="Q605" t="s">
        <v>79</v>
      </c>
      <c r="R605">
        <v>46000</v>
      </c>
      <c r="S605">
        <v>0</v>
      </c>
      <c r="T605" s="1">
        <v>42017</v>
      </c>
      <c r="U605" t="s">
        <v>66</v>
      </c>
      <c r="V605" t="s">
        <v>67</v>
      </c>
      <c r="W605" t="s">
        <v>217</v>
      </c>
      <c r="X605" t="s">
        <v>54</v>
      </c>
      <c r="Y605" t="s">
        <v>118</v>
      </c>
      <c r="Z605" t="s">
        <v>56</v>
      </c>
      <c r="AA605" t="s">
        <v>787</v>
      </c>
      <c r="AB605">
        <v>19</v>
      </c>
      <c r="AC605" t="str">
        <f t="shared" si="28"/>
        <v>Evening</v>
      </c>
      <c r="AD605">
        <v>1</v>
      </c>
      <c r="AE605" t="s">
        <v>84</v>
      </c>
      <c r="AF605">
        <v>2</v>
      </c>
      <c r="AG605">
        <v>3</v>
      </c>
      <c r="AH605" t="s">
        <v>67</v>
      </c>
      <c r="AI605">
        <v>4400</v>
      </c>
      <c r="AJ605">
        <v>0</v>
      </c>
      <c r="AK605">
        <v>550</v>
      </c>
      <c r="AL605">
        <v>3850</v>
      </c>
      <c r="AM605" t="s">
        <v>120</v>
      </c>
      <c r="AN605" t="s">
        <v>121</v>
      </c>
      <c r="AO605">
        <v>2015</v>
      </c>
      <c r="AP605">
        <v>2000</v>
      </c>
      <c r="AQ605">
        <f t="shared" si="29"/>
        <v>15</v>
      </c>
      <c r="AR605" t="s">
        <v>87</v>
      </c>
    </row>
    <row r="606" spans="1:44" x14ac:dyDescent="0.25">
      <c r="A606">
        <v>75</v>
      </c>
      <c r="B606" t="str">
        <f t="shared" si="27"/>
        <v>5-10 years</v>
      </c>
      <c r="C606">
        <v>27</v>
      </c>
      <c r="D606" t="str" cm="1">
        <f t="array" ref="D606">_xlfn.IFS(C606&lt;26, "19-25", C606&lt;33, "26-32", C606&lt;40, "33-39", C606&lt;47, "40-46",C606&lt;54, "47-53", TRUE, "54+")</f>
        <v>26-32</v>
      </c>
      <c r="E606">
        <v>143924</v>
      </c>
      <c r="F606" s="1">
        <v>34313</v>
      </c>
      <c r="G606" t="s">
        <v>44</v>
      </c>
      <c r="H606" t="s">
        <v>74</v>
      </c>
      <c r="I606">
        <v>1000</v>
      </c>
      <c r="J606">
        <v>1141.0999999999999</v>
      </c>
      <c r="K606">
        <v>0</v>
      </c>
      <c r="L606">
        <v>468515</v>
      </c>
      <c r="M606" t="s">
        <v>46</v>
      </c>
      <c r="N606" t="s">
        <v>166</v>
      </c>
      <c r="O606" t="s">
        <v>89</v>
      </c>
      <c r="P606" t="s">
        <v>151</v>
      </c>
      <c r="Q606" t="s">
        <v>65</v>
      </c>
      <c r="R606">
        <v>0</v>
      </c>
      <c r="S606">
        <v>0</v>
      </c>
      <c r="T606" s="1">
        <v>42063</v>
      </c>
      <c r="U606" t="s">
        <v>80</v>
      </c>
      <c r="V606" t="s">
        <v>52</v>
      </c>
      <c r="W606" t="s">
        <v>68</v>
      </c>
      <c r="X606" t="s">
        <v>54</v>
      </c>
      <c r="Y606" t="s">
        <v>55</v>
      </c>
      <c r="Z606" t="s">
        <v>127</v>
      </c>
      <c r="AA606" t="s">
        <v>788</v>
      </c>
      <c r="AB606">
        <v>15</v>
      </c>
      <c r="AC606" t="str">
        <f t="shared" si="28"/>
        <v>Afternoon</v>
      </c>
      <c r="AD606">
        <v>2</v>
      </c>
      <c r="AE606" t="s">
        <v>67</v>
      </c>
      <c r="AF606">
        <v>0</v>
      </c>
      <c r="AG606">
        <v>1</v>
      </c>
      <c r="AH606" t="s">
        <v>58</v>
      </c>
      <c r="AI606">
        <v>71640</v>
      </c>
      <c r="AJ606">
        <v>5970</v>
      </c>
      <c r="AK606">
        <v>11940</v>
      </c>
      <c r="AL606">
        <v>53730</v>
      </c>
      <c r="AM606" t="s">
        <v>120</v>
      </c>
      <c r="AN606" t="s">
        <v>145</v>
      </c>
      <c r="AO606">
        <v>2015</v>
      </c>
      <c r="AP606">
        <v>2008</v>
      </c>
      <c r="AQ606">
        <f t="shared" si="29"/>
        <v>7</v>
      </c>
      <c r="AR606" t="s">
        <v>87</v>
      </c>
    </row>
    <row r="607" spans="1:44" x14ac:dyDescent="0.25">
      <c r="A607">
        <v>246</v>
      </c>
      <c r="B607" t="str">
        <f t="shared" si="27"/>
        <v>10+ years</v>
      </c>
      <c r="C607">
        <v>44</v>
      </c>
      <c r="D607" t="str" cm="1">
        <f t="array" ref="D607">_xlfn.IFS(C607&lt;26, "19-25", C607&lt;33, "26-32", C607&lt;40, "33-39", C607&lt;47, "40-46",C607&lt;54, "47-53", TRUE, "54+")</f>
        <v>40-46</v>
      </c>
      <c r="E607">
        <v>996850</v>
      </c>
      <c r="F607" s="1">
        <v>34766</v>
      </c>
      <c r="G607" t="s">
        <v>44</v>
      </c>
      <c r="H607" t="s">
        <v>74</v>
      </c>
      <c r="I607">
        <v>1000</v>
      </c>
      <c r="J607">
        <v>1397</v>
      </c>
      <c r="K607">
        <v>0</v>
      </c>
      <c r="L607">
        <v>614521</v>
      </c>
      <c r="M607" t="s">
        <v>46</v>
      </c>
      <c r="N607" t="s">
        <v>136</v>
      </c>
      <c r="O607" t="s">
        <v>63</v>
      </c>
      <c r="P607" t="s">
        <v>64</v>
      </c>
      <c r="Q607" t="s">
        <v>147</v>
      </c>
      <c r="R607">
        <v>0</v>
      </c>
      <c r="S607">
        <v>0</v>
      </c>
      <c r="T607" s="1">
        <v>42007</v>
      </c>
      <c r="U607" t="s">
        <v>51</v>
      </c>
      <c r="V607" t="s">
        <v>81</v>
      </c>
      <c r="W607" t="s">
        <v>68</v>
      </c>
      <c r="X607" t="s">
        <v>125</v>
      </c>
      <c r="Y607" t="s">
        <v>82</v>
      </c>
      <c r="Z607" t="s">
        <v>92</v>
      </c>
      <c r="AA607" t="s">
        <v>789</v>
      </c>
      <c r="AB607">
        <v>6</v>
      </c>
      <c r="AC607" t="str">
        <f t="shared" si="28"/>
        <v>Morning</v>
      </c>
      <c r="AD607">
        <v>1</v>
      </c>
      <c r="AE607" t="s">
        <v>84</v>
      </c>
      <c r="AF607">
        <v>1</v>
      </c>
      <c r="AG607">
        <v>0</v>
      </c>
      <c r="AH607" t="s">
        <v>84</v>
      </c>
      <c r="AI607">
        <v>61740</v>
      </c>
      <c r="AJ607">
        <v>6860</v>
      </c>
      <c r="AK607">
        <v>6860</v>
      </c>
      <c r="AL607">
        <v>48020</v>
      </c>
      <c r="AM607" t="s">
        <v>100</v>
      </c>
      <c r="AN607" t="s">
        <v>153</v>
      </c>
      <c r="AO607">
        <v>2015</v>
      </c>
      <c r="AP607">
        <v>1997</v>
      </c>
      <c r="AQ607">
        <f t="shared" si="29"/>
        <v>18</v>
      </c>
      <c r="AR607" t="s">
        <v>87</v>
      </c>
    </row>
    <row r="608" spans="1:44" x14ac:dyDescent="0.25">
      <c r="A608">
        <v>110</v>
      </c>
      <c r="B608" t="str">
        <f t="shared" si="27"/>
        <v>5-10 years</v>
      </c>
      <c r="C608">
        <v>27</v>
      </c>
      <c r="D608" t="str" cm="1">
        <f t="array" ref="D608">_xlfn.IFS(C608&lt;26, "19-25", C608&lt;33, "26-32", C608&lt;40, "33-39", C608&lt;47, "40-46",C608&lt;54, "47-53", TRUE, "54+")</f>
        <v>26-32</v>
      </c>
      <c r="E608">
        <v>284834</v>
      </c>
      <c r="F608" s="1">
        <v>40028</v>
      </c>
      <c r="G608" t="s">
        <v>44</v>
      </c>
      <c r="H608" t="s">
        <v>96</v>
      </c>
      <c r="I608">
        <v>1000</v>
      </c>
      <c r="J608">
        <v>1664.66</v>
      </c>
      <c r="K608">
        <v>0</v>
      </c>
      <c r="L608">
        <v>465921</v>
      </c>
      <c r="M608" t="s">
        <v>75</v>
      </c>
      <c r="N608" t="s">
        <v>97</v>
      </c>
      <c r="O608" t="s">
        <v>122</v>
      </c>
      <c r="P608" t="s">
        <v>117</v>
      </c>
      <c r="Q608" t="s">
        <v>79</v>
      </c>
      <c r="R608">
        <v>0</v>
      </c>
      <c r="S608">
        <v>-66200</v>
      </c>
      <c r="T608" s="1">
        <v>42040</v>
      </c>
      <c r="U608" t="s">
        <v>51</v>
      </c>
      <c r="V608" t="s">
        <v>52</v>
      </c>
      <c r="W608" t="s">
        <v>112</v>
      </c>
      <c r="X608" t="s">
        <v>141</v>
      </c>
      <c r="Y608" t="s">
        <v>55</v>
      </c>
      <c r="Z608" t="s">
        <v>107</v>
      </c>
      <c r="AA608" t="s">
        <v>790</v>
      </c>
      <c r="AB608">
        <v>3</v>
      </c>
      <c r="AC608" t="str">
        <f t="shared" si="28"/>
        <v>Night</v>
      </c>
      <c r="AD608">
        <v>1</v>
      </c>
      <c r="AE608" t="s">
        <v>67</v>
      </c>
      <c r="AF608">
        <v>0</v>
      </c>
      <c r="AG608">
        <v>3</v>
      </c>
      <c r="AH608" t="s">
        <v>67</v>
      </c>
      <c r="AI608">
        <v>57500</v>
      </c>
      <c r="AJ608">
        <v>5750</v>
      </c>
      <c r="AK608">
        <v>5750</v>
      </c>
      <c r="AL608">
        <v>46000</v>
      </c>
      <c r="AM608" t="s">
        <v>114</v>
      </c>
      <c r="AN608" t="s">
        <v>139</v>
      </c>
      <c r="AO608">
        <v>2015</v>
      </c>
      <c r="AP608">
        <v>2010</v>
      </c>
      <c r="AQ608">
        <f t="shared" si="29"/>
        <v>5</v>
      </c>
      <c r="AR608" t="s">
        <v>87</v>
      </c>
    </row>
    <row r="609" spans="1:44" x14ac:dyDescent="0.25">
      <c r="A609">
        <v>236</v>
      </c>
      <c r="B609" t="str">
        <f t="shared" si="27"/>
        <v>10+ years</v>
      </c>
      <c r="C609">
        <v>39</v>
      </c>
      <c r="D609" t="str" cm="1">
        <f t="array" ref="D609">_xlfn.IFS(C609&lt;26, "19-25", C609&lt;33, "26-32", C609&lt;40, "33-39", C609&lt;47, "40-46",C609&lt;54, "47-53", TRUE, "54+")</f>
        <v>33-39</v>
      </c>
      <c r="E609">
        <v>830878</v>
      </c>
      <c r="F609" s="1">
        <v>35372</v>
      </c>
      <c r="G609" t="s">
        <v>62</v>
      </c>
      <c r="H609" t="s">
        <v>45</v>
      </c>
      <c r="I609">
        <v>1000</v>
      </c>
      <c r="J609">
        <v>1151.3900000000001</v>
      </c>
      <c r="K609">
        <v>4000000</v>
      </c>
      <c r="L609">
        <v>604555</v>
      </c>
      <c r="M609" t="s">
        <v>75</v>
      </c>
      <c r="N609" t="s">
        <v>129</v>
      </c>
      <c r="O609" t="s">
        <v>130</v>
      </c>
      <c r="P609" t="s">
        <v>64</v>
      </c>
      <c r="Q609" t="s">
        <v>124</v>
      </c>
      <c r="R609">
        <v>0</v>
      </c>
      <c r="S609">
        <v>-63900</v>
      </c>
      <c r="T609" s="1">
        <v>42005</v>
      </c>
      <c r="U609" t="s">
        <v>143</v>
      </c>
      <c r="V609" t="s">
        <v>67</v>
      </c>
      <c r="W609" t="s">
        <v>68</v>
      </c>
      <c r="X609" t="s">
        <v>54</v>
      </c>
      <c r="Y609" t="s">
        <v>82</v>
      </c>
      <c r="Z609" t="s">
        <v>107</v>
      </c>
      <c r="AA609" t="s">
        <v>791</v>
      </c>
      <c r="AB609">
        <v>17</v>
      </c>
      <c r="AC609" t="str">
        <f t="shared" si="28"/>
        <v>Afternoon</v>
      </c>
      <c r="AD609">
        <v>1</v>
      </c>
      <c r="AE609" t="s">
        <v>58</v>
      </c>
      <c r="AF609">
        <v>0</v>
      </c>
      <c r="AG609">
        <v>0</v>
      </c>
      <c r="AH609" t="s">
        <v>67</v>
      </c>
      <c r="AI609">
        <v>8700</v>
      </c>
      <c r="AJ609">
        <v>870</v>
      </c>
      <c r="AK609">
        <v>1740</v>
      </c>
      <c r="AL609">
        <v>6090</v>
      </c>
      <c r="AM609" t="s">
        <v>100</v>
      </c>
      <c r="AN609" t="s">
        <v>101</v>
      </c>
      <c r="AO609">
        <v>2015</v>
      </c>
      <c r="AP609">
        <v>2003</v>
      </c>
      <c r="AQ609">
        <f t="shared" si="29"/>
        <v>12</v>
      </c>
      <c r="AR609" t="s">
        <v>87</v>
      </c>
    </row>
    <row r="610" spans="1:44" x14ac:dyDescent="0.25">
      <c r="A610">
        <v>267</v>
      </c>
      <c r="B610" t="str">
        <f t="shared" si="27"/>
        <v>10+ years</v>
      </c>
      <c r="C610">
        <v>46</v>
      </c>
      <c r="D610" t="str" cm="1">
        <f t="array" ref="D610">_xlfn.IFS(C610&lt;26, "19-25", C610&lt;33, "26-32", C610&lt;40, "33-39", C610&lt;47, "40-46",C610&lt;54, "47-53", TRUE, "54+")</f>
        <v>40-46</v>
      </c>
      <c r="E610">
        <v>270208</v>
      </c>
      <c r="F610" s="1">
        <v>38208</v>
      </c>
      <c r="G610" t="s">
        <v>44</v>
      </c>
      <c r="H610" t="s">
        <v>74</v>
      </c>
      <c r="I610">
        <v>2000</v>
      </c>
      <c r="J610">
        <v>1546.01</v>
      </c>
      <c r="K610">
        <v>0</v>
      </c>
      <c r="L610">
        <v>616276</v>
      </c>
      <c r="M610" t="s">
        <v>75</v>
      </c>
      <c r="N610" t="s">
        <v>47</v>
      </c>
      <c r="O610" t="s">
        <v>190</v>
      </c>
      <c r="P610" t="s">
        <v>178</v>
      </c>
      <c r="Q610" t="s">
        <v>124</v>
      </c>
      <c r="R610">
        <v>0</v>
      </c>
      <c r="S610">
        <v>0</v>
      </c>
      <c r="T610" s="1">
        <v>42010</v>
      </c>
      <c r="U610" t="s">
        <v>80</v>
      </c>
      <c r="V610" t="s">
        <v>91</v>
      </c>
      <c r="W610" t="s">
        <v>112</v>
      </c>
      <c r="X610" t="s">
        <v>54</v>
      </c>
      <c r="Y610" t="s">
        <v>69</v>
      </c>
      <c r="Z610" t="s">
        <v>70</v>
      </c>
      <c r="AA610" t="s">
        <v>792</v>
      </c>
      <c r="AB610">
        <v>4</v>
      </c>
      <c r="AC610" t="str">
        <f t="shared" si="28"/>
        <v>Night</v>
      </c>
      <c r="AD610">
        <v>4</v>
      </c>
      <c r="AE610" t="s">
        <v>84</v>
      </c>
      <c r="AF610">
        <v>2</v>
      </c>
      <c r="AG610">
        <v>1</v>
      </c>
      <c r="AH610" t="s">
        <v>67</v>
      </c>
      <c r="AI610">
        <v>77100</v>
      </c>
      <c r="AJ610">
        <v>15420</v>
      </c>
      <c r="AK610">
        <v>7710</v>
      </c>
      <c r="AL610">
        <v>53970</v>
      </c>
      <c r="AM610" t="s">
        <v>219</v>
      </c>
      <c r="AN610" t="s">
        <v>263</v>
      </c>
      <c r="AO610">
        <v>2015</v>
      </c>
      <c r="AP610">
        <v>1996</v>
      </c>
      <c r="AQ610">
        <f t="shared" si="29"/>
        <v>19</v>
      </c>
      <c r="AR610" t="s">
        <v>87</v>
      </c>
    </row>
    <row r="611" spans="1:44" x14ac:dyDescent="0.25">
      <c r="A611">
        <v>463</v>
      </c>
      <c r="B611" t="str">
        <f t="shared" si="27"/>
        <v>10+ years</v>
      </c>
      <c r="C611">
        <v>57</v>
      </c>
      <c r="D611" t="str" cm="1">
        <f t="array" ref="D611">_xlfn.IFS(C611&lt;26, "19-25", C611&lt;33, "26-32", C611&lt;40, "33-39", C611&lt;47, "40-46",C611&lt;54, "47-53", TRUE, "54+")</f>
        <v>54+</v>
      </c>
      <c r="E611">
        <v>407958</v>
      </c>
      <c r="F611" s="1">
        <v>33439</v>
      </c>
      <c r="G611" t="s">
        <v>88</v>
      </c>
      <c r="H611" t="s">
        <v>45</v>
      </c>
      <c r="I611">
        <v>500</v>
      </c>
      <c r="J611">
        <v>1063.67</v>
      </c>
      <c r="K611">
        <v>0</v>
      </c>
      <c r="L611">
        <v>463356</v>
      </c>
      <c r="M611" t="s">
        <v>46</v>
      </c>
      <c r="N611" t="s">
        <v>129</v>
      </c>
      <c r="O611" t="s">
        <v>122</v>
      </c>
      <c r="P611" t="s">
        <v>131</v>
      </c>
      <c r="Q611" t="s">
        <v>124</v>
      </c>
      <c r="R611">
        <v>0</v>
      </c>
      <c r="S611">
        <v>0</v>
      </c>
      <c r="T611" s="1">
        <v>42038</v>
      </c>
      <c r="U611" t="s">
        <v>51</v>
      </c>
      <c r="V611" t="s">
        <v>91</v>
      </c>
      <c r="W611" t="s">
        <v>68</v>
      </c>
      <c r="X611" t="s">
        <v>54</v>
      </c>
      <c r="Y611" t="s">
        <v>82</v>
      </c>
      <c r="Z611" t="s">
        <v>107</v>
      </c>
      <c r="AA611" t="s">
        <v>793</v>
      </c>
      <c r="AB611">
        <v>14</v>
      </c>
      <c r="AC611" t="str">
        <f t="shared" si="28"/>
        <v>Afternoon</v>
      </c>
      <c r="AD611">
        <v>1</v>
      </c>
      <c r="AE611" t="s">
        <v>84</v>
      </c>
      <c r="AF611">
        <v>2</v>
      </c>
      <c r="AG611">
        <v>0</v>
      </c>
      <c r="AH611" t="s">
        <v>58</v>
      </c>
      <c r="AI611">
        <v>59400</v>
      </c>
      <c r="AJ611">
        <v>6600</v>
      </c>
      <c r="AK611">
        <v>6600</v>
      </c>
      <c r="AL611">
        <v>46200</v>
      </c>
      <c r="AM611" t="s">
        <v>85</v>
      </c>
      <c r="AN611" t="s">
        <v>149</v>
      </c>
      <c r="AO611">
        <v>2015</v>
      </c>
      <c r="AP611">
        <v>1995</v>
      </c>
      <c r="AQ611">
        <f t="shared" si="29"/>
        <v>20</v>
      </c>
      <c r="AR611" t="s">
        <v>87</v>
      </c>
    </row>
    <row r="612" spans="1:44" x14ac:dyDescent="0.25">
      <c r="A612">
        <v>303</v>
      </c>
      <c r="B612" t="str">
        <f t="shared" si="27"/>
        <v>10+ years</v>
      </c>
      <c r="C612">
        <v>46</v>
      </c>
      <c r="D612" t="str" cm="1">
        <f t="array" ref="D612">_xlfn.IFS(C612&lt;26, "19-25", C612&lt;33, "26-32", C612&lt;40, "33-39", C612&lt;47, "40-46",C612&lt;54, "47-53", TRUE, "54+")</f>
        <v>40-46</v>
      </c>
      <c r="E612">
        <v>832300</v>
      </c>
      <c r="F612" s="1">
        <v>38366</v>
      </c>
      <c r="G612" t="s">
        <v>62</v>
      </c>
      <c r="H612" t="s">
        <v>74</v>
      </c>
      <c r="I612">
        <v>1000</v>
      </c>
      <c r="J612">
        <v>709.14</v>
      </c>
      <c r="K612">
        <v>0</v>
      </c>
      <c r="L612">
        <v>450184</v>
      </c>
      <c r="M612" t="s">
        <v>46</v>
      </c>
      <c r="N612" t="s">
        <v>129</v>
      </c>
      <c r="O612" t="s">
        <v>63</v>
      </c>
      <c r="P612" t="s">
        <v>175</v>
      </c>
      <c r="Q612" t="s">
        <v>50</v>
      </c>
      <c r="R612">
        <v>0</v>
      </c>
      <c r="S612">
        <v>0</v>
      </c>
      <c r="T612" s="1">
        <v>42047</v>
      </c>
      <c r="U612" t="s">
        <v>80</v>
      </c>
      <c r="V612" t="s">
        <v>81</v>
      </c>
      <c r="W612" t="s">
        <v>68</v>
      </c>
      <c r="X612" t="s">
        <v>104</v>
      </c>
      <c r="Y612" t="s">
        <v>82</v>
      </c>
      <c r="Z612" t="s">
        <v>161</v>
      </c>
      <c r="AA612" t="s">
        <v>794</v>
      </c>
      <c r="AB612">
        <v>3</v>
      </c>
      <c r="AC612" t="str">
        <f t="shared" si="28"/>
        <v>Night</v>
      </c>
      <c r="AD612">
        <v>3</v>
      </c>
      <c r="AE612" t="s">
        <v>84</v>
      </c>
      <c r="AF612">
        <v>1</v>
      </c>
      <c r="AG612">
        <v>0</v>
      </c>
      <c r="AH612" t="s">
        <v>84</v>
      </c>
      <c r="AI612">
        <v>54890</v>
      </c>
      <c r="AJ612">
        <v>9980</v>
      </c>
      <c r="AK612">
        <v>4990</v>
      </c>
      <c r="AL612">
        <v>39920</v>
      </c>
      <c r="AM612" t="s">
        <v>120</v>
      </c>
      <c r="AN612" t="s">
        <v>188</v>
      </c>
      <c r="AO612">
        <v>2015</v>
      </c>
      <c r="AP612">
        <v>2006</v>
      </c>
      <c r="AQ612">
        <f t="shared" si="29"/>
        <v>9</v>
      </c>
      <c r="AR612" t="s">
        <v>87</v>
      </c>
    </row>
    <row r="613" spans="1:44" x14ac:dyDescent="0.25">
      <c r="A613">
        <v>137</v>
      </c>
      <c r="B613" t="str">
        <f t="shared" si="27"/>
        <v>10+ years</v>
      </c>
      <c r="C613">
        <v>30</v>
      </c>
      <c r="D613" t="str" cm="1">
        <f t="array" ref="D613">_xlfn.IFS(C613&lt;26, "19-25", C613&lt;33, "26-32", C613&lt;40, "33-39", C613&lt;47, "40-46",C613&lt;54, "47-53", TRUE, "54+")</f>
        <v>26-32</v>
      </c>
      <c r="E613">
        <v>927205</v>
      </c>
      <c r="F613" s="1">
        <v>40893</v>
      </c>
      <c r="G613" t="s">
        <v>88</v>
      </c>
      <c r="H613" t="s">
        <v>45</v>
      </c>
      <c r="I613">
        <v>500</v>
      </c>
      <c r="J613">
        <v>1039.55</v>
      </c>
      <c r="K613">
        <v>0</v>
      </c>
      <c r="L613">
        <v>466393</v>
      </c>
      <c r="M613" t="s">
        <v>46</v>
      </c>
      <c r="N613" t="s">
        <v>47</v>
      </c>
      <c r="O613" t="s">
        <v>130</v>
      </c>
      <c r="P613" t="s">
        <v>175</v>
      </c>
      <c r="Q613" t="s">
        <v>90</v>
      </c>
      <c r="R613">
        <v>55600</v>
      </c>
      <c r="S613">
        <v>-59700</v>
      </c>
      <c r="T613" s="1">
        <v>42051</v>
      </c>
      <c r="U613" t="s">
        <v>80</v>
      </c>
      <c r="V613" t="s">
        <v>91</v>
      </c>
      <c r="W613" t="s">
        <v>68</v>
      </c>
      <c r="X613" t="s">
        <v>125</v>
      </c>
      <c r="Y613" t="s">
        <v>118</v>
      </c>
      <c r="Z613" t="s">
        <v>56</v>
      </c>
      <c r="AA613" t="s">
        <v>795</v>
      </c>
      <c r="AB613">
        <v>4</v>
      </c>
      <c r="AC613" t="str">
        <f t="shared" si="28"/>
        <v>Night</v>
      </c>
      <c r="AD613">
        <v>3</v>
      </c>
      <c r="AE613" t="s">
        <v>67</v>
      </c>
      <c r="AF613">
        <v>2</v>
      </c>
      <c r="AG613">
        <v>1</v>
      </c>
      <c r="AH613" t="s">
        <v>67</v>
      </c>
      <c r="AI613">
        <v>74030</v>
      </c>
      <c r="AJ613">
        <v>6730</v>
      </c>
      <c r="AK613">
        <v>13460</v>
      </c>
      <c r="AL613">
        <v>53840</v>
      </c>
      <c r="AM613" t="s">
        <v>94</v>
      </c>
      <c r="AN613" t="s">
        <v>95</v>
      </c>
      <c r="AO613">
        <v>2015</v>
      </c>
      <c r="AP613">
        <v>2005</v>
      </c>
      <c r="AQ613">
        <f t="shared" si="29"/>
        <v>10</v>
      </c>
      <c r="AR613" t="s">
        <v>87</v>
      </c>
    </row>
    <row r="614" spans="1:44" x14ac:dyDescent="0.25">
      <c r="A614">
        <v>56</v>
      </c>
      <c r="B614" t="str">
        <f t="shared" si="27"/>
        <v>2-5 years</v>
      </c>
      <c r="C614">
        <v>42</v>
      </c>
      <c r="D614" t="str" cm="1">
        <f t="array" ref="D614">_xlfn.IFS(C614&lt;26, "19-25", C614&lt;33, "26-32", C614&lt;40, "33-39", C614&lt;47, "40-46",C614&lt;54, "47-53", TRUE, "54+")</f>
        <v>40-46</v>
      </c>
      <c r="E614">
        <v>655356</v>
      </c>
      <c r="F614" s="1">
        <v>35253</v>
      </c>
      <c r="G614" t="s">
        <v>88</v>
      </c>
      <c r="H614" t="s">
        <v>45</v>
      </c>
      <c r="I614">
        <v>500</v>
      </c>
      <c r="J614">
        <v>1339.39</v>
      </c>
      <c r="K614">
        <v>0</v>
      </c>
      <c r="L614">
        <v>471786</v>
      </c>
      <c r="M614" t="s">
        <v>75</v>
      </c>
      <c r="N614" t="s">
        <v>97</v>
      </c>
      <c r="O614" t="s">
        <v>190</v>
      </c>
      <c r="P614" t="s">
        <v>173</v>
      </c>
      <c r="Q614" t="s">
        <v>147</v>
      </c>
      <c r="R614">
        <v>0</v>
      </c>
      <c r="S614">
        <v>0</v>
      </c>
      <c r="T614" s="1">
        <v>42060</v>
      </c>
      <c r="U614" t="s">
        <v>51</v>
      </c>
      <c r="V614" t="s">
        <v>81</v>
      </c>
      <c r="W614" t="s">
        <v>112</v>
      </c>
      <c r="X614" t="s">
        <v>125</v>
      </c>
      <c r="Y614" t="s">
        <v>82</v>
      </c>
      <c r="Z614" t="s">
        <v>56</v>
      </c>
      <c r="AA614" t="s">
        <v>796</v>
      </c>
      <c r="AB614">
        <v>13</v>
      </c>
      <c r="AC614" t="str">
        <f t="shared" si="28"/>
        <v>Afternoon</v>
      </c>
      <c r="AD614">
        <v>1</v>
      </c>
      <c r="AE614" t="s">
        <v>67</v>
      </c>
      <c r="AF614">
        <v>1</v>
      </c>
      <c r="AG614">
        <v>2</v>
      </c>
      <c r="AH614" t="s">
        <v>58</v>
      </c>
      <c r="AI614">
        <v>61490</v>
      </c>
      <c r="AJ614">
        <v>11180</v>
      </c>
      <c r="AK614">
        <v>11180</v>
      </c>
      <c r="AL614">
        <v>39130</v>
      </c>
      <c r="AM614" t="s">
        <v>192</v>
      </c>
      <c r="AN614" t="s">
        <v>208</v>
      </c>
      <c r="AO614">
        <v>2015</v>
      </c>
      <c r="AP614">
        <v>1998</v>
      </c>
      <c r="AQ614">
        <f t="shared" si="29"/>
        <v>17</v>
      </c>
      <c r="AR614" t="s">
        <v>87</v>
      </c>
    </row>
    <row r="615" spans="1:44" x14ac:dyDescent="0.25">
      <c r="A615">
        <v>75</v>
      </c>
      <c r="B615" t="str">
        <f t="shared" si="27"/>
        <v>5-10 years</v>
      </c>
      <c r="C615">
        <v>27</v>
      </c>
      <c r="D615" t="str" cm="1">
        <f t="array" ref="D615">_xlfn.IFS(C615&lt;26, "19-25", C615&lt;33, "26-32", C615&lt;40, "33-39", C615&lt;47, "40-46",C615&lt;54, "47-53", TRUE, "54+")</f>
        <v>26-32</v>
      </c>
      <c r="E615">
        <v>831053</v>
      </c>
      <c r="F615" s="1">
        <v>33821</v>
      </c>
      <c r="G615" t="s">
        <v>62</v>
      </c>
      <c r="H615" t="s">
        <v>45</v>
      </c>
      <c r="I615">
        <v>1000</v>
      </c>
      <c r="J615">
        <v>1202.75</v>
      </c>
      <c r="K615">
        <v>0</v>
      </c>
      <c r="L615">
        <v>602289</v>
      </c>
      <c r="M615" t="s">
        <v>46</v>
      </c>
      <c r="N615" t="s">
        <v>136</v>
      </c>
      <c r="O615" t="s">
        <v>164</v>
      </c>
      <c r="P615" t="s">
        <v>78</v>
      </c>
      <c r="Q615" t="s">
        <v>147</v>
      </c>
      <c r="R615">
        <v>57900</v>
      </c>
      <c r="S615">
        <v>-90100</v>
      </c>
      <c r="T615" s="1">
        <v>42025</v>
      </c>
      <c r="U615" t="s">
        <v>80</v>
      </c>
      <c r="V615" t="s">
        <v>91</v>
      </c>
      <c r="W615" t="s">
        <v>68</v>
      </c>
      <c r="X615" t="s">
        <v>54</v>
      </c>
      <c r="Y615" t="s">
        <v>55</v>
      </c>
      <c r="Z615" t="s">
        <v>161</v>
      </c>
      <c r="AA615" t="s">
        <v>797</v>
      </c>
      <c r="AB615">
        <v>23</v>
      </c>
      <c r="AC615" t="str">
        <f t="shared" si="28"/>
        <v>Evening</v>
      </c>
      <c r="AD615">
        <v>3</v>
      </c>
      <c r="AE615" t="s">
        <v>84</v>
      </c>
      <c r="AF615">
        <v>0</v>
      </c>
      <c r="AG615">
        <v>2</v>
      </c>
      <c r="AH615" t="s">
        <v>58</v>
      </c>
      <c r="AI615">
        <v>79560</v>
      </c>
      <c r="AJ615">
        <v>6630</v>
      </c>
      <c r="AK615">
        <v>13260</v>
      </c>
      <c r="AL615">
        <v>59670</v>
      </c>
      <c r="AM615" t="s">
        <v>219</v>
      </c>
      <c r="AN615" t="s">
        <v>220</v>
      </c>
      <c r="AO615">
        <v>2015</v>
      </c>
      <c r="AP615">
        <v>2003</v>
      </c>
      <c r="AQ615">
        <f t="shared" si="29"/>
        <v>12</v>
      </c>
      <c r="AR615" t="s">
        <v>87</v>
      </c>
    </row>
    <row r="616" spans="1:44" x14ac:dyDescent="0.25">
      <c r="A616">
        <v>131</v>
      </c>
      <c r="B616" t="str">
        <f t="shared" si="27"/>
        <v>10+ years</v>
      </c>
      <c r="C616">
        <v>33</v>
      </c>
      <c r="D616" t="str" cm="1">
        <f t="array" ref="D616">_xlfn.IFS(C616&lt;26, "19-25", C616&lt;33, "26-32", C616&lt;40, "33-39", C616&lt;47, "40-46",C616&lt;54, "47-53", TRUE, "54+")</f>
        <v>33-39</v>
      </c>
      <c r="E616">
        <v>432740</v>
      </c>
      <c r="F616" s="1">
        <v>33155</v>
      </c>
      <c r="G616" t="s">
        <v>88</v>
      </c>
      <c r="H616" t="s">
        <v>74</v>
      </c>
      <c r="I616">
        <v>2000</v>
      </c>
      <c r="J616">
        <v>1081.17</v>
      </c>
      <c r="K616">
        <v>0</v>
      </c>
      <c r="L616">
        <v>445120</v>
      </c>
      <c r="M616" t="s">
        <v>46</v>
      </c>
      <c r="N616" t="s">
        <v>47</v>
      </c>
      <c r="O616" t="s">
        <v>77</v>
      </c>
      <c r="P616" t="s">
        <v>160</v>
      </c>
      <c r="Q616" t="s">
        <v>124</v>
      </c>
      <c r="R616">
        <v>0</v>
      </c>
      <c r="S616">
        <v>-65200</v>
      </c>
      <c r="T616" s="1">
        <v>42032</v>
      </c>
      <c r="U616" t="s">
        <v>143</v>
      </c>
      <c r="V616" t="s">
        <v>67</v>
      </c>
      <c r="W616" t="s">
        <v>68</v>
      </c>
      <c r="X616" t="s">
        <v>54</v>
      </c>
      <c r="Y616" t="s">
        <v>82</v>
      </c>
      <c r="Z616" t="s">
        <v>132</v>
      </c>
      <c r="AA616" t="s">
        <v>798</v>
      </c>
      <c r="AB616">
        <v>3</v>
      </c>
      <c r="AC616" t="str">
        <f t="shared" si="28"/>
        <v>Night</v>
      </c>
      <c r="AD616">
        <v>1</v>
      </c>
      <c r="AE616" t="s">
        <v>67</v>
      </c>
      <c r="AF616">
        <v>0</v>
      </c>
      <c r="AG616">
        <v>1</v>
      </c>
      <c r="AH616" t="s">
        <v>84</v>
      </c>
      <c r="AI616">
        <v>4900</v>
      </c>
      <c r="AJ616">
        <v>490</v>
      </c>
      <c r="AK616">
        <v>490</v>
      </c>
      <c r="AL616">
        <v>3920</v>
      </c>
      <c r="AM616" t="s">
        <v>120</v>
      </c>
      <c r="AN616" t="s">
        <v>121</v>
      </c>
      <c r="AO616">
        <v>2015</v>
      </c>
      <c r="AP616">
        <v>2010</v>
      </c>
      <c r="AQ616">
        <f t="shared" si="29"/>
        <v>5</v>
      </c>
      <c r="AR616" t="s">
        <v>87</v>
      </c>
    </row>
    <row r="617" spans="1:44" x14ac:dyDescent="0.25">
      <c r="A617">
        <v>153</v>
      </c>
      <c r="B617" t="str">
        <f t="shared" si="27"/>
        <v>10+ years</v>
      </c>
      <c r="C617">
        <v>34</v>
      </c>
      <c r="D617" t="str" cm="1">
        <f t="array" ref="D617">_xlfn.IFS(C617&lt;26, "19-25", C617&lt;33, "26-32", C617&lt;40, "33-39", C617&lt;47, "40-46",C617&lt;54, "47-53", TRUE, "54+")</f>
        <v>33-39</v>
      </c>
      <c r="E617">
        <v>893853</v>
      </c>
      <c r="F617" s="1">
        <v>34392</v>
      </c>
      <c r="G617" t="s">
        <v>88</v>
      </c>
      <c r="H617" t="s">
        <v>45</v>
      </c>
      <c r="I617">
        <v>500</v>
      </c>
      <c r="J617">
        <v>991.39</v>
      </c>
      <c r="K617">
        <v>0</v>
      </c>
      <c r="L617">
        <v>449260</v>
      </c>
      <c r="M617" t="s">
        <v>46</v>
      </c>
      <c r="N617" t="s">
        <v>136</v>
      </c>
      <c r="O617" t="s">
        <v>102</v>
      </c>
      <c r="P617" t="s">
        <v>170</v>
      </c>
      <c r="Q617" t="s">
        <v>65</v>
      </c>
      <c r="R617">
        <v>45600</v>
      </c>
      <c r="S617">
        <v>-61400</v>
      </c>
      <c r="T617" s="1">
        <v>42062</v>
      </c>
      <c r="U617" t="s">
        <v>80</v>
      </c>
      <c r="V617" t="s">
        <v>52</v>
      </c>
      <c r="W617" t="s">
        <v>112</v>
      </c>
      <c r="X617" t="s">
        <v>125</v>
      </c>
      <c r="Y617" t="s">
        <v>118</v>
      </c>
      <c r="Z617" t="s">
        <v>107</v>
      </c>
      <c r="AA617" t="s">
        <v>799</v>
      </c>
      <c r="AB617">
        <v>0</v>
      </c>
      <c r="AC617" t="str">
        <f t="shared" si="28"/>
        <v>Night</v>
      </c>
      <c r="AD617">
        <v>3</v>
      </c>
      <c r="AE617" t="s">
        <v>67</v>
      </c>
      <c r="AF617">
        <v>1</v>
      </c>
      <c r="AG617">
        <v>0</v>
      </c>
      <c r="AH617" t="s">
        <v>84</v>
      </c>
      <c r="AI617">
        <v>77770</v>
      </c>
      <c r="AJ617">
        <v>14140</v>
      </c>
      <c r="AK617">
        <v>14140</v>
      </c>
      <c r="AL617">
        <v>49490</v>
      </c>
      <c r="AM617" t="s">
        <v>109</v>
      </c>
      <c r="AN617" t="s">
        <v>110</v>
      </c>
      <c r="AO617">
        <v>2015</v>
      </c>
      <c r="AP617">
        <v>2000</v>
      </c>
      <c r="AQ617">
        <f t="shared" si="29"/>
        <v>15</v>
      </c>
      <c r="AR617" t="s">
        <v>87</v>
      </c>
    </row>
    <row r="618" spans="1:44" x14ac:dyDescent="0.25">
      <c r="A618">
        <v>255</v>
      </c>
      <c r="B618" t="str">
        <f t="shared" si="27"/>
        <v>10+ years</v>
      </c>
      <c r="C618">
        <v>43</v>
      </c>
      <c r="D618" t="str" cm="1">
        <f t="array" ref="D618">_xlfn.IFS(C618&lt;26, "19-25", C618&lt;33, "26-32", C618&lt;40, "33-39", C618&lt;47, "40-46",C618&lt;54, "47-53", TRUE, "54+")</f>
        <v>40-46</v>
      </c>
      <c r="E618">
        <v>594988</v>
      </c>
      <c r="F618" s="1">
        <v>39208</v>
      </c>
      <c r="G618" t="s">
        <v>62</v>
      </c>
      <c r="H618" t="s">
        <v>96</v>
      </c>
      <c r="I618">
        <v>500</v>
      </c>
      <c r="J618">
        <v>984.02</v>
      </c>
      <c r="K618">
        <v>0</v>
      </c>
      <c r="L618">
        <v>472724</v>
      </c>
      <c r="M618" t="s">
        <v>75</v>
      </c>
      <c r="N618" t="s">
        <v>166</v>
      </c>
      <c r="O618" t="s">
        <v>150</v>
      </c>
      <c r="P618" t="s">
        <v>78</v>
      </c>
      <c r="Q618" t="s">
        <v>90</v>
      </c>
      <c r="R618">
        <v>75800</v>
      </c>
      <c r="S618">
        <v>0</v>
      </c>
      <c r="T618" s="1">
        <v>42045</v>
      </c>
      <c r="U618" t="s">
        <v>80</v>
      </c>
      <c r="V618" t="s">
        <v>52</v>
      </c>
      <c r="W618" t="s">
        <v>53</v>
      </c>
      <c r="X618" t="s">
        <v>104</v>
      </c>
      <c r="Y618" t="s">
        <v>55</v>
      </c>
      <c r="Z618" t="s">
        <v>56</v>
      </c>
      <c r="AA618" t="s">
        <v>800</v>
      </c>
      <c r="AB618">
        <v>14</v>
      </c>
      <c r="AC618" t="str">
        <f t="shared" si="28"/>
        <v>Afternoon</v>
      </c>
      <c r="AD618">
        <v>2</v>
      </c>
      <c r="AE618" t="s">
        <v>67</v>
      </c>
      <c r="AF618">
        <v>2</v>
      </c>
      <c r="AG618">
        <v>2</v>
      </c>
      <c r="AH618" t="s">
        <v>67</v>
      </c>
      <c r="AI618">
        <v>74700</v>
      </c>
      <c r="AJ618">
        <v>7470</v>
      </c>
      <c r="AK618">
        <v>14940</v>
      </c>
      <c r="AL618">
        <v>52290</v>
      </c>
      <c r="AM618" t="s">
        <v>109</v>
      </c>
      <c r="AN618" t="s">
        <v>156</v>
      </c>
      <c r="AO618">
        <v>2015</v>
      </c>
      <c r="AP618">
        <v>2007</v>
      </c>
      <c r="AQ618">
        <f t="shared" si="29"/>
        <v>8</v>
      </c>
      <c r="AR618" t="s">
        <v>61</v>
      </c>
    </row>
    <row r="619" spans="1:44" x14ac:dyDescent="0.25">
      <c r="A619">
        <v>103</v>
      </c>
      <c r="B619" t="str">
        <f t="shared" si="27"/>
        <v>5-10 years</v>
      </c>
      <c r="C619">
        <v>26</v>
      </c>
      <c r="D619" t="str" cm="1">
        <f t="array" ref="D619">_xlfn.IFS(C619&lt;26, "19-25", C619&lt;33, "26-32", C619&lt;40, "33-39", C619&lt;47, "40-46",C619&lt;54, "47-53", TRUE, "54+")</f>
        <v>26-32</v>
      </c>
      <c r="E619">
        <v>979544</v>
      </c>
      <c r="F619" s="1">
        <v>41750</v>
      </c>
      <c r="G619" t="s">
        <v>88</v>
      </c>
      <c r="H619" t="s">
        <v>74</v>
      </c>
      <c r="I619">
        <v>500</v>
      </c>
      <c r="J619">
        <v>1354.83</v>
      </c>
      <c r="K619">
        <v>0</v>
      </c>
      <c r="L619">
        <v>475173</v>
      </c>
      <c r="M619" t="s">
        <v>46</v>
      </c>
      <c r="N619" t="s">
        <v>47</v>
      </c>
      <c r="O619" t="s">
        <v>102</v>
      </c>
      <c r="P619" t="s">
        <v>49</v>
      </c>
      <c r="Q619" t="s">
        <v>50</v>
      </c>
      <c r="R619">
        <v>66300</v>
      </c>
      <c r="S619">
        <v>0</v>
      </c>
      <c r="T619" s="1">
        <v>42022</v>
      </c>
      <c r="U619" t="s">
        <v>80</v>
      </c>
      <c r="V619" t="s">
        <v>91</v>
      </c>
      <c r="W619" t="s">
        <v>68</v>
      </c>
      <c r="X619" t="s">
        <v>54</v>
      </c>
      <c r="Y619" t="s">
        <v>82</v>
      </c>
      <c r="Z619" t="s">
        <v>92</v>
      </c>
      <c r="AA619" t="s">
        <v>801</v>
      </c>
      <c r="AB619">
        <v>14</v>
      </c>
      <c r="AC619" t="str">
        <f t="shared" si="28"/>
        <v>Afternoon</v>
      </c>
      <c r="AD619">
        <v>2</v>
      </c>
      <c r="AE619" t="s">
        <v>84</v>
      </c>
      <c r="AF619">
        <v>2</v>
      </c>
      <c r="AG619">
        <v>2</v>
      </c>
      <c r="AH619" t="s">
        <v>67</v>
      </c>
      <c r="AI619">
        <v>40600</v>
      </c>
      <c r="AJ619">
        <v>4060</v>
      </c>
      <c r="AK619">
        <v>4060</v>
      </c>
      <c r="AL619">
        <v>32480</v>
      </c>
      <c r="AM619" t="s">
        <v>219</v>
      </c>
      <c r="AN619" t="s">
        <v>220</v>
      </c>
      <c r="AO619">
        <v>2015</v>
      </c>
      <c r="AP619">
        <v>2010</v>
      </c>
      <c r="AQ619">
        <f t="shared" si="29"/>
        <v>5</v>
      </c>
      <c r="AR619" t="s">
        <v>87</v>
      </c>
    </row>
    <row r="620" spans="1:44" x14ac:dyDescent="0.25">
      <c r="A620">
        <v>97</v>
      </c>
      <c r="B620" t="str">
        <f t="shared" si="27"/>
        <v>5-10 years</v>
      </c>
      <c r="C620">
        <v>28</v>
      </c>
      <c r="D620" t="str" cm="1">
        <f t="array" ref="D620">_xlfn.IFS(C620&lt;26, "19-25", C620&lt;33, "26-32", C620&lt;40, "33-39", C620&lt;47, "40-46",C620&lt;54, "47-53", TRUE, "54+")</f>
        <v>26-32</v>
      </c>
      <c r="E620">
        <v>191891</v>
      </c>
      <c r="F620" s="1">
        <v>40220</v>
      </c>
      <c r="G620" t="s">
        <v>44</v>
      </c>
      <c r="H620" t="s">
        <v>74</v>
      </c>
      <c r="I620">
        <v>1000</v>
      </c>
      <c r="J620">
        <v>830.31</v>
      </c>
      <c r="K620">
        <v>0</v>
      </c>
      <c r="L620">
        <v>443854</v>
      </c>
      <c r="M620" t="s">
        <v>46</v>
      </c>
      <c r="N620" t="s">
        <v>166</v>
      </c>
      <c r="O620" t="s">
        <v>194</v>
      </c>
      <c r="P620" t="s">
        <v>186</v>
      </c>
      <c r="Q620" t="s">
        <v>50</v>
      </c>
      <c r="R620">
        <v>0</v>
      </c>
      <c r="S620">
        <v>-32600</v>
      </c>
      <c r="T620" s="1">
        <v>42017</v>
      </c>
      <c r="U620" t="s">
        <v>51</v>
      </c>
      <c r="V620" t="s">
        <v>81</v>
      </c>
      <c r="W620" t="s">
        <v>112</v>
      </c>
      <c r="X620" t="s">
        <v>141</v>
      </c>
      <c r="Y620" t="s">
        <v>55</v>
      </c>
      <c r="Z620" t="s">
        <v>107</v>
      </c>
      <c r="AA620" t="s">
        <v>802</v>
      </c>
      <c r="AB620">
        <v>22</v>
      </c>
      <c r="AC620" t="str">
        <f t="shared" si="28"/>
        <v>Evening</v>
      </c>
      <c r="AD620">
        <v>1</v>
      </c>
      <c r="AE620" t="s">
        <v>67</v>
      </c>
      <c r="AF620">
        <v>1</v>
      </c>
      <c r="AG620">
        <v>0</v>
      </c>
      <c r="AH620" t="s">
        <v>67</v>
      </c>
      <c r="AI620">
        <v>45270</v>
      </c>
      <c r="AJ620">
        <v>10060</v>
      </c>
      <c r="AK620">
        <v>10060</v>
      </c>
      <c r="AL620">
        <v>25150</v>
      </c>
      <c r="AM620" t="s">
        <v>202</v>
      </c>
      <c r="AN620" t="s">
        <v>203</v>
      </c>
      <c r="AO620">
        <v>2015</v>
      </c>
      <c r="AP620">
        <v>2006</v>
      </c>
      <c r="AQ620">
        <f t="shared" si="29"/>
        <v>9</v>
      </c>
      <c r="AR620" t="s">
        <v>87</v>
      </c>
    </row>
    <row r="621" spans="1:44" x14ac:dyDescent="0.25">
      <c r="A621">
        <v>214</v>
      </c>
      <c r="B621" t="str">
        <f t="shared" si="27"/>
        <v>10+ years</v>
      </c>
      <c r="C621">
        <v>36</v>
      </c>
      <c r="D621" t="str" cm="1">
        <f t="array" ref="D621">_xlfn.IFS(C621&lt;26, "19-25", C621&lt;33, "26-32", C621&lt;40, "33-39", C621&lt;47, "40-46",C621&lt;54, "47-53", TRUE, "54+")</f>
        <v>33-39</v>
      </c>
      <c r="E621">
        <v>831479</v>
      </c>
      <c r="F621" s="1">
        <v>36681</v>
      </c>
      <c r="G621" t="s">
        <v>88</v>
      </c>
      <c r="H621" t="s">
        <v>74</v>
      </c>
      <c r="I621">
        <v>2000</v>
      </c>
      <c r="J621">
        <v>987.42</v>
      </c>
      <c r="K621">
        <v>7000000</v>
      </c>
      <c r="L621">
        <v>461418</v>
      </c>
      <c r="M621" t="s">
        <v>75</v>
      </c>
      <c r="N621" t="s">
        <v>97</v>
      </c>
      <c r="O621" t="s">
        <v>63</v>
      </c>
      <c r="P621" t="s">
        <v>175</v>
      </c>
      <c r="Q621" t="s">
        <v>79</v>
      </c>
      <c r="R621">
        <v>0</v>
      </c>
      <c r="S621">
        <v>0</v>
      </c>
      <c r="T621" s="1">
        <v>42035</v>
      </c>
      <c r="U621" t="s">
        <v>80</v>
      </c>
      <c r="V621" t="s">
        <v>91</v>
      </c>
      <c r="W621" t="s">
        <v>68</v>
      </c>
      <c r="X621" t="s">
        <v>141</v>
      </c>
      <c r="Y621" t="s">
        <v>82</v>
      </c>
      <c r="Z621" t="s">
        <v>107</v>
      </c>
      <c r="AA621" t="s">
        <v>803</v>
      </c>
      <c r="AB621">
        <v>17</v>
      </c>
      <c r="AC621" t="str">
        <f t="shared" si="28"/>
        <v>Afternoon</v>
      </c>
      <c r="AD621">
        <v>3</v>
      </c>
      <c r="AE621" t="s">
        <v>84</v>
      </c>
      <c r="AF621">
        <v>0</v>
      </c>
      <c r="AG621">
        <v>3</v>
      </c>
      <c r="AH621" t="s">
        <v>67</v>
      </c>
      <c r="AI621">
        <v>47080</v>
      </c>
      <c r="AJ621">
        <v>4280</v>
      </c>
      <c r="AK621">
        <v>8560</v>
      </c>
      <c r="AL621">
        <v>34240</v>
      </c>
      <c r="AM621" t="s">
        <v>59</v>
      </c>
      <c r="AN621">
        <v>93</v>
      </c>
      <c r="AO621">
        <v>2015</v>
      </c>
      <c r="AP621">
        <v>2006</v>
      </c>
      <c r="AQ621">
        <f t="shared" si="29"/>
        <v>9</v>
      </c>
      <c r="AR621" t="s">
        <v>87</v>
      </c>
    </row>
    <row r="622" spans="1:44" x14ac:dyDescent="0.25">
      <c r="A622">
        <v>438</v>
      </c>
      <c r="B622" t="str">
        <f t="shared" si="27"/>
        <v>10+ years</v>
      </c>
      <c r="C622">
        <v>57</v>
      </c>
      <c r="D622" t="str" cm="1">
        <f t="array" ref="D622">_xlfn.IFS(C622&lt;26, "19-25", C622&lt;33, "26-32", C622&lt;40, "33-39", C622&lt;47, "40-46",C622&lt;54, "47-53", TRUE, "54+")</f>
        <v>54+</v>
      </c>
      <c r="E622">
        <v>714346</v>
      </c>
      <c r="F622" s="1">
        <v>33516</v>
      </c>
      <c r="G622" t="s">
        <v>44</v>
      </c>
      <c r="H622" t="s">
        <v>96</v>
      </c>
      <c r="I622">
        <v>500</v>
      </c>
      <c r="J622">
        <v>1119.29</v>
      </c>
      <c r="K622">
        <v>0</v>
      </c>
      <c r="L622">
        <v>616164</v>
      </c>
      <c r="M622" t="s">
        <v>75</v>
      </c>
      <c r="N622" t="s">
        <v>47</v>
      </c>
      <c r="O622" t="s">
        <v>63</v>
      </c>
      <c r="P622" t="s">
        <v>173</v>
      </c>
      <c r="Q622" t="s">
        <v>50</v>
      </c>
      <c r="R622">
        <v>0</v>
      </c>
      <c r="S622">
        <v>0</v>
      </c>
      <c r="T622" s="1">
        <v>42019</v>
      </c>
      <c r="U622" t="s">
        <v>51</v>
      </c>
      <c r="V622" t="s">
        <v>52</v>
      </c>
      <c r="W622" t="s">
        <v>68</v>
      </c>
      <c r="X622" t="s">
        <v>54</v>
      </c>
      <c r="Y622" t="s">
        <v>55</v>
      </c>
      <c r="Z622" t="s">
        <v>127</v>
      </c>
      <c r="AA622" t="s">
        <v>804</v>
      </c>
      <c r="AB622">
        <v>14</v>
      </c>
      <c r="AC622" t="str">
        <f t="shared" si="28"/>
        <v>Afternoon</v>
      </c>
      <c r="AD622">
        <v>1</v>
      </c>
      <c r="AE622" t="s">
        <v>67</v>
      </c>
      <c r="AF622">
        <v>0</v>
      </c>
      <c r="AG622">
        <v>0</v>
      </c>
      <c r="AH622" t="s">
        <v>84</v>
      </c>
      <c r="AI622">
        <v>40700</v>
      </c>
      <c r="AJ622">
        <v>4070</v>
      </c>
      <c r="AK622">
        <v>4070</v>
      </c>
      <c r="AL622">
        <v>32560</v>
      </c>
      <c r="AM622" t="s">
        <v>219</v>
      </c>
      <c r="AN622" t="s">
        <v>220</v>
      </c>
      <c r="AO622">
        <v>2015</v>
      </c>
      <c r="AP622">
        <v>2000</v>
      </c>
      <c r="AQ622">
        <f t="shared" si="29"/>
        <v>15</v>
      </c>
      <c r="AR622" t="s">
        <v>61</v>
      </c>
    </row>
    <row r="623" spans="1:44" x14ac:dyDescent="0.25">
      <c r="A623">
        <v>87</v>
      </c>
      <c r="B623" t="str">
        <f t="shared" si="27"/>
        <v>5-10 years</v>
      </c>
      <c r="C623">
        <v>27</v>
      </c>
      <c r="D623" t="str" cm="1">
        <f t="array" ref="D623">_xlfn.IFS(C623&lt;26, "19-25", C623&lt;33, "26-32", C623&lt;40, "33-39", C623&lt;47, "40-46",C623&lt;54, "47-53", TRUE, "54+")</f>
        <v>26-32</v>
      </c>
      <c r="E623">
        <v>326289</v>
      </c>
      <c r="F623" s="1">
        <v>37989</v>
      </c>
      <c r="G623" t="s">
        <v>44</v>
      </c>
      <c r="H623" t="s">
        <v>74</v>
      </c>
      <c r="I623">
        <v>500</v>
      </c>
      <c r="J623">
        <v>1048.3900000000001</v>
      </c>
      <c r="K623">
        <v>0</v>
      </c>
      <c r="L623">
        <v>620962</v>
      </c>
      <c r="M623" t="s">
        <v>75</v>
      </c>
      <c r="N623" t="s">
        <v>129</v>
      </c>
      <c r="O623" t="s">
        <v>150</v>
      </c>
      <c r="P623" t="s">
        <v>178</v>
      </c>
      <c r="Q623" t="s">
        <v>79</v>
      </c>
      <c r="R623">
        <v>0</v>
      </c>
      <c r="S623">
        <v>0</v>
      </c>
      <c r="T623" s="1">
        <v>42048</v>
      </c>
      <c r="U623" t="s">
        <v>51</v>
      </c>
      <c r="V623" t="s">
        <v>52</v>
      </c>
      <c r="W623" t="s">
        <v>68</v>
      </c>
      <c r="X623" t="s">
        <v>54</v>
      </c>
      <c r="Y623" t="s">
        <v>82</v>
      </c>
      <c r="Z623" t="s">
        <v>70</v>
      </c>
      <c r="AA623" t="s">
        <v>805</v>
      </c>
      <c r="AB623">
        <v>2</v>
      </c>
      <c r="AC623" t="str">
        <f t="shared" si="28"/>
        <v>Night</v>
      </c>
      <c r="AD623">
        <v>1</v>
      </c>
      <c r="AE623" t="s">
        <v>67</v>
      </c>
      <c r="AF623">
        <v>2</v>
      </c>
      <c r="AG623">
        <v>1</v>
      </c>
      <c r="AH623" t="s">
        <v>58</v>
      </c>
      <c r="AI623">
        <v>34650</v>
      </c>
      <c r="AJ623">
        <v>6300</v>
      </c>
      <c r="AK623">
        <v>3150</v>
      </c>
      <c r="AL623">
        <v>25200</v>
      </c>
      <c r="AM623" t="s">
        <v>134</v>
      </c>
      <c r="AN623" t="s">
        <v>135</v>
      </c>
      <c r="AO623">
        <v>2015</v>
      </c>
      <c r="AP623">
        <v>1996</v>
      </c>
      <c r="AQ623">
        <f t="shared" si="29"/>
        <v>19</v>
      </c>
      <c r="AR623" t="s">
        <v>87</v>
      </c>
    </row>
    <row r="624" spans="1:44" x14ac:dyDescent="0.25">
      <c r="A624">
        <v>27</v>
      </c>
      <c r="B624" t="str">
        <f t="shared" si="27"/>
        <v>2-5 years</v>
      </c>
      <c r="C624">
        <v>28</v>
      </c>
      <c r="D624" t="str" cm="1">
        <f t="array" ref="D624">_xlfn.IFS(C624&lt;26, "19-25", C624&lt;33, "26-32", C624&lt;40, "33-39", C624&lt;47, "40-46",C624&lt;54, "47-53", TRUE, "54+")</f>
        <v>26-32</v>
      </c>
      <c r="E624">
        <v>944537</v>
      </c>
      <c r="F624" s="1">
        <v>33808</v>
      </c>
      <c r="G624" t="s">
        <v>44</v>
      </c>
      <c r="H624" t="s">
        <v>96</v>
      </c>
      <c r="I624">
        <v>1000</v>
      </c>
      <c r="J624">
        <v>1074.47</v>
      </c>
      <c r="K624">
        <v>0</v>
      </c>
      <c r="L624">
        <v>465201</v>
      </c>
      <c r="M624" t="s">
        <v>46</v>
      </c>
      <c r="N624" t="s">
        <v>47</v>
      </c>
      <c r="O624" t="s">
        <v>140</v>
      </c>
      <c r="P624" t="s">
        <v>123</v>
      </c>
      <c r="Q624" t="s">
        <v>124</v>
      </c>
      <c r="R624">
        <v>0</v>
      </c>
      <c r="S624">
        <v>0</v>
      </c>
      <c r="T624" s="1">
        <v>42048</v>
      </c>
      <c r="U624" t="s">
        <v>143</v>
      </c>
      <c r="V624" t="s">
        <v>67</v>
      </c>
      <c r="W624" t="s">
        <v>217</v>
      </c>
      <c r="X624" t="s">
        <v>54</v>
      </c>
      <c r="Y624" t="s">
        <v>118</v>
      </c>
      <c r="Z624" t="s">
        <v>70</v>
      </c>
      <c r="AA624" t="s">
        <v>806</v>
      </c>
      <c r="AB624">
        <v>4</v>
      </c>
      <c r="AC624" t="str">
        <f t="shared" si="28"/>
        <v>Night</v>
      </c>
      <c r="AD624">
        <v>1</v>
      </c>
      <c r="AE624" t="s">
        <v>67</v>
      </c>
      <c r="AF624">
        <v>2</v>
      </c>
      <c r="AG624">
        <v>0</v>
      </c>
      <c r="AH624" t="s">
        <v>67</v>
      </c>
      <c r="AI624">
        <v>3200</v>
      </c>
      <c r="AJ624">
        <v>400</v>
      </c>
      <c r="AK624">
        <v>400</v>
      </c>
      <c r="AL624">
        <v>2400</v>
      </c>
      <c r="AM624" t="s">
        <v>202</v>
      </c>
      <c r="AN624" t="s">
        <v>380</v>
      </c>
      <c r="AO624">
        <v>2015</v>
      </c>
      <c r="AP624">
        <v>2012</v>
      </c>
      <c r="AQ624">
        <f t="shared" si="29"/>
        <v>3</v>
      </c>
      <c r="AR624" t="s">
        <v>87</v>
      </c>
    </row>
    <row r="625" spans="1:44" x14ac:dyDescent="0.25">
      <c r="A625">
        <v>206</v>
      </c>
      <c r="B625" t="str">
        <f t="shared" si="27"/>
        <v>10+ years</v>
      </c>
      <c r="C625">
        <v>42</v>
      </c>
      <c r="D625" t="str" cm="1">
        <f t="array" ref="D625">_xlfn.IFS(C625&lt;26, "19-25", C625&lt;33, "26-32", C625&lt;40, "33-39", C625&lt;47, "40-46",C625&lt;54, "47-53", TRUE, "54+")</f>
        <v>40-46</v>
      </c>
      <c r="E625">
        <v>779156</v>
      </c>
      <c r="F625" s="1">
        <v>34252</v>
      </c>
      <c r="G625" t="s">
        <v>88</v>
      </c>
      <c r="H625" t="s">
        <v>96</v>
      </c>
      <c r="I625">
        <v>1000</v>
      </c>
      <c r="J625">
        <v>1230.76</v>
      </c>
      <c r="K625">
        <v>0</v>
      </c>
      <c r="L625">
        <v>470488</v>
      </c>
      <c r="M625" t="s">
        <v>46</v>
      </c>
      <c r="N625" t="s">
        <v>136</v>
      </c>
      <c r="O625" t="s">
        <v>63</v>
      </c>
      <c r="P625" t="s">
        <v>160</v>
      </c>
      <c r="Q625" t="s">
        <v>90</v>
      </c>
      <c r="R625">
        <v>0</v>
      </c>
      <c r="S625">
        <v>-74200</v>
      </c>
      <c r="T625" s="1">
        <v>42007</v>
      </c>
      <c r="U625" t="s">
        <v>51</v>
      </c>
      <c r="V625" t="s">
        <v>81</v>
      </c>
      <c r="W625" t="s">
        <v>53</v>
      </c>
      <c r="X625" t="s">
        <v>104</v>
      </c>
      <c r="Y625" t="s">
        <v>69</v>
      </c>
      <c r="Z625" t="s">
        <v>127</v>
      </c>
      <c r="AA625" t="s">
        <v>807</v>
      </c>
      <c r="AB625">
        <v>2</v>
      </c>
      <c r="AC625" t="str">
        <f t="shared" si="28"/>
        <v>Night</v>
      </c>
      <c r="AD625">
        <v>1</v>
      </c>
      <c r="AE625" t="s">
        <v>67</v>
      </c>
      <c r="AF625">
        <v>1</v>
      </c>
      <c r="AG625">
        <v>1</v>
      </c>
      <c r="AH625" t="s">
        <v>84</v>
      </c>
      <c r="AI625">
        <v>78980</v>
      </c>
      <c r="AJ625">
        <v>7180</v>
      </c>
      <c r="AK625">
        <v>14360</v>
      </c>
      <c r="AL625">
        <v>57440</v>
      </c>
      <c r="AM625" t="s">
        <v>59</v>
      </c>
      <c r="AN625" t="s">
        <v>60</v>
      </c>
      <c r="AO625">
        <v>2015</v>
      </c>
      <c r="AP625">
        <v>1997</v>
      </c>
      <c r="AQ625">
        <f t="shared" si="29"/>
        <v>18</v>
      </c>
      <c r="AR625" t="s">
        <v>61</v>
      </c>
    </row>
    <row r="626" spans="1:44" x14ac:dyDescent="0.25">
      <c r="A626">
        <v>127</v>
      </c>
      <c r="B626" t="str">
        <f t="shared" si="27"/>
        <v>10+ years</v>
      </c>
      <c r="C626">
        <v>31</v>
      </c>
      <c r="D626" t="str" cm="1">
        <f t="array" ref="D626">_xlfn.IFS(C626&lt;26, "19-25", C626&lt;33, "26-32", C626&lt;40, "33-39", C626&lt;47, "40-46",C626&lt;54, "47-53", TRUE, "54+")</f>
        <v>26-32</v>
      </c>
      <c r="E626">
        <v>856153</v>
      </c>
      <c r="F626" s="1">
        <v>37446</v>
      </c>
      <c r="G626" t="s">
        <v>44</v>
      </c>
      <c r="H626" t="s">
        <v>96</v>
      </c>
      <c r="I626">
        <v>500</v>
      </c>
      <c r="J626">
        <v>1255.02</v>
      </c>
      <c r="K626">
        <v>0</v>
      </c>
      <c r="L626">
        <v>462250</v>
      </c>
      <c r="M626" t="s">
        <v>46</v>
      </c>
      <c r="N626" t="s">
        <v>97</v>
      </c>
      <c r="O626" t="s">
        <v>77</v>
      </c>
      <c r="P626" t="s">
        <v>64</v>
      </c>
      <c r="Q626" t="s">
        <v>147</v>
      </c>
      <c r="R626">
        <v>58200</v>
      </c>
      <c r="S626">
        <v>0</v>
      </c>
      <c r="T626" s="1">
        <v>42017</v>
      </c>
      <c r="U626" t="s">
        <v>143</v>
      </c>
      <c r="V626" t="s">
        <v>67</v>
      </c>
      <c r="W626" t="s">
        <v>68</v>
      </c>
      <c r="X626" t="s">
        <v>98</v>
      </c>
      <c r="Y626" t="s">
        <v>55</v>
      </c>
      <c r="Z626" t="s">
        <v>70</v>
      </c>
      <c r="AA626" t="s">
        <v>808</v>
      </c>
      <c r="AB626">
        <v>10</v>
      </c>
      <c r="AC626" t="str">
        <f t="shared" si="28"/>
        <v>Morning</v>
      </c>
      <c r="AD626">
        <v>1</v>
      </c>
      <c r="AE626" t="s">
        <v>58</v>
      </c>
      <c r="AF626">
        <v>1</v>
      </c>
      <c r="AG626">
        <v>0</v>
      </c>
      <c r="AH626" t="s">
        <v>84</v>
      </c>
      <c r="AI626">
        <v>6160</v>
      </c>
      <c r="AJ626">
        <v>560</v>
      </c>
      <c r="AK626">
        <v>1120</v>
      </c>
      <c r="AL626">
        <v>4480</v>
      </c>
      <c r="AM626" t="s">
        <v>109</v>
      </c>
      <c r="AN626" t="s">
        <v>292</v>
      </c>
      <c r="AO626">
        <v>2015</v>
      </c>
      <c r="AP626">
        <v>1996</v>
      </c>
      <c r="AQ626">
        <f t="shared" si="29"/>
        <v>19</v>
      </c>
      <c r="AR626" t="s">
        <v>87</v>
      </c>
    </row>
    <row r="627" spans="1:44" x14ac:dyDescent="0.25">
      <c r="A627">
        <v>422</v>
      </c>
      <c r="B627" t="str">
        <f t="shared" si="27"/>
        <v>10+ years</v>
      </c>
      <c r="C627">
        <v>60</v>
      </c>
      <c r="D627" t="str" cm="1">
        <f t="array" ref="D627">_xlfn.IFS(C627&lt;26, "19-25", C627&lt;33, "26-32", C627&lt;40, "33-39", C627&lt;47, "40-46",C627&lt;54, "47-53", TRUE, "54+")</f>
        <v>54+</v>
      </c>
      <c r="E627">
        <v>473338</v>
      </c>
      <c r="F627" s="1">
        <v>40496</v>
      </c>
      <c r="G627" t="s">
        <v>62</v>
      </c>
      <c r="H627" t="s">
        <v>74</v>
      </c>
      <c r="I627">
        <v>1000</v>
      </c>
      <c r="J627">
        <v>1555.52</v>
      </c>
      <c r="K627">
        <v>0</v>
      </c>
      <c r="L627">
        <v>436408</v>
      </c>
      <c r="M627" t="s">
        <v>75</v>
      </c>
      <c r="N627" t="s">
        <v>47</v>
      </c>
      <c r="O627" t="s">
        <v>63</v>
      </c>
      <c r="P627" t="s">
        <v>154</v>
      </c>
      <c r="Q627" t="s">
        <v>79</v>
      </c>
      <c r="R627">
        <v>43600</v>
      </c>
      <c r="S627">
        <v>-67800</v>
      </c>
      <c r="T627" s="1">
        <v>42049</v>
      </c>
      <c r="U627" t="s">
        <v>51</v>
      </c>
      <c r="V627" t="s">
        <v>91</v>
      </c>
      <c r="W627" t="s">
        <v>53</v>
      </c>
      <c r="X627" t="s">
        <v>141</v>
      </c>
      <c r="Y627" t="s">
        <v>126</v>
      </c>
      <c r="Z627" t="s">
        <v>161</v>
      </c>
      <c r="AA627" t="s">
        <v>809</v>
      </c>
      <c r="AB627">
        <v>11</v>
      </c>
      <c r="AC627" t="str">
        <f t="shared" si="28"/>
        <v>Morning</v>
      </c>
      <c r="AD627">
        <v>1</v>
      </c>
      <c r="AE627" t="s">
        <v>58</v>
      </c>
      <c r="AF627">
        <v>1</v>
      </c>
      <c r="AG627">
        <v>1</v>
      </c>
      <c r="AH627" t="s">
        <v>84</v>
      </c>
      <c r="AI627">
        <v>85250</v>
      </c>
      <c r="AJ627">
        <v>15500</v>
      </c>
      <c r="AK627">
        <v>7750</v>
      </c>
      <c r="AL627">
        <v>62000</v>
      </c>
      <c r="AM627" t="s">
        <v>72</v>
      </c>
      <c r="AN627" t="s">
        <v>73</v>
      </c>
      <c r="AO627">
        <v>2015</v>
      </c>
      <c r="AP627">
        <v>1999</v>
      </c>
      <c r="AQ627">
        <f t="shared" si="29"/>
        <v>16</v>
      </c>
      <c r="AR627" t="s">
        <v>87</v>
      </c>
    </row>
    <row r="628" spans="1:44" x14ac:dyDescent="0.25">
      <c r="A628">
        <v>303</v>
      </c>
      <c r="B628" t="str">
        <f t="shared" si="27"/>
        <v>10+ years</v>
      </c>
      <c r="C628">
        <v>50</v>
      </c>
      <c r="D628" t="str" cm="1">
        <f t="array" ref="D628">_xlfn.IFS(C628&lt;26, "19-25", C628&lt;33, "26-32", C628&lt;40, "33-39", C628&lt;47, "40-46",C628&lt;54, "47-53", TRUE, "54+")</f>
        <v>47-53</v>
      </c>
      <c r="E628">
        <v>521694</v>
      </c>
      <c r="F628" s="1">
        <v>35492</v>
      </c>
      <c r="G628" t="s">
        <v>88</v>
      </c>
      <c r="H628" t="s">
        <v>74</v>
      </c>
      <c r="I628">
        <v>2000</v>
      </c>
      <c r="J628">
        <v>836.11</v>
      </c>
      <c r="K628">
        <v>5000000</v>
      </c>
      <c r="L628">
        <v>464230</v>
      </c>
      <c r="M628" t="s">
        <v>46</v>
      </c>
      <c r="N628" t="s">
        <v>129</v>
      </c>
      <c r="O628" t="s">
        <v>77</v>
      </c>
      <c r="P628" t="s">
        <v>123</v>
      </c>
      <c r="Q628" t="s">
        <v>147</v>
      </c>
      <c r="R628">
        <v>0</v>
      </c>
      <c r="S628">
        <v>0</v>
      </c>
      <c r="T628" s="1">
        <v>42024</v>
      </c>
      <c r="U628" t="s">
        <v>80</v>
      </c>
      <c r="V628" t="s">
        <v>52</v>
      </c>
      <c r="W628" t="s">
        <v>53</v>
      </c>
      <c r="X628" t="s">
        <v>104</v>
      </c>
      <c r="Y628" t="s">
        <v>55</v>
      </c>
      <c r="Z628" t="s">
        <v>107</v>
      </c>
      <c r="AA628" t="s">
        <v>810</v>
      </c>
      <c r="AB628">
        <v>1</v>
      </c>
      <c r="AC628" t="str">
        <f t="shared" si="28"/>
        <v>Night</v>
      </c>
      <c r="AD628">
        <v>4</v>
      </c>
      <c r="AE628" t="s">
        <v>58</v>
      </c>
      <c r="AF628">
        <v>1</v>
      </c>
      <c r="AG628">
        <v>2</v>
      </c>
      <c r="AH628" t="s">
        <v>84</v>
      </c>
      <c r="AI628">
        <v>72840</v>
      </c>
      <c r="AJ628">
        <v>12140</v>
      </c>
      <c r="AK628">
        <v>6070</v>
      </c>
      <c r="AL628">
        <v>54630</v>
      </c>
      <c r="AM628" t="s">
        <v>85</v>
      </c>
      <c r="AN628" t="s">
        <v>149</v>
      </c>
      <c r="AO628">
        <v>2015</v>
      </c>
      <c r="AP628">
        <v>2010</v>
      </c>
      <c r="AQ628">
        <f t="shared" si="29"/>
        <v>5</v>
      </c>
      <c r="AR628" t="s">
        <v>87</v>
      </c>
    </row>
    <row r="629" spans="1:44" x14ac:dyDescent="0.25">
      <c r="A629">
        <v>228</v>
      </c>
      <c r="B629" t="str">
        <f t="shared" si="27"/>
        <v>10+ years</v>
      </c>
      <c r="C629">
        <v>40</v>
      </c>
      <c r="D629" t="str" cm="1">
        <f t="array" ref="D629">_xlfn.IFS(C629&lt;26, "19-25", C629&lt;33, "26-32", C629&lt;40, "33-39", C629&lt;47, "40-46",C629&lt;54, "47-53", TRUE, "54+")</f>
        <v>40-46</v>
      </c>
      <c r="E629">
        <v>136520</v>
      </c>
      <c r="F629" s="1">
        <v>35490</v>
      </c>
      <c r="G629" t="s">
        <v>62</v>
      </c>
      <c r="H629" t="s">
        <v>74</v>
      </c>
      <c r="I629">
        <v>500</v>
      </c>
      <c r="J629">
        <v>1450.98</v>
      </c>
      <c r="K629">
        <v>0</v>
      </c>
      <c r="L629">
        <v>478609</v>
      </c>
      <c r="M629" t="s">
        <v>46</v>
      </c>
      <c r="N629" t="s">
        <v>97</v>
      </c>
      <c r="O629" t="s">
        <v>130</v>
      </c>
      <c r="P629" t="s">
        <v>111</v>
      </c>
      <c r="Q629" t="s">
        <v>50</v>
      </c>
      <c r="R629">
        <v>43700</v>
      </c>
      <c r="S629">
        <v>0</v>
      </c>
      <c r="T629" s="1">
        <v>42022</v>
      </c>
      <c r="U629" t="s">
        <v>143</v>
      </c>
      <c r="V629" t="s">
        <v>67</v>
      </c>
      <c r="W629" t="s">
        <v>217</v>
      </c>
      <c r="X629" t="s">
        <v>54</v>
      </c>
      <c r="Y629" t="s">
        <v>118</v>
      </c>
      <c r="Z629" t="s">
        <v>132</v>
      </c>
      <c r="AA629" t="s">
        <v>811</v>
      </c>
      <c r="AB629">
        <v>20</v>
      </c>
      <c r="AC629" t="str">
        <f t="shared" si="28"/>
        <v>Evening</v>
      </c>
      <c r="AD629">
        <v>1</v>
      </c>
      <c r="AE629" t="s">
        <v>67</v>
      </c>
      <c r="AF629">
        <v>0</v>
      </c>
      <c r="AG629">
        <v>2</v>
      </c>
      <c r="AH629" t="s">
        <v>84</v>
      </c>
      <c r="AI629">
        <v>6050</v>
      </c>
      <c r="AJ629">
        <v>1100</v>
      </c>
      <c r="AK629">
        <v>1100</v>
      </c>
      <c r="AL629">
        <v>3850</v>
      </c>
      <c r="AM629" t="s">
        <v>120</v>
      </c>
      <c r="AN629" t="s">
        <v>121</v>
      </c>
      <c r="AO629">
        <v>2015</v>
      </c>
      <c r="AP629">
        <v>2010</v>
      </c>
      <c r="AQ629">
        <f t="shared" si="29"/>
        <v>5</v>
      </c>
      <c r="AR629" t="s">
        <v>87</v>
      </c>
    </row>
    <row r="630" spans="1:44" x14ac:dyDescent="0.25">
      <c r="A630">
        <v>239</v>
      </c>
      <c r="B630" t="str">
        <f t="shared" si="27"/>
        <v>10+ years</v>
      </c>
      <c r="C630">
        <v>39</v>
      </c>
      <c r="D630" t="str" cm="1">
        <f t="array" ref="D630">_xlfn.IFS(C630&lt;26, "19-25", C630&lt;33, "26-32", C630&lt;40, "33-39", C630&lt;47, "40-46",C630&lt;54, "47-53", TRUE, "54+")</f>
        <v>33-39</v>
      </c>
      <c r="E630">
        <v>730819</v>
      </c>
      <c r="F630" s="1">
        <v>33103</v>
      </c>
      <c r="G630" t="s">
        <v>62</v>
      </c>
      <c r="H630" t="s">
        <v>45</v>
      </c>
      <c r="I630">
        <v>2000</v>
      </c>
      <c r="J630">
        <v>625.08000000000004</v>
      </c>
      <c r="K630">
        <v>0</v>
      </c>
      <c r="L630">
        <v>437156</v>
      </c>
      <c r="M630" t="s">
        <v>75</v>
      </c>
      <c r="N630" t="s">
        <v>166</v>
      </c>
      <c r="O630" t="s">
        <v>140</v>
      </c>
      <c r="P630" t="s">
        <v>154</v>
      </c>
      <c r="Q630" t="s">
        <v>124</v>
      </c>
      <c r="R630">
        <v>44200</v>
      </c>
      <c r="S630">
        <v>-37000</v>
      </c>
      <c r="T630" s="1">
        <v>42007</v>
      </c>
      <c r="U630" t="s">
        <v>51</v>
      </c>
      <c r="V630" t="s">
        <v>91</v>
      </c>
      <c r="W630" t="s">
        <v>53</v>
      </c>
      <c r="X630" t="s">
        <v>104</v>
      </c>
      <c r="Y630" t="s">
        <v>55</v>
      </c>
      <c r="Z630" t="s">
        <v>70</v>
      </c>
      <c r="AA630" t="s">
        <v>812</v>
      </c>
      <c r="AB630">
        <v>10</v>
      </c>
      <c r="AC630" t="str">
        <f t="shared" si="28"/>
        <v>Morning</v>
      </c>
      <c r="AD630">
        <v>1</v>
      </c>
      <c r="AE630" t="s">
        <v>84</v>
      </c>
      <c r="AF630">
        <v>2</v>
      </c>
      <c r="AG630">
        <v>3</v>
      </c>
      <c r="AH630" t="s">
        <v>58</v>
      </c>
      <c r="AI630">
        <v>87890</v>
      </c>
      <c r="AJ630">
        <v>15980</v>
      </c>
      <c r="AK630">
        <v>7990</v>
      </c>
      <c r="AL630">
        <v>63920</v>
      </c>
      <c r="AM630" t="s">
        <v>192</v>
      </c>
      <c r="AN630" t="s">
        <v>243</v>
      </c>
      <c r="AO630">
        <v>2015</v>
      </c>
      <c r="AP630">
        <v>2014</v>
      </c>
      <c r="AQ630">
        <f t="shared" si="29"/>
        <v>1</v>
      </c>
      <c r="AR630" t="s">
        <v>61</v>
      </c>
    </row>
    <row r="631" spans="1:44" x14ac:dyDescent="0.25">
      <c r="A631">
        <v>330</v>
      </c>
      <c r="B631" t="str">
        <f t="shared" si="27"/>
        <v>10+ years</v>
      </c>
      <c r="C631">
        <v>47</v>
      </c>
      <c r="D631" t="str" cm="1">
        <f t="array" ref="D631">_xlfn.IFS(C631&lt;26, "19-25", C631&lt;33, "26-32", C631&lt;40, "33-39", C631&lt;47, "40-46",C631&lt;54, "47-53", TRUE, "54+")</f>
        <v>47-53</v>
      </c>
      <c r="E631">
        <v>912665</v>
      </c>
      <c r="F631" s="1">
        <v>41787</v>
      </c>
      <c r="G631" t="s">
        <v>88</v>
      </c>
      <c r="H631" t="s">
        <v>74</v>
      </c>
      <c r="I631">
        <v>2000</v>
      </c>
      <c r="J631">
        <v>1133.27</v>
      </c>
      <c r="K631">
        <v>0</v>
      </c>
      <c r="L631">
        <v>432218</v>
      </c>
      <c r="M631" t="s">
        <v>75</v>
      </c>
      <c r="N631" t="s">
        <v>136</v>
      </c>
      <c r="O631" t="s">
        <v>48</v>
      </c>
      <c r="P631" t="s">
        <v>173</v>
      </c>
      <c r="Q631" t="s">
        <v>124</v>
      </c>
      <c r="R631">
        <v>0</v>
      </c>
      <c r="S631">
        <v>-56400</v>
      </c>
      <c r="T631" s="1">
        <v>42064</v>
      </c>
      <c r="U631" t="s">
        <v>80</v>
      </c>
      <c r="V631" t="s">
        <v>52</v>
      </c>
      <c r="W631" t="s">
        <v>112</v>
      </c>
      <c r="X631" t="s">
        <v>125</v>
      </c>
      <c r="Y631" t="s">
        <v>82</v>
      </c>
      <c r="Z631" t="s">
        <v>161</v>
      </c>
      <c r="AA631" t="s">
        <v>813</v>
      </c>
      <c r="AB631">
        <v>20</v>
      </c>
      <c r="AC631" t="str">
        <f t="shared" si="28"/>
        <v>Evening</v>
      </c>
      <c r="AD631">
        <v>2</v>
      </c>
      <c r="AE631" t="s">
        <v>67</v>
      </c>
      <c r="AF631">
        <v>0</v>
      </c>
      <c r="AG631">
        <v>2</v>
      </c>
      <c r="AH631" t="s">
        <v>58</v>
      </c>
      <c r="AI631">
        <v>60500</v>
      </c>
      <c r="AJ631">
        <v>11000</v>
      </c>
      <c r="AK631">
        <v>5500</v>
      </c>
      <c r="AL631">
        <v>44000</v>
      </c>
      <c r="AM631" t="s">
        <v>134</v>
      </c>
      <c r="AN631" t="s">
        <v>135</v>
      </c>
      <c r="AO631">
        <v>2015</v>
      </c>
      <c r="AP631">
        <v>1999</v>
      </c>
      <c r="AQ631">
        <f t="shared" si="29"/>
        <v>16</v>
      </c>
      <c r="AR631" t="s">
        <v>61</v>
      </c>
    </row>
    <row r="632" spans="1:44" x14ac:dyDescent="0.25">
      <c r="A632">
        <v>128</v>
      </c>
      <c r="B632" t="str">
        <f t="shared" si="27"/>
        <v>10+ years</v>
      </c>
      <c r="C632">
        <v>35</v>
      </c>
      <c r="D632" t="str" cm="1">
        <f t="array" ref="D632">_xlfn.IFS(C632&lt;26, "19-25", C632&lt;33, "26-32", C632&lt;40, "33-39", C632&lt;47, "40-46",C632&lt;54, "47-53", TRUE, "54+")</f>
        <v>33-39</v>
      </c>
      <c r="E632">
        <v>469966</v>
      </c>
      <c r="F632" s="1">
        <v>38190</v>
      </c>
      <c r="G632" t="s">
        <v>62</v>
      </c>
      <c r="H632" t="s">
        <v>96</v>
      </c>
      <c r="I632">
        <v>500</v>
      </c>
      <c r="J632">
        <v>1366.6</v>
      </c>
      <c r="K632">
        <v>0</v>
      </c>
      <c r="L632">
        <v>620493</v>
      </c>
      <c r="M632" t="s">
        <v>75</v>
      </c>
      <c r="N632" t="s">
        <v>47</v>
      </c>
      <c r="O632" t="s">
        <v>63</v>
      </c>
      <c r="P632" t="s">
        <v>175</v>
      </c>
      <c r="Q632" t="s">
        <v>65</v>
      </c>
      <c r="R632">
        <v>0</v>
      </c>
      <c r="S632">
        <v>0</v>
      </c>
      <c r="T632" s="1">
        <v>42005</v>
      </c>
      <c r="U632" t="s">
        <v>80</v>
      </c>
      <c r="V632" t="s">
        <v>91</v>
      </c>
      <c r="W632" t="s">
        <v>68</v>
      </c>
      <c r="X632" t="s">
        <v>104</v>
      </c>
      <c r="Y632" t="s">
        <v>82</v>
      </c>
      <c r="Z632" t="s">
        <v>56</v>
      </c>
      <c r="AA632" t="s">
        <v>814</v>
      </c>
      <c r="AB632">
        <v>10</v>
      </c>
      <c r="AC632" t="str">
        <f t="shared" si="28"/>
        <v>Morning</v>
      </c>
      <c r="AD632">
        <v>3</v>
      </c>
      <c r="AE632" t="s">
        <v>67</v>
      </c>
      <c r="AF632">
        <v>2</v>
      </c>
      <c r="AG632">
        <v>1</v>
      </c>
      <c r="AH632" t="s">
        <v>84</v>
      </c>
      <c r="AI632">
        <v>88220</v>
      </c>
      <c r="AJ632">
        <v>16040</v>
      </c>
      <c r="AK632">
        <v>16040</v>
      </c>
      <c r="AL632">
        <v>56140</v>
      </c>
      <c r="AM632" t="s">
        <v>94</v>
      </c>
      <c r="AN632" t="s">
        <v>250</v>
      </c>
      <c r="AO632">
        <v>2015</v>
      </c>
      <c r="AP632">
        <v>2008</v>
      </c>
      <c r="AQ632">
        <f t="shared" si="29"/>
        <v>7</v>
      </c>
      <c r="AR632" t="s">
        <v>87</v>
      </c>
    </row>
    <row r="633" spans="1:44" x14ac:dyDescent="0.25">
      <c r="A633">
        <v>147</v>
      </c>
      <c r="B633" t="str">
        <f t="shared" si="27"/>
        <v>10+ years</v>
      </c>
      <c r="C633">
        <v>37</v>
      </c>
      <c r="D633" t="str" cm="1">
        <f t="array" ref="D633">_xlfn.IFS(C633&lt;26, "19-25", C633&lt;33, "26-32", C633&lt;40, "33-39", C633&lt;47, "40-46",C633&lt;54, "47-53", TRUE, "54+")</f>
        <v>33-39</v>
      </c>
      <c r="E633">
        <v>952300</v>
      </c>
      <c r="F633" s="1">
        <v>40027</v>
      </c>
      <c r="G633" t="s">
        <v>44</v>
      </c>
      <c r="H633" t="s">
        <v>96</v>
      </c>
      <c r="I633">
        <v>1000</v>
      </c>
      <c r="J633">
        <v>1439.9</v>
      </c>
      <c r="K633">
        <v>6000000</v>
      </c>
      <c r="L633">
        <v>475391</v>
      </c>
      <c r="M633" t="s">
        <v>75</v>
      </c>
      <c r="N633" t="s">
        <v>97</v>
      </c>
      <c r="O633" t="s">
        <v>106</v>
      </c>
      <c r="P633" t="s">
        <v>186</v>
      </c>
      <c r="Q633" t="s">
        <v>50</v>
      </c>
      <c r="R633">
        <v>0</v>
      </c>
      <c r="S633">
        <v>-48400</v>
      </c>
      <c r="T633" s="1">
        <v>42033</v>
      </c>
      <c r="U633" t="s">
        <v>80</v>
      </c>
      <c r="V633" t="s">
        <v>81</v>
      </c>
      <c r="W633" t="s">
        <v>112</v>
      </c>
      <c r="X633" t="s">
        <v>125</v>
      </c>
      <c r="Y633" t="s">
        <v>55</v>
      </c>
      <c r="Z633" t="s">
        <v>107</v>
      </c>
      <c r="AA633" t="s">
        <v>815</v>
      </c>
      <c r="AB633">
        <v>2</v>
      </c>
      <c r="AC633" t="str">
        <f t="shared" si="28"/>
        <v>Night</v>
      </c>
      <c r="AD633">
        <v>2</v>
      </c>
      <c r="AE633" t="s">
        <v>84</v>
      </c>
      <c r="AF633">
        <v>1</v>
      </c>
      <c r="AG633">
        <v>2</v>
      </c>
      <c r="AH633" t="s">
        <v>84</v>
      </c>
      <c r="AI633">
        <v>53680</v>
      </c>
      <c r="AJ633">
        <v>9760</v>
      </c>
      <c r="AK633">
        <v>4880</v>
      </c>
      <c r="AL633">
        <v>39040</v>
      </c>
      <c r="AM633" t="s">
        <v>100</v>
      </c>
      <c r="AN633" t="s">
        <v>153</v>
      </c>
      <c r="AO633">
        <v>2015</v>
      </c>
      <c r="AP633">
        <v>2004</v>
      </c>
      <c r="AQ633">
        <f t="shared" si="29"/>
        <v>11</v>
      </c>
      <c r="AR633" t="s">
        <v>87</v>
      </c>
    </row>
    <row r="634" spans="1:44" x14ac:dyDescent="0.25">
      <c r="A634">
        <v>287</v>
      </c>
      <c r="B634" t="str">
        <f t="shared" si="27"/>
        <v>10+ years</v>
      </c>
      <c r="C634">
        <v>45</v>
      </c>
      <c r="D634" t="str" cm="1">
        <f t="array" ref="D634">_xlfn.IFS(C634&lt;26, "19-25", C634&lt;33, "26-32", C634&lt;40, "33-39", C634&lt;47, "40-46",C634&lt;54, "47-53", TRUE, "54+")</f>
        <v>40-46</v>
      </c>
      <c r="E634">
        <v>322609</v>
      </c>
      <c r="F634" s="1">
        <v>39268</v>
      </c>
      <c r="G634" t="s">
        <v>44</v>
      </c>
      <c r="H634" t="s">
        <v>96</v>
      </c>
      <c r="I634">
        <v>1000</v>
      </c>
      <c r="J634">
        <v>1230.69</v>
      </c>
      <c r="K634">
        <v>0</v>
      </c>
      <c r="L634">
        <v>440720</v>
      </c>
      <c r="M634" t="s">
        <v>46</v>
      </c>
      <c r="N634" t="s">
        <v>129</v>
      </c>
      <c r="O634" t="s">
        <v>150</v>
      </c>
      <c r="P634" t="s">
        <v>117</v>
      </c>
      <c r="Q634" t="s">
        <v>147</v>
      </c>
      <c r="R634">
        <v>0</v>
      </c>
      <c r="S634">
        <v>-54600</v>
      </c>
      <c r="T634" s="1">
        <v>42014</v>
      </c>
      <c r="U634" t="s">
        <v>51</v>
      </c>
      <c r="V634" t="s">
        <v>91</v>
      </c>
      <c r="W634" t="s">
        <v>68</v>
      </c>
      <c r="X634" t="s">
        <v>104</v>
      </c>
      <c r="Y634" t="s">
        <v>69</v>
      </c>
      <c r="Z634" t="s">
        <v>107</v>
      </c>
      <c r="AA634" t="s">
        <v>816</v>
      </c>
      <c r="AB634">
        <v>19</v>
      </c>
      <c r="AC634" t="str">
        <f t="shared" si="28"/>
        <v>Evening</v>
      </c>
      <c r="AD634">
        <v>1</v>
      </c>
      <c r="AE634" t="s">
        <v>84</v>
      </c>
      <c r="AF634">
        <v>0</v>
      </c>
      <c r="AG634">
        <v>2</v>
      </c>
      <c r="AH634" t="s">
        <v>84</v>
      </c>
      <c r="AI634">
        <v>53800</v>
      </c>
      <c r="AJ634">
        <v>5380</v>
      </c>
      <c r="AK634">
        <v>5380</v>
      </c>
      <c r="AL634">
        <v>43040</v>
      </c>
      <c r="AM634" t="s">
        <v>100</v>
      </c>
      <c r="AN634" t="s">
        <v>153</v>
      </c>
      <c r="AO634">
        <v>2015</v>
      </c>
      <c r="AP634">
        <v>2006</v>
      </c>
      <c r="AQ634">
        <f t="shared" si="29"/>
        <v>9</v>
      </c>
      <c r="AR634" t="s">
        <v>87</v>
      </c>
    </row>
    <row r="635" spans="1:44" x14ac:dyDescent="0.25">
      <c r="A635">
        <v>142</v>
      </c>
      <c r="B635" t="str">
        <f t="shared" si="27"/>
        <v>10+ years</v>
      </c>
      <c r="C635">
        <v>29</v>
      </c>
      <c r="D635" t="str" cm="1">
        <f t="array" ref="D635">_xlfn.IFS(C635&lt;26, "19-25", C635&lt;33, "26-32", C635&lt;40, "33-39", C635&lt;47, "40-46",C635&lt;54, "47-53", TRUE, "54+")</f>
        <v>26-32</v>
      </c>
      <c r="E635">
        <v>890280</v>
      </c>
      <c r="F635" s="1">
        <v>40202</v>
      </c>
      <c r="G635" t="s">
        <v>44</v>
      </c>
      <c r="H635" t="s">
        <v>74</v>
      </c>
      <c r="I635">
        <v>2000</v>
      </c>
      <c r="J635">
        <v>1307.68</v>
      </c>
      <c r="K635">
        <v>0</v>
      </c>
      <c r="L635">
        <v>606942</v>
      </c>
      <c r="M635" t="s">
        <v>75</v>
      </c>
      <c r="N635" t="s">
        <v>47</v>
      </c>
      <c r="O635" t="s">
        <v>48</v>
      </c>
      <c r="P635" t="s">
        <v>131</v>
      </c>
      <c r="Q635" t="s">
        <v>50</v>
      </c>
      <c r="R635">
        <v>0</v>
      </c>
      <c r="S635">
        <v>-48500</v>
      </c>
      <c r="T635" s="1">
        <v>42033</v>
      </c>
      <c r="U635" t="s">
        <v>51</v>
      </c>
      <c r="V635" t="s">
        <v>81</v>
      </c>
      <c r="W635" t="s">
        <v>53</v>
      </c>
      <c r="X635" t="s">
        <v>54</v>
      </c>
      <c r="Y635" t="s">
        <v>82</v>
      </c>
      <c r="Z635" t="s">
        <v>56</v>
      </c>
      <c r="AA635" t="s">
        <v>817</v>
      </c>
      <c r="AB635">
        <v>10</v>
      </c>
      <c r="AC635" t="str">
        <f t="shared" si="28"/>
        <v>Morning</v>
      </c>
      <c r="AD635">
        <v>1</v>
      </c>
      <c r="AE635" t="s">
        <v>58</v>
      </c>
      <c r="AF635">
        <v>1</v>
      </c>
      <c r="AG635">
        <v>2</v>
      </c>
      <c r="AH635" t="s">
        <v>84</v>
      </c>
      <c r="AI635">
        <v>54360</v>
      </c>
      <c r="AJ635">
        <v>4530</v>
      </c>
      <c r="AK635">
        <v>9060</v>
      </c>
      <c r="AL635">
        <v>40770</v>
      </c>
      <c r="AM635" t="s">
        <v>72</v>
      </c>
      <c r="AN635" t="s">
        <v>73</v>
      </c>
      <c r="AO635">
        <v>2015</v>
      </c>
      <c r="AP635">
        <v>1995</v>
      </c>
      <c r="AQ635">
        <f t="shared" si="29"/>
        <v>20</v>
      </c>
      <c r="AR635" t="s">
        <v>61</v>
      </c>
    </row>
    <row r="636" spans="1:44" x14ac:dyDescent="0.25">
      <c r="A636">
        <v>162</v>
      </c>
      <c r="B636" t="str">
        <f t="shared" si="27"/>
        <v>10+ years</v>
      </c>
      <c r="C636">
        <v>35</v>
      </c>
      <c r="D636" t="str" cm="1">
        <f t="array" ref="D636">_xlfn.IFS(C636&lt;26, "19-25", C636&lt;33, "26-32", C636&lt;40, "33-39", C636&lt;47, "40-46",C636&lt;54, "47-53", TRUE, "54+")</f>
        <v>33-39</v>
      </c>
      <c r="E636">
        <v>431583</v>
      </c>
      <c r="F636" s="1">
        <v>36661</v>
      </c>
      <c r="G636" t="s">
        <v>88</v>
      </c>
      <c r="H636" t="s">
        <v>96</v>
      </c>
      <c r="I636">
        <v>2000</v>
      </c>
      <c r="J636">
        <v>1124.69</v>
      </c>
      <c r="K636">
        <v>0</v>
      </c>
      <c r="L636">
        <v>446971</v>
      </c>
      <c r="M636" t="s">
        <v>75</v>
      </c>
      <c r="N636" t="s">
        <v>129</v>
      </c>
      <c r="O636" t="s">
        <v>164</v>
      </c>
      <c r="P636" t="s">
        <v>103</v>
      </c>
      <c r="Q636" t="s">
        <v>50</v>
      </c>
      <c r="R636">
        <v>0</v>
      </c>
      <c r="S636">
        <v>0</v>
      </c>
      <c r="T636" s="1">
        <v>42055</v>
      </c>
      <c r="U636" t="s">
        <v>51</v>
      </c>
      <c r="V636" t="s">
        <v>52</v>
      </c>
      <c r="W636" t="s">
        <v>53</v>
      </c>
      <c r="X636" t="s">
        <v>54</v>
      </c>
      <c r="Y636" t="s">
        <v>118</v>
      </c>
      <c r="Z636" t="s">
        <v>92</v>
      </c>
      <c r="AA636" t="s">
        <v>818</v>
      </c>
      <c r="AB636">
        <v>14</v>
      </c>
      <c r="AC636" t="str">
        <f t="shared" si="28"/>
        <v>Afternoon</v>
      </c>
      <c r="AD636">
        <v>1</v>
      </c>
      <c r="AE636" t="s">
        <v>58</v>
      </c>
      <c r="AF636">
        <v>0</v>
      </c>
      <c r="AG636">
        <v>3</v>
      </c>
      <c r="AH636" t="s">
        <v>58</v>
      </c>
      <c r="AI636">
        <v>54340</v>
      </c>
      <c r="AJ636">
        <v>9880</v>
      </c>
      <c r="AK636">
        <v>4940</v>
      </c>
      <c r="AL636">
        <v>39520</v>
      </c>
      <c r="AM636" t="s">
        <v>120</v>
      </c>
      <c r="AN636" t="s">
        <v>121</v>
      </c>
      <c r="AO636">
        <v>2015</v>
      </c>
      <c r="AP636">
        <v>2001</v>
      </c>
      <c r="AQ636">
        <f t="shared" si="29"/>
        <v>14</v>
      </c>
      <c r="AR636" t="s">
        <v>87</v>
      </c>
    </row>
    <row r="637" spans="1:44" x14ac:dyDescent="0.25">
      <c r="A637">
        <v>140</v>
      </c>
      <c r="B637" t="str">
        <f t="shared" si="27"/>
        <v>10+ years</v>
      </c>
      <c r="C637">
        <v>35</v>
      </c>
      <c r="D637" t="str" cm="1">
        <f t="array" ref="D637">_xlfn.IFS(C637&lt;26, "19-25", C637&lt;33, "26-32", C637&lt;40, "33-39", C637&lt;47, "40-46",C637&lt;54, "47-53", TRUE, "54+")</f>
        <v>33-39</v>
      </c>
      <c r="E637">
        <v>155912</v>
      </c>
      <c r="F637" s="1">
        <v>39528</v>
      </c>
      <c r="G637" t="s">
        <v>44</v>
      </c>
      <c r="H637" t="s">
        <v>74</v>
      </c>
      <c r="I637">
        <v>1000</v>
      </c>
      <c r="J637">
        <v>1520.78</v>
      </c>
      <c r="K637">
        <v>0</v>
      </c>
      <c r="L637">
        <v>470538</v>
      </c>
      <c r="M637" t="s">
        <v>75</v>
      </c>
      <c r="N637" t="s">
        <v>136</v>
      </c>
      <c r="O637" t="s">
        <v>48</v>
      </c>
      <c r="P637" t="s">
        <v>173</v>
      </c>
      <c r="Q637" t="s">
        <v>124</v>
      </c>
      <c r="R637">
        <v>0</v>
      </c>
      <c r="S637">
        <v>-42900</v>
      </c>
      <c r="T637" s="1">
        <v>42025</v>
      </c>
      <c r="U637" t="s">
        <v>143</v>
      </c>
      <c r="V637" t="s">
        <v>67</v>
      </c>
      <c r="W637" t="s">
        <v>217</v>
      </c>
      <c r="X637" t="s">
        <v>98</v>
      </c>
      <c r="Y637" t="s">
        <v>55</v>
      </c>
      <c r="Z637" t="s">
        <v>56</v>
      </c>
      <c r="AA637" t="s">
        <v>819</v>
      </c>
      <c r="AB637">
        <v>5</v>
      </c>
      <c r="AC637" t="str">
        <f t="shared" si="28"/>
        <v>Night</v>
      </c>
      <c r="AD637">
        <v>1</v>
      </c>
      <c r="AE637" t="s">
        <v>67</v>
      </c>
      <c r="AF637">
        <v>0</v>
      </c>
      <c r="AG637">
        <v>2</v>
      </c>
      <c r="AH637" t="s">
        <v>58</v>
      </c>
      <c r="AI637">
        <v>2860</v>
      </c>
      <c r="AJ637">
        <v>520</v>
      </c>
      <c r="AK637">
        <v>260</v>
      </c>
      <c r="AL637">
        <v>2080</v>
      </c>
      <c r="AM637" t="s">
        <v>94</v>
      </c>
      <c r="AN637" t="s">
        <v>95</v>
      </c>
      <c r="AO637">
        <v>2015</v>
      </c>
      <c r="AP637">
        <v>1997</v>
      </c>
      <c r="AQ637">
        <f t="shared" si="29"/>
        <v>18</v>
      </c>
      <c r="AR637" t="s">
        <v>61</v>
      </c>
    </row>
    <row r="638" spans="1:44" x14ac:dyDescent="0.25">
      <c r="A638">
        <v>106</v>
      </c>
      <c r="B638" t="str">
        <f t="shared" si="27"/>
        <v>5-10 years</v>
      </c>
      <c r="C638">
        <v>28</v>
      </c>
      <c r="D638" t="str" cm="1">
        <f t="array" ref="D638">_xlfn.IFS(C638&lt;26, "19-25", C638&lt;33, "26-32", C638&lt;40, "33-39", C638&lt;47, "40-46",C638&lt;54, "47-53", TRUE, "54+")</f>
        <v>26-32</v>
      </c>
      <c r="E638">
        <v>110143</v>
      </c>
      <c r="F638" s="1">
        <v>33000</v>
      </c>
      <c r="G638" t="s">
        <v>44</v>
      </c>
      <c r="H638" t="s">
        <v>74</v>
      </c>
      <c r="I638">
        <v>2000</v>
      </c>
      <c r="J638">
        <v>1609.11</v>
      </c>
      <c r="K638">
        <v>0</v>
      </c>
      <c r="L638">
        <v>601177</v>
      </c>
      <c r="M638" t="s">
        <v>46</v>
      </c>
      <c r="N638" t="s">
        <v>136</v>
      </c>
      <c r="O638" t="s">
        <v>48</v>
      </c>
      <c r="P638" t="s">
        <v>178</v>
      </c>
      <c r="Q638" t="s">
        <v>79</v>
      </c>
      <c r="R638">
        <v>0</v>
      </c>
      <c r="S638">
        <v>0</v>
      </c>
      <c r="T638" s="1">
        <v>42022</v>
      </c>
      <c r="U638" t="s">
        <v>66</v>
      </c>
      <c r="V638" t="s">
        <v>67</v>
      </c>
      <c r="W638" t="s">
        <v>68</v>
      </c>
      <c r="X638" t="s">
        <v>54</v>
      </c>
      <c r="Y638" t="s">
        <v>118</v>
      </c>
      <c r="Z638" t="s">
        <v>127</v>
      </c>
      <c r="AA638" t="s">
        <v>820</v>
      </c>
      <c r="AB638">
        <v>8</v>
      </c>
      <c r="AC638" t="str">
        <f t="shared" si="28"/>
        <v>Morning</v>
      </c>
      <c r="AD638">
        <v>1</v>
      </c>
      <c r="AE638" t="s">
        <v>58</v>
      </c>
      <c r="AF638">
        <v>2</v>
      </c>
      <c r="AG638">
        <v>1</v>
      </c>
      <c r="AH638" t="s">
        <v>58</v>
      </c>
      <c r="AI638">
        <v>5490</v>
      </c>
      <c r="AJ638">
        <v>0</v>
      </c>
      <c r="AK638">
        <v>1220</v>
      </c>
      <c r="AL638">
        <v>4270</v>
      </c>
      <c r="AM638" t="s">
        <v>59</v>
      </c>
      <c r="AN638">
        <v>95</v>
      </c>
      <c r="AO638">
        <v>2015</v>
      </c>
      <c r="AP638">
        <v>1999</v>
      </c>
      <c r="AQ638">
        <f t="shared" si="29"/>
        <v>16</v>
      </c>
      <c r="AR638" t="s">
        <v>87</v>
      </c>
    </row>
    <row r="639" spans="1:44" x14ac:dyDescent="0.25">
      <c r="A639">
        <v>292</v>
      </c>
      <c r="B639" t="str">
        <f t="shared" si="27"/>
        <v>10+ years</v>
      </c>
      <c r="C639">
        <v>45</v>
      </c>
      <c r="D639" t="str" cm="1">
        <f t="array" ref="D639">_xlfn.IFS(C639&lt;26, "19-25", C639&lt;33, "26-32", C639&lt;40, "33-39", C639&lt;47, "40-46",C639&lt;54, "47-53", TRUE, "54+")</f>
        <v>40-46</v>
      </c>
      <c r="E639">
        <v>808544</v>
      </c>
      <c r="F639" s="1">
        <v>33274</v>
      </c>
      <c r="G639" t="s">
        <v>88</v>
      </c>
      <c r="H639" t="s">
        <v>96</v>
      </c>
      <c r="I639">
        <v>1000</v>
      </c>
      <c r="J639">
        <v>1358.91</v>
      </c>
      <c r="K639">
        <v>0</v>
      </c>
      <c r="L639">
        <v>451470</v>
      </c>
      <c r="M639" t="s">
        <v>46</v>
      </c>
      <c r="N639" t="s">
        <v>129</v>
      </c>
      <c r="O639" t="s">
        <v>48</v>
      </c>
      <c r="P639" t="s">
        <v>131</v>
      </c>
      <c r="Q639" t="s">
        <v>90</v>
      </c>
      <c r="R639">
        <v>0</v>
      </c>
      <c r="S639">
        <v>0</v>
      </c>
      <c r="T639" s="1">
        <v>42013</v>
      </c>
      <c r="U639" t="s">
        <v>66</v>
      </c>
      <c r="V639" t="s">
        <v>67</v>
      </c>
      <c r="W639" t="s">
        <v>217</v>
      </c>
      <c r="X639" t="s">
        <v>54</v>
      </c>
      <c r="Y639" t="s">
        <v>118</v>
      </c>
      <c r="Z639" t="s">
        <v>132</v>
      </c>
      <c r="AA639" t="s">
        <v>821</v>
      </c>
      <c r="AB639">
        <v>4</v>
      </c>
      <c r="AC639" t="str">
        <f t="shared" si="28"/>
        <v>Night</v>
      </c>
      <c r="AD639">
        <v>1</v>
      </c>
      <c r="AE639" t="s">
        <v>84</v>
      </c>
      <c r="AF639">
        <v>0</v>
      </c>
      <c r="AG639">
        <v>2</v>
      </c>
      <c r="AH639" t="s">
        <v>67</v>
      </c>
      <c r="AI639">
        <v>7370</v>
      </c>
      <c r="AJ639">
        <v>670</v>
      </c>
      <c r="AK639">
        <v>1340</v>
      </c>
      <c r="AL639">
        <v>5360</v>
      </c>
      <c r="AM639" t="s">
        <v>158</v>
      </c>
      <c r="AN639" t="s">
        <v>168</v>
      </c>
      <c r="AO639">
        <v>2015</v>
      </c>
      <c r="AP639">
        <v>1997</v>
      </c>
      <c r="AQ639">
        <f t="shared" si="29"/>
        <v>18</v>
      </c>
      <c r="AR639" t="s">
        <v>87</v>
      </c>
    </row>
    <row r="640" spans="1:44" x14ac:dyDescent="0.25">
      <c r="A640">
        <v>34</v>
      </c>
      <c r="B640" t="str">
        <f t="shared" si="27"/>
        <v>2-5 years</v>
      </c>
      <c r="C640">
        <v>34</v>
      </c>
      <c r="D640" t="str" cm="1">
        <f t="array" ref="D640">_xlfn.IFS(C640&lt;26, "19-25", C640&lt;33, "26-32", C640&lt;40, "33-39", C640&lt;47, "40-46",C640&lt;54, "47-53", TRUE, "54+")</f>
        <v>33-39</v>
      </c>
      <c r="E640">
        <v>409074</v>
      </c>
      <c r="F640" s="1">
        <v>33682</v>
      </c>
      <c r="G640" t="s">
        <v>44</v>
      </c>
      <c r="H640" t="s">
        <v>96</v>
      </c>
      <c r="I640">
        <v>500</v>
      </c>
      <c r="J640">
        <v>1295.8699999999999</v>
      </c>
      <c r="K640">
        <v>0</v>
      </c>
      <c r="L640">
        <v>438529</v>
      </c>
      <c r="M640" t="s">
        <v>75</v>
      </c>
      <c r="N640" t="s">
        <v>76</v>
      </c>
      <c r="O640" t="s">
        <v>122</v>
      </c>
      <c r="P640" t="s">
        <v>173</v>
      </c>
      <c r="Q640" t="s">
        <v>50</v>
      </c>
      <c r="R640">
        <v>0</v>
      </c>
      <c r="S640">
        <v>0</v>
      </c>
      <c r="T640" s="1">
        <v>42017</v>
      </c>
      <c r="U640" t="s">
        <v>80</v>
      </c>
      <c r="V640" t="s">
        <v>52</v>
      </c>
      <c r="W640" t="s">
        <v>53</v>
      </c>
      <c r="X640" t="s">
        <v>141</v>
      </c>
      <c r="Y640" t="s">
        <v>126</v>
      </c>
      <c r="Z640" t="s">
        <v>56</v>
      </c>
      <c r="AA640" t="s">
        <v>822</v>
      </c>
      <c r="AB640">
        <v>4</v>
      </c>
      <c r="AC640" t="str">
        <f t="shared" si="28"/>
        <v>Night</v>
      </c>
      <c r="AD640">
        <v>3</v>
      </c>
      <c r="AE640" t="s">
        <v>67</v>
      </c>
      <c r="AF640">
        <v>1</v>
      </c>
      <c r="AG640">
        <v>0</v>
      </c>
      <c r="AH640" t="s">
        <v>84</v>
      </c>
      <c r="AI640">
        <v>50800</v>
      </c>
      <c r="AJ640">
        <v>5080</v>
      </c>
      <c r="AK640">
        <v>5080</v>
      </c>
      <c r="AL640">
        <v>40640</v>
      </c>
      <c r="AM640" t="s">
        <v>114</v>
      </c>
      <c r="AN640" t="s">
        <v>139</v>
      </c>
      <c r="AO640">
        <v>2015</v>
      </c>
      <c r="AP640">
        <v>1997</v>
      </c>
      <c r="AQ640">
        <f t="shared" si="29"/>
        <v>18</v>
      </c>
      <c r="AR640" t="s">
        <v>61</v>
      </c>
    </row>
    <row r="641" spans="1:44" x14ac:dyDescent="0.25">
      <c r="A641">
        <v>290</v>
      </c>
      <c r="B641" t="str">
        <f t="shared" si="27"/>
        <v>10+ years</v>
      </c>
      <c r="C641">
        <v>48</v>
      </c>
      <c r="D641" t="str" cm="1">
        <f t="array" ref="D641">_xlfn.IFS(C641&lt;26, "19-25", C641&lt;33, "26-32", C641&lt;40, "33-39", C641&lt;47, "40-46",C641&lt;54, "47-53", TRUE, "54+")</f>
        <v>47-53</v>
      </c>
      <c r="E641">
        <v>824728</v>
      </c>
      <c r="F641" s="1">
        <v>41388</v>
      </c>
      <c r="G641" t="s">
        <v>88</v>
      </c>
      <c r="H641" t="s">
        <v>45</v>
      </c>
      <c r="I641">
        <v>500</v>
      </c>
      <c r="J641">
        <v>1161.03</v>
      </c>
      <c r="K641">
        <v>5000000</v>
      </c>
      <c r="L641">
        <v>469742</v>
      </c>
      <c r="M641" t="s">
        <v>46</v>
      </c>
      <c r="N641" t="s">
        <v>97</v>
      </c>
      <c r="O641" t="s">
        <v>190</v>
      </c>
      <c r="P641" t="s">
        <v>186</v>
      </c>
      <c r="Q641" t="s">
        <v>147</v>
      </c>
      <c r="R641">
        <v>45300</v>
      </c>
      <c r="S641">
        <v>0</v>
      </c>
      <c r="T641" s="1">
        <v>42048</v>
      </c>
      <c r="U641" t="s">
        <v>80</v>
      </c>
      <c r="V641" t="s">
        <v>52</v>
      </c>
      <c r="W641" t="s">
        <v>68</v>
      </c>
      <c r="X641" t="s">
        <v>104</v>
      </c>
      <c r="Y641" t="s">
        <v>69</v>
      </c>
      <c r="Z641" t="s">
        <v>161</v>
      </c>
      <c r="AA641" t="s">
        <v>823</v>
      </c>
      <c r="AB641">
        <v>20</v>
      </c>
      <c r="AC641" t="str">
        <f t="shared" si="28"/>
        <v>Evening</v>
      </c>
      <c r="AD641">
        <v>2</v>
      </c>
      <c r="AE641" t="s">
        <v>67</v>
      </c>
      <c r="AF641">
        <v>1</v>
      </c>
      <c r="AG641">
        <v>1</v>
      </c>
      <c r="AH641" t="s">
        <v>67</v>
      </c>
      <c r="AI641">
        <v>41520</v>
      </c>
      <c r="AJ641">
        <v>5190</v>
      </c>
      <c r="AK641">
        <v>5190</v>
      </c>
      <c r="AL641">
        <v>31140</v>
      </c>
      <c r="AM641" t="s">
        <v>109</v>
      </c>
      <c r="AN641" t="s">
        <v>292</v>
      </c>
      <c r="AO641">
        <v>2015</v>
      </c>
      <c r="AP641">
        <v>2014</v>
      </c>
      <c r="AQ641">
        <f t="shared" si="29"/>
        <v>1</v>
      </c>
      <c r="AR641" t="s">
        <v>87</v>
      </c>
    </row>
    <row r="642" spans="1:44" x14ac:dyDescent="0.25">
      <c r="A642">
        <v>182</v>
      </c>
      <c r="B642" t="str">
        <f t="shared" si="27"/>
        <v>10+ years</v>
      </c>
      <c r="C642">
        <v>38</v>
      </c>
      <c r="D642" t="str" cm="1">
        <f t="array" ref="D642">_xlfn.IFS(C642&lt;26, "19-25", C642&lt;33, "26-32", C642&lt;40, "33-39", C642&lt;47, "40-46",C642&lt;54, "47-53", TRUE, "54+")</f>
        <v>33-39</v>
      </c>
      <c r="E642">
        <v>606037</v>
      </c>
      <c r="F642" s="1">
        <v>39913</v>
      </c>
      <c r="G642" t="s">
        <v>44</v>
      </c>
      <c r="H642" t="s">
        <v>96</v>
      </c>
      <c r="I642">
        <v>2000</v>
      </c>
      <c r="J642">
        <v>1441.06</v>
      </c>
      <c r="K642">
        <v>0</v>
      </c>
      <c r="L642">
        <v>435534</v>
      </c>
      <c r="M642" t="s">
        <v>75</v>
      </c>
      <c r="N642" t="s">
        <v>129</v>
      </c>
      <c r="O642" t="s">
        <v>89</v>
      </c>
      <c r="P642" t="s">
        <v>151</v>
      </c>
      <c r="Q642" t="s">
        <v>50</v>
      </c>
      <c r="R642">
        <v>53800</v>
      </c>
      <c r="S642">
        <v>-78300</v>
      </c>
      <c r="T642" s="1">
        <v>42012</v>
      </c>
      <c r="U642" t="s">
        <v>51</v>
      </c>
      <c r="V642" t="s">
        <v>52</v>
      </c>
      <c r="W642" t="s">
        <v>112</v>
      </c>
      <c r="X642" t="s">
        <v>54</v>
      </c>
      <c r="Y642" t="s">
        <v>82</v>
      </c>
      <c r="Z642" t="s">
        <v>70</v>
      </c>
      <c r="AA642" t="s">
        <v>824</v>
      </c>
      <c r="AB642">
        <v>18</v>
      </c>
      <c r="AC642" t="str">
        <f t="shared" si="28"/>
        <v>Evening</v>
      </c>
      <c r="AD642">
        <v>1</v>
      </c>
      <c r="AE642" t="s">
        <v>67</v>
      </c>
      <c r="AF642">
        <v>2</v>
      </c>
      <c r="AG642">
        <v>3</v>
      </c>
      <c r="AH642" t="s">
        <v>58</v>
      </c>
      <c r="AI642">
        <v>89650</v>
      </c>
      <c r="AJ642">
        <v>8150</v>
      </c>
      <c r="AK642">
        <v>16300</v>
      </c>
      <c r="AL642">
        <v>65200</v>
      </c>
      <c r="AM642" t="s">
        <v>85</v>
      </c>
      <c r="AN642" t="s">
        <v>86</v>
      </c>
      <c r="AO642">
        <v>2015</v>
      </c>
      <c r="AP642">
        <v>2005</v>
      </c>
      <c r="AQ642">
        <f t="shared" si="29"/>
        <v>10</v>
      </c>
      <c r="AR642" t="s">
        <v>87</v>
      </c>
    </row>
    <row r="643" spans="1:44" x14ac:dyDescent="0.25">
      <c r="A643">
        <v>362</v>
      </c>
      <c r="B643" t="str">
        <f t="shared" ref="B643:B706" si="30">IF(A643&lt;=24, "0-2 years", IF(A643&lt;=60, "2-5 years", IF(A643&lt;=120, "5-10 years", "10+ years")))</f>
        <v>10+ years</v>
      </c>
      <c r="C643">
        <v>55</v>
      </c>
      <c r="D643" t="str" cm="1">
        <f t="array" ref="D643">_xlfn.IFS(C643&lt;26, "19-25", C643&lt;33, "26-32", C643&lt;40, "33-39", C643&lt;47, "40-46",C643&lt;54, "47-53", TRUE, "54+")</f>
        <v>54+</v>
      </c>
      <c r="E643">
        <v>636843</v>
      </c>
      <c r="F643" s="1">
        <v>39783</v>
      </c>
      <c r="G643" t="s">
        <v>44</v>
      </c>
      <c r="H643" t="s">
        <v>74</v>
      </c>
      <c r="I643">
        <v>1000</v>
      </c>
      <c r="J643">
        <v>1097.99</v>
      </c>
      <c r="K643">
        <v>0</v>
      </c>
      <c r="L643">
        <v>442239</v>
      </c>
      <c r="M643" t="s">
        <v>75</v>
      </c>
      <c r="N643" t="s">
        <v>166</v>
      </c>
      <c r="O643" t="s">
        <v>116</v>
      </c>
      <c r="P643" t="s">
        <v>111</v>
      </c>
      <c r="Q643" t="s">
        <v>90</v>
      </c>
      <c r="R643">
        <v>44400</v>
      </c>
      <c r="S643">
        <v>-71500</v>
      </c>
      <c r="T643" s="1">
        <v>42052</v>
      </c>
      <c r="U643" t="s">
        <v>80</v>
      </c>
      <c r="V643" t="s">
        <v>81</v>
      </c>
      <c r="W643" t="s">
        <v>112</v>
      </c>
      <c r="X643" t="s">
        <v>54</v>
      </c>
      <c r="Y643" t="s">
        <v>82</v>
      </c>
      <c r="Z643" t="s">
        <v>127</v>
      </c>
      <c r="AA643" t="s">
        <v>825</v>
      </c>
      <c r="AB643">
        <v>0</v>
      </c>
      <c r="AC643" t="str">
        <f t="shared" ref="AC643:AC706" si="31">IF(AB643&lt;6, "Night", IF(AB643&lt;12, "Morning", IF(AB643&lt;18, "Afternoon", "Evening")))</f>
        <v>Night</v>
      </c>
      <c r="AD643">
        <v>3</v>
      </c>
      <c r="AE643" t="s">
        <v>84</v>
      </c>
      <c r="AF643">
        <v>0</v>
      </c>
      <c r="AG643">
        <v>3</v>
      </c>
      <c r="AH643" t="s">
        <v>84</v>
      </c>
      <c r="AI643">
        <v>39690</v>
      </c>
      <c r="AJ643">
        <v>0</v>
      </c>
      <c r="AK643">
        <v>0</v>
      </c>
      <c r="AL643">
        <v>39690</v>
      </c>
      <c r="AM643" t="s">
        <v>158</v>
      </c>
      <c r="AN643" t="s">
        <v>159</v>
      </c>
      <c r="AO643">
        <v>2015</v>
      </c>
      <c r="AP643">
        <v>1998</v>
      </c>
      <c r="AQ643">
        <f t="shared" ref="AQ643:AQ706" si="32">AO643-AP643</f>
        <v>17</v>
      </c>
      <c r="AR643" t="s">
        <v>87</v>
      </c>
    </row>
    <row r="644" spans="1:44" x14ac:dyDescent="0.25">
      <c r="A644">
        <v>143</v>
      </c>
      <c r="B644" t="str">
        <f t="shared" si="30"/>
        <v>10+ years</v>
      </c>
      <c r="C644">
        <v>32</v>
      </c>
      <c r="D644" t="str" cm="1">
        <f t="array" ref="D644">_xlfn.IFS(C644&lt;26, "19-25", C644&lt;33, "26-32", C644&lt;40, "33-39", C644&lt;47, "40-46",C644&lt;54, "47-53", TRUE, "54+")</f>
        <v>26-32</v>
      </c>
      <c r="E644">
        <v>111874</v>
      </c>
      <c r="F644" s="1">
        <v>36712</v>
      </c>
      <c r="G644" t="s">
        <v>88</v>
      </c>
      <c r="H644" t="s">
        <v>96</v>
      </c>
      <c r="I644">
        <v>1000</v>
      </c>
      <c r="J644">
        <v>1464.42</v>
      </c>
      <c r="K644">
        <v>0</v>
      </c>
      <c r="L644">
        <v>468986</v>
      </c>
      <c r="M644" t="s">
        <v>75</v>
      </c>
      <c r="N644" t="s">
        <v>136</v>
      </c>
      <c r="O644" t="s">
        <v>130</v>
      </c>
      <c r="P644" t="s">
        <v>117</v>
      </c>
      <c r="Q644" t="s">
        <v>50</v>
      </c>
      <c r="R644">
        <v>79900</v>
      </c>
      <c r="S644">
        <v>0</v>
      </c>
      <c r="T644" s="1">
        <v>42019</v>
      </c>
      <c r="U644" t="s">
        <v>51</v>
      </c>
      <c r="V644" t="s">
        <v>81</v>
      </c>
      <c r="W644" t="s">
        <v>53</v>
      </c>
      <c r="X644" t="s">
        <v>141</v>
      </c>
      <c r="Y644" t="s">
        <v>55</v>
      </c>
      <c r="Z644" t="s">
        <v>107</v>
      </c>
      <c r="AA644" t="s">
        <v>826</v>
      </c>
      <c r="AB644">
        <v>1</v>
      </c>
      <c r="AC644" t="str">
        <f t="shared" si="31"/>
        <v>Night</v>
      </c>
      <c r="AD644">
        <v>1</v>
      </c>
      <c r="AE644" t="s">
        <v>67</v>
      </c>
      <c r="AF644">
        <v>2</v>
      </c>
      <c r="AG644">
        <v>0</v>
      </c>
      <c r="AH644" t="s">
        <v>84</v>
      </c>
      <c r="AI644">
        <v>62260</v>
      </c>
      <c r="AJ644">
        <v>5660</v>
      </c>
      <c r="AK644">
        <v>5660</v>
      </c>
      <c r="AL644">
        <v>50940</v>
      </c>
      <c r="AM644" t="s">
        <v>59</v>
      </c>
      <c r="AN644" t="s">
        <v>60</v>
      </c>
      <c r="AO644">
        <v>2015</v>
      </c>
      <c r="AP644">
        <v>1995</v>
      </c>
      <c r="AQ644">
        <f t="shared" si="32"/>
        <v>20</v>
      </c>
      <c r="AR644" t="s">
        <v>87</v>
      </c>
    </row>
    <row r="645" spans="1:44" x14ac:dyDescent="0.25">
      <c r="A645">
        <v>183</v>
      </c>
      <c r="B645" t="str">
        <f t="shared" si="30"/>
        <v>10+ years</v>
      </c>
      <c r="C645">
        <v>38</v>
      </c>
      <c r="D645" t="str" cm="1">
        <f t="array" ref="D645">_xlfn.IFS(C645&lt;26, "19-25", C645&lt;33, "26-32", C645&lt;40, "33-39", C645&lt;47, "40-46",C645&lt;54, "47-53", TRUE, "54+")</f>
        <v>33-39</v>
      </c>
      <c r="E645">
        <v>439844</v>
      </c>
      <c r="F645" s="1">
        <v>41801</v>
      </c>
      <c r="G645" t="s">
        <v>88</v>
      </c>
      <c r="H645" t="s">
        <v>45</v>
      </c>
      <c r="I645">
        <v>500</v>
      </c>
      <c r="J645">
        <v>1543.68</v>
      </c>
      <c r="K645">
        <v>0</v>
      </c>
      <c r="L645">
        <v>606988</v>
      </c>
      <c r="M645" t="s">
        <v>75</v>
      </c>
      <c r="N645" t="s">
        <v>129</v>
      </c>
      <c r="O645" t="s">
        <v>106</v>
      </c>
      <c r="P645" t="s">
        <v>170</v>
      </c>
      <c r="Q645" t="s">
        <v>147</v>
      </c>
      <c r="R645">
        <v>20200</v>
      </c>
      <c r="S645">
        <v>0</v>
      </c>
      <c r="T645" s="1">
        <v>42028</v>
      </c>
      <c r="U645" t="s">
        <v>51</v>
      </c>
      <c r="V645" t="s">
        <v>52</v>
      </c>
      <c r="W645" t="s">
        <v>53</v>
      </c>
      <c r="X645" t="s">
        <v>54</v>
      </c>
      <c r="Y645" t="s">
        <v>126</v>
      </c>
      <c r="Z645" t="s">
        <v>127</v>
      </c>
      <c r="AA645" t="s">
        <v>827</v>
      </c>
      <c r="AB645">
        <v>17</v>
      </c>
      <c r="AC645" t="str">
        <f t="shared" si="31"/>
        <v>Afternoon</v>
      </c>
      <c r="AD645">
        <v>1</v>
      </c>
      <c r="AE645" t="s">
        <v>84</v>
      </c>
      <c r="AF645">
        <v>0</v>
      </c>
      <c r="AG645">
        <v>1</v>
      </c>
      <c r="AH645" t="s">
        <v>58</v>
      </c>
      <c r="AI645">
        <v>51920</v>
      </c>
      <c r="AJ645">
        <v>9440</v>
      </c>
      <c r="AK645">
        <v>4720</v>
      </c>
      <c r="AL645">
        <v>37760</v>
      </c>
      <c r="AM645" t="s">
        <v>114</v>
      </c>
      <c r="AN645" t="s">
        <v>139</v>
      </c>
      <c r="AO645">
        <v>2015</v>
      </c>
      <c r="AP645">
        <v>2001</v>
      </c>
      <c r="AQ645">
        <f t="shared" si="32"/>
        <v>14</v>
      </c>
      <c r="AR645" t="s">
        <v>61</v>
      </c>
    </row>
    <row r="646" spans="1:44" x14ac:dyDescent="0.25">
      <c r="A646">
        <v>254</v>
      </c>
      <c r="B646" t="str">
        <f t="shared" si="30"/>
        <v>10+ years</v>
      </c>
      <c r="C646">
        <v>40</v>
      </c>
      <c r="D646" t="str" cm="1">
        <f t="array" ref="D646">_xlfn.IFS(C646&lt;26, "19-25", C646&lt;33, "26-32", C646&lt;40, "33-39", C646&lt;47, "40-46",C646&lt;54, "47-53", TRUE, "54+")</f>
        <v>40-46</v>
      </c>
      <c r="E646">
        <v>463513</v>
      </c>
      <c r="F646" s="1">
        <v>34812</v>
      </c>
      <c r="G646" t="s">
        <v>88</v>
      </c>
      <c r="H646" t="s">
        <v>45</v>
      </c>
      <c r="I646">
        <v>500</v>
      </c>
      <c r="J646">
        <v>1390.89</v>
      </c>
      <c r="K646">
        <v>5000000</v>
      </c>
      <c r="L646">
        <v>453719</v>
      </c>
      <c r="M646" t="s">
        <v>46</v>
      </c>
      <c r="N646" t="s">
        <v>146</v>
      </c>
      <c r="O646" t="s">
        <v>89</v>
      </c>
      <c r="P646" t="s">
        <v>103</v>
      </c>
      <c r="Q646" t="s">
        <v>124</v>
      </c>
      <c r="R646">
        <v>0</v>
      </c>
      <c r="S646">
        <v>-74400</v>
      </c>
      <c r="T646" s="1">
        <v>42063</v>
      </c>
      <c r="U646" t="s">
        <v>51</v>
      </c>
      <c r="V646" t="s">
        <v>91</v>
      </c>
      <c r="W646" t="s">
        <v>68</v>
      </c>
      <c r="X646" t="s">
        <v>125</v>
      </c>
      <c r="Y646" t="s">
        <v>82</v>
      </c>
      <c r="Z646" t="s">
        <v>70</v>
      </c>
      <c r="AA646" t="s">
        <v>828</v>
      </c>
      <c r="AB646">
        <v>23</v>
      </c>
      <c r="AC646" t="str">
        <f t="shared" si="31"/>
        <v>Evening</v>
      </c>
      <c r="AD646">
        <v>1</v>
      </c>
      <c r="AE646" t="s">
        <v>67</v>
      </c>
      <c r="AF646">
        <v>2</v>
      </c>
      <c r="AG646">
        <v>2</v>
      </c>
      <c r="AH646" t="s">
        <v>67</v>
      </c>
      <c r="AI646">
        <v>53460</v>
      </c>
      <c r="AJ646">
        <v>9720</v>
      </c>
      <c r="AK646">
        <v>4860</v>
      </c>
      <c r="AL646">
        <v>38880</v>
      </c>
      <c r="AM646" t="s">
        <v>219</v>
      </c>
      <c r="AN646" t="s">
        <v>263</v>
      </c>
      <c r="AO646">
        <v>2015</v>
      </c>
      <c r="AP646">
        <v>2009</v>
      </c>
      <c r="AQ646">
        <f t="shared" si="32"/>
        <v>6</v>
      </c>
      <c r="AR646" t="s">
        <v>87</v>
      </c>
    </row>
    <row r="647" spans="1:44" x14ac:dyDescent="0.25">
      <c r="A647">
        <v>249</v>
      </c>
      <c r="B647" t="str">
        <f t="shared" si="30"/>
        <v>10+ years</v>
      </c>
      <c r="C647">
        <v>43</v>
      </c>
      <c r="D647" t="str" cm="1">
        <f t="array" ref="D647">_xlfn.IFS(C647&lt;26, "19-25", C647&lt;33, "26-32", C647&lt;40, "33-39", C647&lt;47, "40-46",C647&lt;54, "47-53", TRUE, "54+")</f>
        <v>40-46</v>
      </c>
      <c r="E647">
        <v>577858</v>
      </c>
      <c r="F647" s="1">
        <v>33132</v>
      </c>
      <c r="G647" t="s">
        <v>44</v>
      </c>
      <c r="H647" t="s">
        <v>74</v>
      </c>
      <c r="I647">
        <v>2000</v>
      </c>
      <c r="J647">
        <v>1148.58</v>
      </c>
      <c r="K647">
        <v>0</v>
      </c>
      <c r="L647">
        <v>475524</v>
      </c>
      <c r="M647" t="s">
        <v>75</v>
      </c>
      <c r="N647" t="s">
        <v>47</v>
      </c>
      <c r="O647" t="s">
        <v>190</v>
      </c>
      <c r="P647" t="s">
        <v>117</v>
      </c>
      <c r="Q647" t="s">
        <v>147</v>
      </c>
      <c r="R647">
        <v>0</v>
      </c>
      <c r="S647">
        <v>-71200</v>
      </c>
      <c r="T647" s="1">
        <v>42051</v>
      </c>
      <c r="U647" t="s">
        <v>80</v>
      </c>
      <c r="V647" t="s">
        <v>81</v>
      </c>
      <c r="W647" t="s">
        <v>112</v>
      </c>
      <c r="X647" t="s">
        <v>104</v>
      </c>
      <c r="Y647" t="s">
        <v>55</v>
      </c>
      <c r="Z647" t="s">
        <v>92</v>
      </c>
      <c r="AA647" t="s">
        <v>829</v>
      </c>
      <c r="AB647">
        <v>4</v>
      </c>
      <c r="AC647" t="str">
        <f t="shared" si="31"/>
        <v>Night</v>
      </c>
      <c r="AD647">
        <v>3</v>
      </c>
      <c r="AE647" t="s">
        <v>58</v>
      </c>
      <c r="AF647">
        <v>2</v>
      </c>
      <c r="AG647">
        <v>1</v>
      </c>
      <c r="AH647" t="s">
        <v>58</v>
      </c>
      <c r="AI647">
        <v>57100</v>
      </c>
      <c r="AJ647">
        <v>5710</v>
      </c>
      <c r="AK647">
        <v>5710</v>
      </c>
      <c r="AL647">
        <v>45680</v>
      </c>
      <c r="AM647" t="s">
        <v>214</v>
      </c>
      <c r="AN647" t="s">
        <v>230</v>
      </c>
      <c r="AO647">
        <v>2015</v>
      </c>
      <c r="AP647">
        <v>2014</v>
      </c>
      <c r="AQ647">
        <f t="shared" si="32"/>
        <v>1</v>
      </c>
      <c r="AR647" t="s">
        <v>87</v>
      </c>
    </row>
    <row r="648" spans="1:44" x14ac:dyDescent="0.25">
      <c r="A648">
        <v>169</v>
      </c>
      <c r="B648" t="str">
        <f t="shared" si="30"/>
        <v>10+ years</v>
      </c>
      <c r="C648">
        <v>36</v>
      </c>
      <c r="D648" t="str" cm="1">
        <f t="array" ref="D648">_xlfn.IFS(C648&lt;26, "19-25", C648&lt;33, "26-32", C648&lt;40, "33-39", C648&lt;47, "40-46",C648&lt;54, "47-53", TRUE, "54+")</f>
        <v>33-39</v>
      </c>
      <c r="E648">
        <v>607351</v>
      </c>
      <c r="F648" s="1">
        <v>36140</v>
      </c>
      <c r="G648" t="s">
        <v>62</v>
      </c>
      <c r="H648" t="s">
        <v>45</v>
      </c>
      <c r="I648">
        <v>500</v>
      </c>
      <c r="J648">
        <v>1616.26</v>
      </c>
      <c r="K648">
        <v>0</v>
      </c>
      <c r="L648">
        <v>617804</v>
      </c>
      <c r="M648" t="s">
        <v>46</v>
      </c>
      <c r="N648" t="s">
        <v>136</v>
      </c>
      <c r="O648" t="s">
        <v>130</v>
      </c>
      <c r="P648" t="s">
        <v>160</v>
      </c>
      <c r="Q648" t="s">
        <v>90</v>
      </c>
      <c r="R648">
        <v>50700</v>
      </c>
      <c r="S648">
        <v>-57600</v>
      </c>
      <c r="T648" s="1">
        <v>42044</v>
      </c>
      <c r="U648" t="s">
        <v>80</v>
      </c>
      <c r="V648" t="s">
        <v>91</v>
      </c>
      <c r="W648" t="s">
        <v>112</v>
      </c>
      <c r="X648" t="s">
        <v>141</v>
      </c>
      <c r="Y648" t="s">
        <v>82</v>
      </c>
      <c r="Z648" t="s">
        <v>107</v>
      </c>
      <c r="AA648" t="s">
        <v>830</v>
      </c>
      <c r="AB648">
        <v>0</v>
      </c>
      <c r="AC648" t="str">
        <f t="shared" si="31"/>
        <v>Night</v>
      </c>
      <c r="AD648">
        <v>3</v>
      </c>
      <c r="AE648" t="s">
        <v>84</v>
      </c>
      <c r="AF648">
        <v>2</v>
      </c>
      <c r="AG648">
        <v>3</v>
      </c>
      <c r="AH648" t="s">
        <v>67</v>
      </c>
      <c r="AI648">
        <v>77440</v>
      </c>
      <c r="AJ648">
        <v>14080</v>
      </c>
      <c r="AK648">
        <v>7040</v>
      </c>
      <c r="AL648">
        <v>56320</v>
      </c>
      <c r="AM648" t="s">
        <v>85</v>
      </c>
      <c r="AN648" t="s">
        <v>149</v>
      </c>
      <c r="AO648">
        <v>2015</v>
      </c>
      <c r="AP648">
        <v>2004</v>
      </c>
      <c r="AQ648">
        <f t="shared" si="32"/>
        <v>11</v>
      </c>
      <c r="AR648" t="s">
        <v>87</v>
      </c>
    </row>
    <row r="649" spans="1:44" x14ac:dyDescent="0.25">
      <c r="A649">
        <v>235</v>
      </c>
      <c r="B649" t="str">
        <f t="shared" si="30"/>
        <v>10+ years</v>
      </c>
      <c r="C649">
        <v>40</v>
      </c>
      <c r="D649" t="str" cm="1">
        <f t="array" ref="D649">_xlfn.IFS(C649&lt;26, "19-25", C649&lt;33, "26-32", C649&lt;40, "33-39", C649&lt;47, "40-46",C649&lt;54, "47-53", TRUE, "54+")</f>
        <v>40-46</v>
      </c>
      <c r="E649">
        <v>682754</v>
      </c>
      <c r="F649" s="1">
        <v>34981</v>
      </c>
      <c r="G649" t="s">
        <v>88</v>
      </c>
      <c r="H649" t="s">
        <v>96</v>
      </c>
      <c r="I649">
        <v>500</v>
      </c>
      <c r="J649">
        <v>1398.94</v>
      </c>
      <c r="K649">
        <v>0</v>
      </c>
      <c r="L649">
        <v>613399</v>
      </c>
      <c r="M649" t="s">
        <v>46</v>
      </c>
      <c r="N649" t="s">
        <v>146</v>
      </c>
      <c r="O649" t="s">
        <v>48</v>
      </c>
      <c r="P649" t="s">
        <v>103</v>
      </c>
      <c r="Q649" t="s">
        <v>50</v>
      </c>
      <c r="R649">
        <v>0</v>
      </c>
      <c r="S649">
        <v>0</v>
      </c>
      <c r="T649" s="1">
        <v>42028</v>
      </c>
      <c r="U649" t="s">
        <v>51</v>
      </c>
      <c r="V649" t="s">
        <v>52</v>
      </c>
      <c r="W649" t="s">
        <v>68</v>
      </c>
      <c r="X649" t="s">
        <v>141</v>
      </c>
      <c r="Y649" t="s">
        <v>82</v>
      </c>
      <c r="Z649" t="s">
        <v>70</v>
      </c>
      <c r="AA649" t="s">
        <v>831</v>
      </c>
      <c r="AB649">
        <v>11</v>
      </c>
      <c r="AC649" t="str">
        <f t="shared" si="31"/>
        <v>Morning</v>
      </c>
      <c r="AD649">
        <v>1</v>
      </c>
      <c r="AE649" t="s">
        <v>84</v>
      </c>
      <c r="AF649">
        <v>1</v>
      </c>
      <c r="AG649">
        <v>2</v>
      </c>
      <c r="AH649" t="s">
        <v>84</v>
      </c>
      <c r="AI649">
        <v>68300</v>
      </c>
      <c r="AJ649">
        <v>6830</v>
      </c>
      <c r="AK649">
        <v>13660</v>
      </c>
      <c r="AL649">
        <v>47810</v>
      </c>
      <c r="AM649" t="s">
        <v>158</v>
      </c>
      <c r="AN649" t="s">
        <v>172</v>
      </c>
      <c r="AO649">
        <v>2015</v>
      </c>
      <c r="AP649">
        <v>2003</v>
      </c>
      <c r="AQ649">
        <f t="shared" si="32"/>
        <v>12</v>
      </c>
      <c r="AR649" t="s">
        <v>87</v>
      </c>
    </row>
    <row r="650" spans="1:44" x14ac:dyDescent="0.25">
      <c r="A650">
        <v>112</v>
      </c>
      <c r="B650" t="str">
        <f t="shared" si="30"/>
        <v>5-10 years</v>
      </c>
      <c r="C650">
        <v>32</v>
      </c>
      <c r="D650" t="str" cm="1">
        <f t="array" ref="D650">_xlfn.IFS(C650&lt;26, "19-25", C650&lt;33, "26-32", C650&lt;40, "33-39", C650&lt;47, "40-46",C650&lt;54, "47-53", TRUE, "54+")</f>
        <v>26-32</v>
      </c>
      <c r="E650">
        <v>757352</v>
      </c>
      <c r="F650" s="1">
        <v>36515</v>
      </c>
      <c r="G650" t="s">
        <v>44</v>
      </c>
      <c r="H650" t="s">
        <v>96</v>
      </c>
      <c r="I650">
        <v>1000</v>
      </c>
      <c r="J650">
        <v>1238.92</v>
      </c>
      <c r="K650">
        <v>0</v>
      </c>
      <c r="L650">
        <v>453400</v>
      </c>
      <c r="M650" t="s">
        <v>46</v>
      </c>
      <c r="N650" t="s">
        <v>97</v>
      </c>
      <c r="O650" t="s">
        <v>116</v>
      </c>
      <c r="P650" t="s">
        <v>111</v>
      </c>
      <c r="Q650" t="s">
        <v>65</v>
      </c>
      <c r="R650">
        <v>57800</v>
      </c>
      <c r="S650">
        <v>-53700</v>
      </c>
      <c r="T650" s="1">
        <v>42046</v>
      </c>
      <c r="U650" t="s">
        <v>143</v>
      </c>
      <c r="V650" t="s">
        <v>67</v>
      </c>
      <c r="W650" t="s">
        <v>217</v>
      </c>
      <c r="X650" t="s">
        <v>98</v>
      </c>
      <c r="Y650" t="s">
        <v>82</v>
      </c>
      <c r="Z650" t="s">
        <v>92</v>
      </c>
      <c r="AA650" t="s">
        <v>832</v>
      </c>
      <c r="AB650">
        <v>4</v>
      </c>
      <c r="AC650" t="str">
        <f t="shared" si="31"/>
        <v>Night</v>
      </c>
      <c r="AD650">
        <v>1</v>
      </c>
      <c r="AE650" t="s">
        <v>67</v>
      </c>
      <c r="AF650">
        <v>0</v>
      </c>
      <c r="AG650">
        <v>2</v>
      </c>
      <c r="AH650" t="s">
        <v>67</v>
      </c>
      <c r="AI650">
        <v>5060</v>
      </c>
      <c r="AJ650">
        <v>460</v>
      </c>
      <c r="AK650">
        <v>920</v>
      </c>
      <c r="AL650">
        <v>3680</v>
      </c>
      <c r="AM650" t="s">
        <v>214</v>
      </c>
      <c r="AN650" t="s">
        <v>230</v>
      </c>
      <c r="AO650">
        <v>2015</v>
      </c>
      <c r="AP650">
        <v>2012</v>
      </c>
      <c r="AQ650">
        <f t="shared" si="32"/>
        <v>3</v>
      </c>
      <c r="AR650" t="s">
        <v>87</v>
      </c>
    </row>
    <row r="651" spans="1:44" x14ac:dyDescent="0.25">
      <c r="A651">
        <v>16</v>
      </c>
      <c r="B651" t="str">
        <f t="shared" si="30"/>
        <v>0-2 years</v>
      </c>
      <c r="C651">
        <v>32</v>
      </c>
      <c r="D651" t="str" cm="1">
        <f t="array" ref="D651">_xlfn.IFS(C651&lt;26, "19-25", C651&lt;33, "26-32", C651&lt;40, "33-39", C651&lt;47, "40-46",C651&lt;54, "47-53", TRUE, "54+")</f>
        <v>26-32</v>
      </c>
      <c r="E651">
        <v>307469</v>
      </c>
      <c r="F651" s="1">
        <v>37465</v>
      </c>
      <c r="G651" t="s">
        <v>88</v>
      </c>
      <c r="H651" t="s">
        <v>74</v>
      </c>
      <c r="I651">
        <v>1000</v>
      </c>
      <c r="J651">
        <v>968.46</v>
      </c>
      <c r="K651">
        <v>0</v>
      </c>
      <c r="L651">
        <v>615767</v>
      </c>
      <c r="M651" t="s">
        <v>46</v>
      </c>
      <c r="N651" t="s">
        <v>47</v>
      </c>
      <c r="O651" t="s">
        <v>102</v>
      </c>
      <c r="P651" t="s">
        <v>173</v>
      </c>
      <c r="Q651" t="s">
        <v>147</v>
      </c>
      <c r="R651">
        <v>50800</v>
      </c>
      <c r="S651">
        <v>-66200</v>
      </c>
      <c r="T651" s="1">
        <v>42031</v>
      </c>
      <c r="U651" t="s">
        <v>80</v>
      </c>
      <c r="V651" t="s">
        <v>52</v>
      </c>
      <c r="W651" t="s">
        <v>112</v>
      </c>
      <c r="X651" t="s">
        <v>141</v>
      </c>
      <c r="Y651" t="s">
        <v>118</v>
      </c>
      <c r="Z651" t="s">
        <v>56</v>
      </c>
      <c r="AA651" t="s">
        <v>833</v>
      </c>
      <c r="AB651">
        <v>0</v>
      </c>
      <c r="AC651" t="str">
        <f t="shared" si="31"/>
        <v>Night</v>
      </c>
      <c r="AD651">
        <v>3</v>
      </c>
      <c r="AE651" t="s">
        <v>67</v>
      </c>
      <c r="AF651">
        <v>0</v>
      </c>
      <c r="AG651">
        <v>2</v>
      </c>
      <c r="AH651" t="s">
        <v>67</v>
      </c>
      <c r="AI651">
        <v>59400</v>
      </c>
      <c r="AJ651">
        <v>6600</v>
      </c>
      <c r="AK651">
        <v>13200</v>
      </c>
      <c r="AL651">
        <v>39600</v>
      </c>
      <c r="AM651" t="s">
        <v>85</v>
      </c>
      <c r="AN651" t="s">
        <v>86</v>
      </c>
      <c r="AO651">
        <v>2015</v>
      </c>
      <c r="AP651">
        <v>1995</v>
      </c>
      <c r="AQ651">
        <f t="shared" si="32"/>
        <v>20</v>
      </c>
      <c r="AR651" t="s">
        <v>61</v>
      </c>
    </row>
    <row r="652" spans="1:44" x14ac:dyDescent="0.25">
      <c r="A652">
        <v>128</v>
      </c>
      <c r="B652" t="str">
        <f t="shared" si="30"/>
        <v>10+ years</v>
      </c>
      <c r="C652">
        <v>31</v>
      </c>
      <c r="D652" t="str" cm="1">
        <f t="array" ref="D652">_xlfn.IFS(C652&lt;26, "19-25", C652&lt;33, "26-32", C652&lt;40, "33-39", C652&lt;47, "40-46",C652&lt;54, "47-53", TRUE, "54+")</f>
        <v>26-32</v>
      </c>
      <c r="E652">
        <v>526296</v>
      </c>
      <c r="F652" s="1">
        <v>34184</v>
      </c>
      <c r="G652" t="s">
        <v>88</v>
      </c>
      <c r="H652" t="s">
        <v>74</v>
      </c>
      <c r="I652">
        <v>500</v>
      </c>
      <c r="J652">
        <v>1045.1199999999999</v>
      </c>
      <c r="K652">
        <v>0</v>
      </c>
      <c r="L652">
        <v>615311</v>
      </c>
      <c r="M652" t="s">
        <v>75</v>
      </c>
      <c r="N652" t="s">
        <v>136</v>
      </c>
      <c r="O652" t="s">
        <v>150</v>
      </c>
      <c r="P652" t="s">
        <v>247</v>
      </c>
      <c r="Q652" t="s">
        <v>65</v>
      </c>
      <c r="R652">
        <v>0</v>
      </c>
      <c r="S652">
        <v>-28300</v>
      </c>
      <c r="T652" s="1">
        <v>42023</v>
      </c>
      <c r="U652" t="s">
        <v>80</v>
      </c>
      <c r="V652" t="s">
        <v>52</v>
      </c>
      <c r="W652" t="s">
        <v>53</v>
      </c>
      <c r="X652" t="s">
        <v>141</v>
      </c>
      <c r="Y652" t="s">
        <v>82</v>
      </c>
      <c r="Z652" t="s">
        <v>107</v>
      </c>
      <c r="AA652" t="s">
        <v>834</v>
      </c>
      <c r="AB652">
        <v>2</v>
      </c>
      <c r="AC652" t="str">
        <f t="shared" si="31"/>
        <v>Night</v>
      </c>
      <c r="AD652">
        <v>3</v>
      </c>
      <c r="AE652" t="s">
        <v>84</v>
      </c>
      <c r="AF652">
        <v>0</v>
      </c>
      <c r="AG652">
        <v>2</v>
      </c>
      <c r="AH652" t="s">
        <v>67</v>
      </c>
      <c r="AI652">
        <v>69930</v>
      </c>
      <c r="AJ652">
        <v>0</v>
      </c>
      <c r="AK652">
        <v>15540</v>
      </c>
      <c r="AL652">
        <v>54390</v>
      </c>
      <c r="AM652" t="s">
        <v>134</v>
      </c>
      <c r="AN652" t="s">
        <v>177</v>
      </c>
      <c r="AO652">
        <v>2015</v>
      </c>
      <c r="AP652">
        <v>2013</v>
      </c>
      <c r="AQ652">
        <f t="shared" si="32"/>
        <v>2</v>
      </c>
      <c r="AR652" t="s">
        <v>61</v>
      </c>
    </row>
    <row r="653" spans="1:44" x14ac:dyDescent="0.25">
      <c r="A653">
        <v>103</v>
      </c>
      <c r="B653" t="str">
        <f t="shared" si="30"/>
        <v>5-10 years</v>
      </c>
      <c r="C653">
        <v>27</v>
      </c>
      <c r="D653" t="str" cm="1">
        <f t="array" ref="D653">_xlfn.IFS(C653&lt;26, "19-25", C653&lt;33, "26-32", C653&lt;40, "33-39", C653&lt;47, "40-46",C653&lt;54, "47-53", TRUE, "54+")</f>
        <v>26-32</v>
      </c>
      <c r="E653">
        <v>658816</v>
      </c>
      <c r="F653" s="1">
        <v>39432</v>
      </c>
      <c r="G653" t="s">
        <v>62</v>
      </c>
      <c r="H653" t="s">
        <v>74</v>
      </c>
      <c r="I653">
        <v>1000</v>
      </c>
      <c r="J653">
        <v>1537.33</v>
      </c>
      <c r="K653">
        <v>0</v>
      </c>
      <c r="L653">
        <v>468470</v>
      </c>
      <c r="M653" t="s">
        <v>75</v>
      </c>
      <c r="N653" t="s">
        <v>146</v>
      </c>
      <c r="O653" t="s">
        <v>164</v>
      </c>
      <c r="P653" t="s">
        <v>78</v>
      </c>
      <c r="Q653" t="s">
        <v>50</v>
      </c>
      <c r="R653">
        <v>0</v>
      </c>
      <c r="S653">
        <v>-74800</v>
      </c>
      <c r="T653" s="1">
        <v>42055</v>
      </c>
      <c r="U653" t="s">
        <v>80</v>
      </c>
      <c r="V653" t="s">
        <v>91</v>
      </c>
      <c r="W653" t="s">
        <v>68</v>
      </c>
      <c r="X653" t="s">
        <v>54</v>
      </c>
      <c r="Y653" t="s">
        <v>82</v>
      </c>
      <c r="Z653" t="s">
        <v>107</v>
      </c>
      <c r="AA653" t="s">
        <v>835</v>
      </c>
      <c r="AB653">
        <v>11</v>
      </c>
      <c r="AC653" t="str">
        <f t="shared" si="31"/>
        <v>Morning</v>
      </c>
      <c r="AD653">
        <v>3</v>
      </c>
      <c r="AE653" t="s">
        <v>58</v>
      </c>
      <c r="AF653">
        <v>1</v>
      </c>
      <c r="AG653">
        <v>1</v>
      </c>
      <c r="AH653" t="s">
        <v>84</v>
      </c>
      <c r="AI653">
        <v>77700</v>
      </c>
      <c r="AJ653">
        <v>7770</v>
      </c>
      <c r="AK653">
        <v>15540</v>
      </c>
      <c r="AL653">
        <v>54390</v>
      </c>
      <c r="AM653" t="s">
        <v>202</v>
      </c>
      <c r="AN653" t="s">
        <v>203</v>
      </c>
      <c r="AO653">
        <v>2015</v>
      </c>
      <c r="AP653">
        <v>2008</v>
      </c>
      <c r="AQ653">
        <f t="shared" si="32"/>
        <v>7</v>
      </c>
      <c r="AR653" t="s">
        <v>87</v>
      </c>
    </row>
    <row r="654" spans="1:44" x14ac:dyDescent="0.25">
      <c r="A654">
        <v>356</v>
      </c>
      <c r="B654" t="str">
        <f t="shared" si="30"/>
        <v>10+ years</v>
      </c>
      <c r="C654">
        <v>54</v>
      </c>
      <c r="D654" t="str" cm="1">
        <f t="array" ref="D654">_xlfn.IFS(C654&lt;26, "19-25", C654&lt;33, "26-32", C654&lt;40, "33-39", C654&lt;47, "40-46",C654&lt;54, "47-53", TRUE, "54+")</f>
        <v>54+</v>
      </c>
      <c r="E654">
        <v>913337</v>
      </c>
      <c r="F654" s="1">
        <v>39488</v>
      </c>
      <c r="G654" t="s">
        <v>44</v>
      </c>
      <c r="H654" t="s">
        <v>96</v>
      </c>
      <c r="I654">
        <v>500</v>
      </c>
      <c r="J654">
        <v>912.3</v>
      </c>
      <c r="K654">
        <v>0</v>
      </c>
      <c r="L654">
        <v>461383</v>
      </c>
      <c r="M654" t="s">
        <v>46</v>
      </c>
      <c r="N654" t="s">
        <v>146</v>
      </c>
      <c r="O654" t="s">
        <v>106</v>
      </c>
      <c r="P654" t="s">
        <v>160</v>
      </c>
      <c r="Q654" t="s">
        <v>124</v>
      </c>
      <c r="R654">
        <v>58500</v>
      </c>
      <c r="S654">
        <v>-44000</v>
      </c>
      <c r="T654" s="1">
        <v>42014</v>
      </c>
      <c r="U654" t="s">
        <v>80</v>
      </c>
      <c r="V654" t="s">
        <v>91</v>
      </c>
      <c r="W654" t="s">
        <v>53</v>
      </c>
      <c r="X654" t="s">
        <v>125</v>
      </c>
      <c r="Y654" t="s">
        <v>55</v>
      </c>
      <c r="Z654" t="s">
        <v>132</v>
      </c>
      <c r="AA654" t="s">
        <v>836</v>
      </c>
      <c r="AB654">
        <v>23</v>
      </c>
      <c r="AC654" t="str">
        <f t="shared" si="31"/>
        <v>Evening</v>
      </c>
      <c r="AD654">
        <v>3</v>
      </c>
      <c r="AE654" t="s">
        <v>84</v>
      </c>
      <c r="AF654">
        <v>2</v>
      </c>
      <c r="AG654">
        <v>1</v>
      </c>
      <c r="AH654" t="s">
        <v>67</v>
      </c>
      <c r="AI654">
        <v>68750</v>
      </c>
      <c r="AJ654">
        <v>12500</v>
      </c>
      <c r="AK654">
        <v>12500</v>
      </c>
      <c r="AL654">
        <v>43750</v>
      </c>
      <c r="AM654" t="s">
        <v>114</v>
      </c>
      <c r="AN654" t="s">
        <v>115</v>
      </c>
      <c r="AO654">
        <v>2015</v>
      </c>
      <c r="AP654">
        <v>2007</v>
      </c>
      <c r="AQ654">
        <f t="shared" si="32"/>
        <v>8</v>
      </c>
      <c r="AR654" t="s">
        <v>61</v>
      </c>
    </row>
    <row r="655" spans="1:44" x14ac:dyDescent="0.25">
      <c r="A655">
        <v>109</v>
      </c>
      <c r="B655" t="str">
        <f t="shared" si="30"/>
        <v>5-10 years</v>
      </c>
      <c r="C655">
        <v>29</v>
      </c>
      <c r="D655" t="str" cm="1">
        <f t="array" ref="D655">_xlfn.IFS(C655&lt;26, "19-25", C655&lt;33, "26-32", C655&lt;40, "33-39", C655&lt;47, "40-46",C655&lt;54, "47-53", TRUE, "54+")</f>
        <v>26-32</v>
      </c>
      <c r="E655">
        <v>488464</v>
      </c>
      <c r="F655" s="1">
        <v>38991</v>
      </c>
      <c r="G655" t="s">
        <v>44</v>
      </c>
      <c r="H655" t="s">
        <v>74</v>
      </c>
      <c r="I655">
        <v>2000</v>
      </c>
      <c r="J655">
        <v>1007.28</v>
      </c>
      <c r="K655">
        <v>6000000</v>
      </c>
      <c r="L655">
        <v>457727</v>
      </c>
      <c r="M655" t="s">
        <v>75</v>
      </c>
      <c r="N655" t="s">
        <v>136</v>
      </c>
      <c r="O655" t="s">
        <v>190</v>
      </c>
      <c r="P655" t="s">
        <v>151</v>
      </c>
      <c r="Q655" t="s">
        <v>50</v>
      </c>
      <c r="R655">
        <v>0</v>
      </c>
      <c r="S655">
        <v>0</v>
      </c>
      <c r="T655" s="1">
        <v>42056</v>
      </c>
      <c r="U655" t="s">
        <v>80</v>
      </c>
      <c r="V655" t="s">
        <v>52</v>
      </c>
      <c r="W655" t="s">
        <v>68</v>
      </c>
      <c r="X655" t="s">
        <v>54</v>
      </c>
      <c r="Y655" t="s">
        <v>82</v>
      </c>
      <c r="Z655" t="s">
        <v>70</v>
      </c>
      <c r="AA655" t="s">
        <v>837</v>
      </c>
      <c r="AB655">
        <v>17</v>
      </c>
      <c r="AC655" t="str">
        <f t="shared" si="31"/>
        <v>Afternoon</v>
      </c>
      <c r="AD655">
        <v>3</v>
      </c>
      <c r="AE655" t="s">
        <v>84</v>
      </c>
      <c r="AF655">
        <v>1</v>
      </c>
      <c r="AG655">
        <v>3</v>
      </c>
      <c r="AH655" t="s">
        <v>58</v>
      </c>
      <c r="AI655">
        <v>91080</v>
      </c>
      <c r="AJ655">
        <v>16560</v>
      </c>
      <c r="AK655">
        <v>16560</v>
      </c>
      <c r="AL655">
        <v>57960</v>
      </c>
      <c r="AM655" t="s">
        <v>202</v>
      </c>
      <c r="AN655" t="s">
        <v>203</v>
      </c>
      <c r="AO655">
        <v>2015</v>
      </c>
      <c r="AP655">
        <v>1995</v>
      </c>
      <c r="AQ655">
        <f t="shared" si="32"/>
        <v>20</v>
      </c>
      <c r="AR655" t="s">
        <v>87</v>
      </c>
    </row>
    <row r="656" spans="1:44" x14ac:dyDescent="0.25">
      <c r="A656">
        <v>2</v>
      </c>
      <c r="B656" t="str">
        <f t="shared" si="30"/>
        <v>0-2 years</v>
      </c>
      <c r="C656">
        <v>20</v>
      </c>
      <c r="D656" t="str" cm="1">
        <f t="array" ref="D656">_xlfn.IFS(C656&lt;26, "19-25", C656&lt;33, "26-32", C656&lt;40, "33-39", C656&lt;47, "40-46",C656&lt;54, "47-53", TRUE, "54+")</f>
        <v>19-25</v>
      </c>
      <c r="E656">
        <v>480094</v>
      </c>
      <c r="F656" s="1">
        <v>37689</v>
      </c>
      <c r="G656" t="s">
        <v>62</v>
      </c>
      <c r="H656" t="s">
        <v>96</v>
      </c>
      <c r="I656">
        <v>1000</v>
      </c>
      <c r="J656">
        <v>1189.98</v>
      </c>
      <c r="K656">
        <v>4000000</v>
      </c>
      <c r="L656">
        <v>613327</v>
      </c>
      <c r="M656" t="s">
        <v>75</v>
      </c>
      <c r="N656" t="s">
        <v>136</v>
      </c>
      <c r="O656" t="s">
        <v>48</v>
      </c>
      <c r="P656" t="s">
        <v>117</v>
      </c>
      <c r="Q656" t="s">
        <v>65</v>
      </c>
      <c r="R656">
        <v>0</v>
      </c>
      <c r="S656">
        <v>-54700</v>
      </c>
      <c r="T656" s="1">
        <v>42036</v>
      </c>
      <c r="U656" t="s">
        <v>51</v>
      </c>
      <c r="V656" t="s">
        <v>52</v>
      </c>
      <c r="W656" t="s">
        <v>68</v>
      </c>
      <c r="X656" t="s">
        <v>125</v>
      </c>
      <c r="Y656" t="s">
        <v>118</v>
      </c>
      <c r="Z656" t="s">
        <v>56</v>
      </c>
      <c r="AA656" t="s">
        <v>838</v>
      </c>
      <c r="AB656">
        <v>22</v>
      </c>
      <c r="AC656" t="str">
        <f t="shared" si="31"/>
        <v>Evening</v>
      </c>
      <c r="AD656">
        <v>1</v>
      </c>
      <c r="AE656" t="s">
        <v>84</v>
      </c>
      <c r="AF656">
        <v>1</v>
      </c>
      <c r="AG656">
        <v>3</v>
      </c>
      <c r="AH656" t="s">
        <v>58</v>
      </c>
      <c r="AI656">
        <v>48360</v>
      </c>
      <c r="AJ656">
        <v>4030</v>
      </c>
      <c r="AK656">
        <v>8060</v>
      </c>
      <c r="AL656">
        <v>36270</v>
      </c>
      <c r="AM656" t="s">
        <v>114</v>
      </c>
      <c r="AN656" t="s">
        <v>115</v>
      </c>
      <c r="AO656">
        <v>2015</v>
      </c>
      <c r="AP656">
        <v>2000</v>
      </c>
      <c r="AQ656">
        <f t="shared" si="32"/>
        <v>15</v>
      </c>
      <c r="AR656" t="s">
        <v>87</v>
      </c>
    </row>
    <row r="657" spans="1:44" x14ac:dyDescent="0.25">
      <c r="A657">
        <v>198</v>
      </c>
      <c r="B657" t="str">
        <f t="shared" si="30"/>
        <v>10+ years</v>
      </c>
      <c r="C657">
        <v>34</v>
      </c>
      <c r="D657" t="str" cm="1">
        <f t="array" ref="D657">_xlfn.IFS(C657&lt;26, "19-25", C657&lt;33, "26-32", C657&lt;40, "33-39", C657&lt;47, "40-46",C657&lt;54, "47-53", TRUE, "54+")</f>
        <v>33-39</v>
      </c>
      <c r="E657">
        <v>263108</v>
      </c>
      <c r="F657" s="1">
        <v>37770</v>
      </c>
      <c r="G657" t="s">
        <v>44</v>
      </c>
      <c r="H657" t="s">
        <v>45</v>
      </c>
      <c r="I657">
        <v>1000</v>
      </c>
      <c r="J657">
        <v>1576.41</v>
      </c>
      <c r="K657">
        <v>0</v>
      </c>
      <c r="L657">
        <v>614941</v>
      </c>
      <c r="M657" t="s">
        <v>46</v>
      </c>
      <c r="N657" t="s">
        <v>97</v>
      </c>
      <c r="O657" t="s">
        <v>164</v>
      </c>
      <c r="P657" t="s">
        <v>175</v>
      </c>
      <c r="Q657" t="s">
        <v>65</v>
      </c>
      <c r="R657">
        <v>0</v>
      </c>
      <c r="S657">
        <v>-55100</v>
      </c>
      <c r="T657" s="1">
        <v>42060</v>
      </c>
      <c r="U657" t="s">
        <v>51</v>
      </c>
      <c r="V657" t="s">
        <v>52</v>
      </c>
      <c r="W657" t="s">
        <v>53</v>
      </c>
      <c r="X657" t="s">
        <v>125</v>
      </c>
      <c r="Y657" t="s">
        <v>118</v>
      </c>
      <c r="Z657" t="s">
        <v>127</v>
      </c>
      <c r="AA657" t="s">
        <v>839</v>
      </c>
      <c r="AB657">
        <v>18</v>
      </c>
      <c r="AC657" t="str">
        <f t="shared" si="31"/>
        <v>Evening</v>
      </c>
      <c r="AD657">
        <v>1</v>
      </c>
      <c r="AE657" t="s">
        <v>58</v>
      </c>
      <c r="AF657">
        <v>1</v>
      </c>
      <c r="AG657">
        <v>1</v>
      </c>
      <c r="AH657" t="s">
        <v>58</v>
      </c>
      <c r="AI657">
        <v>95000</v>
      </c>
      <c r="AJ657">
        <v>9500</v>
      </c>
      <c r="AK657">
        <v>9500</v>
      </c>
      <c r="AL657">
        <v>76000</v>
      </c>
      <c r="AM657" t="s">
        <v>134</v>
      </c>
      <c r="AN657" t="s">
        <v>135</v>
      </c>
      <c r="AO657">
        <v>2015</v>
      </c>
      <c r="AP657">
        <v>2001</v>
      </c>
      <c r="AQ657">
        <f t="shared" si="32"/>
        <v>14</v>
      </c>
      <c r="AR657" t="s">
        <v>87</v>
      </c>
    </row>
    <row r="658" spans="1:44" x14ac:dyDescent="0.25">
      <c r="A658">
        <v>107</v>
      </c>
      <c r="B658" t="str">
        <f t="shared" si="30"/>
        <v>5-10 years</v>
      </c>
      <c r="C658">
        <v>32</v>
      </c>
      <c r="D658" t="str" cm="1">
        <f t="array" ref="D658">_xlfn.IFS(C658&lt;26, "19-25", C658&lt;33, "26-32", C658&lt;40, "33-39", C658&lt;47, "40-46",C658&lt;54, "47-53", TRUE, "54+")</f>
        <v>26-32</v>
      </c>
      <c r="E658">
        <v>298412</v>
      </c>
      <c r="F658" s="1">
        <v>37382</v>
      </c>
      <c r="G658" t="s">
        <v>44</v>
      </c>
      <c r="H658" t="s">
        <v>74</v>
      </c>
      <c r="I658">
        <v>500</v>
      </c>
      <c r="J658">
        <v>1172.82</v>
      </c>
      <c r="K658">
        <v>4000000</v>
      </c>
      <c r="L658">
        <v>440680</v>
      </c>
      <c r="M658" t="s">
        <v>46</v>
      </c>
      <c r="N658" t="s">
        <v>97</v>
      </c>
      <c r="O658" t="s">
        <v>63</v>
      </c>
      <c r="P658" t="s">
        <v>160</v>
      </c>
      <c r="Q658" t="s">
        <v>65</v>
      </c>
      <c r="R658">
        <v>82100</v>
      </c>
      <c r="S658">
        <v>0</v>
      </c>
      <c r="T658" s="1">
        <v>42059</v>
      </c>
      <c r="U658" t="s">
        <v>66</v>
      </c>
      <c r="V658" t="s">
        <v>67</v>
      </c>
      <c r="W658" t="s">
        <v>217</v>
      </c>
      <c r="X658" t="s">
        <v>54</v>
      </c>
      <c r="Y658" t="s">
        <v>55</v>
      </c>
      <c r="Z658" t="s">
        <v>92</v>
      </c>
      <c r="AA658" t="s">
        <v>840</v>
      </c>
      <c r="AB658">
        <v>8</v>
      </c>
      <c r="AC658" t="str">
        <f t="shared" si="31"/>
        <v>Morning</v>
      </c>
      <c r="AD658">
        <v>1</v>
      </c>
      <c r="AE658" t="s">
        <v>67</v>
      </c>
      <c r="AF658">
        <v>1</v>
      </c>
      <c r="AG658">
        <v>3</v>
      </c>
      <c r="AH658" t="s">
        <v>84</v>
      </c>
      <c r="AI658">
        <v>3900</v>
      </c>
      <c r="AJ658">
        <v>780</v>
      </c>
      <c r="AK658">
        <v>390</v>
      </c>
      <c r="AL658">
        <v>2730</v>
      </c>
      <c r="AM658" t="s">
        <v>134</v>
      </c>
      <c r="AN658" t="s">
        <v>135</v>
      </c>
      <c r="AO658">
        <v>2015</v>
      </c>
      <c r="AP658">
        <v>2010</v>
      </c>
      <c r="AQ658">
        <f t="shared" si="32"/>
        <v>5</v>
      </c>
      <c r="AR658" t="s">
        <v>87</v>
      </c>
    </row>
    <row r="659" spans="1:44" x14ac:dyDescent="0.25">
      <c r="A659">
        <v>252</v>
      </c>
      <c r="B659" t="str">
        <f t="shared" si="30"/>
        <v>10+ years</v>
      </c>
      <c r="C659">
        <v>39</v>
      </c>
      <c r="D659" t="str" cm="1">
        <f t="array" ref="D659">_xlfn.IFS(C659&lt;26, "19-25", C659&lt;33, "26-32", C659&lt;40, "33-39", C659&lt;47, "40-46",C659&lt;54, "47-53", TRUE, "54+")</f>
        <v>33-39</v>
      </c>
      <c r="E659">
        <v>261905</v>
      </c>
      <c r="F659" s="1">
        <v>38045</v>
      </c>
      <c r="G659" t="s">
        <v>88</v>
      </c>
      <c r="H659" t="s">
        <v>96</v>
      </c>
      <c r="I659">
        <v>500</v>
      </c>
      <c r="J659">
        <v>1312.22</v>
      </c>
      <c r="K659">
        <v>9000000</v>
      </c>
      <c r="L659">
        <v>609949</v>
      </c>
      <c r="M659" t="s">
        <v>46</v>
      </c>
      <c r="N659" t="s">
        <v>136</v>
      </c>
      <c r="O659" t="s">
        <v>150</v>
      </c>
      <c r="P659" t="s">
        <v>247</v>
      </c>
      <c r="Q659" t="s">
        <v>65</v>
      </c>
      <c r="R659">
        <v>0</v>
      </c>
      <c r="S659">
        <v>-33300</v>
      </c>
      <c r="T659" s="1">
        <v>42056</v>
      </c>
      <c r="U659" t="s">
        <v>80</v>
      </c>
      <c r="V659" t="s">
        <v>91</v>
      </c>
      <c r="W659" t="s">
        <v>68</v>
      </c>
      <c r="X659" t="s">
        <v>125</v>
      </c>
      <c r="Y659" t="s">
        <v>126</v>
      </c>
      <c r="Z659" t="s">
        <v>70</v>
      </c>
      <c r="AA659" t="s">
        <v>841</v>
      </c>
      <c r="AB659">
        <v>15</v>
      </c>
      <c r="AC659" t="str">
        <f t="shared" si="31"/>
        <v>Afternoon</v>
      </c>
      <c r="AD659">
        <v>3</v>
      </c>
      <c r="AE659" t="s">
        <v>67</v>
      </c>
      <c r="AF659">
        <v>0</v>
      </c>
      <c r="AG659">
        <v>3</v>
      </c>
      <c r="AH659" t="s">
        <v>84</v>
      </c>
      <c r="AI659">
        <v>59400</v>
      </c>
      <c r="AJ659">
        <v>11880</v>
      </c>
      <c r="AK659">
        <v>5940</v>
      </c>
      <c r="AL659">
        <v>41580</v>
      </c>
      <c r="AM659" t="s">
        <v>202</v>
      </c>
      <c r="AN659" t="s">
        <v>380</v>
      </c>
      <c r="AO659">
        <v>2015</v>
      </c>
      <c r="AP659">
        <v>2010</v>
      </c>
      <c r="AQ659">
        <f t="shared" si="32"/>
        <v>5</v>
      </c>
      <c r="AR659" t="s">
        <v>61</v>
      </c>
    </row>
    <row r="660" spans="1:44" x14ac:dyDescent="0.25">
      <c r="A660">
        <v>303</v>
      </c>
      <c r="B660" t="str">
        <f t="shared" si="30"/>
        <v>10+ years</v>
      </c>
      <c r="C660">
        <v>43</v>
      </c>
      <c r="D660" t="str" cm="1">
        <f t="array" ref="D660">_xlfn.IFS(C660&lt;26, "19-25", C660&lt;33, "26-32", C660&lt;40, "33-39", C660&lt;47, "40-46",C660&lt;54, "47-53", TRUE, "54+")</f>
        <v>40-46</v>
      </c>
      <c r="E660">
        <v>674485</v>
      </c>
      <c r="F660" s="1">
        <v>36174</v>
      </c>
      <c r="G660" t="s">
        <v>44</v>
      </c>
      <c r="H660" t="s">
        <v>96</v>
      </c>
      <c r="I660">
        <v>1000</v>
      </c>
      <c r="J660">
        <v>671.01</v>
      </c>
      <c r="K660">
        <v>7000000</v>
      </c>
      <c r="L660">
        <v>479655</v>
      </c>
      <c r="M660" t="s">
        <v>75</v>
      </c>
      <c r="N660" t="s">
        <v>97</v>
      </c>
      <c r="O660" t="s">
        <v>63</v>
      </c>
      <c r="P660" t="s">
        <v>123</v>
      </c>
      <c r="Q660" t="s">
        <v>65</v>
      </c>
      <c r="R660">
        <v>42900</v>
      </c>
      <c r="S660">
        <v>-61500</v>
      </c>
      <c r="T660" s="1">
        <v>42012</v>
      </c>
      <c r="U660" t="s">
        <v>51</v>
      </c>
      <c r="V660" t="s">
        <v>81</v>
      </c>
      <c r="W660" t="s">
        <v>68</v>
      </c>
      <c r="X660" t="s">
        <v>104</v>
      </c>
      <c r="Y660" t="s">
        <v>126</v>
      </c>
      <c r="Z660" t="s">
        <v>107</v>
      </c>
      <c r="AA660" t="s">
        <v>842</v>
      </c>
      <c r="AB660">
        <v>20</v>
      </c>
      <c r="AC660" t="str">
        <f t="shared" si="31"/>
        <v>Evening</v>
      </c>
      <c r="AD660">
        <v>1</v>
      </c>
      <c r="AE660" t="s">
        <v>67</v>
      </c>
      <c r="AF660">
        <v>2</v>
      </c>
      <c r="AG660">
        <v>0</v>
      </c>
      <c r="AH660" t="s">
        <v>67</v>
      </c>
      <c r="AI660">
        <v>60210</v>
      </c>
      <c r="AJ660">
        <v>6690</v>
      </c>
      <c r="AK660">
        <v>6690</v>
      </c>
      <c r="AL660">
        <v>46830</v>
      </c>
      <c r="AM660" t="s">
        <v>109</v>
      </c>
      <c r="AN660" t="s">
        <v>156</v>
      </c>
      <c r="AO660">
        <v>2015</v>
      </c>
      <c r="AP660">
        <v>2013</v>
      </c>
      <c r="AQ660">
        <f t="shared" si="32"/>
        <v>2</v>
      </c>
      <c r="AR660" t="s">
        <v>87</v>
      </c>
    </row>
    <row r="661" spans="1:44" x14ac:dyDescent="0.25">
      <c r="A661">
        <v>101</v>
      </c>
      <c r="B661" t="str">
        <f t="shared" si="30"/>
        <v>5-10 years</v>
      </c>
      <c r="C661">
        <v>32</v>
      </c>
      <c r="D661" t="str" cm="1">
        <f t="array" ref="D661">_xlfn.IFS(C661&lt;26, "19-25", C661&lt;33, "26-32", C661&lt;40, "33-39", C661&lt;47, "40-46",C661&lt;54, "47-53", TRUE, "54+")</f>
        <v>26-32</v>
      </c>
      <c r="E661">
        <v>223404</v>
      </c>
      <c r="F661" s="1">
        <v>37279</v>
      </c>
      <c r="G661" t="s">
        <v>88</v>
      </c>
      <c r="H661" t="s">
        <v>45</v>
      </c>
      <c r="I661">
        <v>500</v>
      </c>
      <c r="J661">
        <v>895.14</v>
      </c>
      <c r="K661">
        <v>0</v>
      </c>
      <c r="L661">
        <v>439964</v>
      </c>
      <c r="M661" t="s">
        <v>46</v>
      </c>
      <c r="N661" t="s">
        <v>166</v>
      </c>
      <c r="O661" t="s">
        <v>77</v>
      </c>
      <c r="P661" t="s">
        <v>186</v>
      </c>
      <c r="Q661" t="s">
        <v>65</v>
      </c>
      <c r="R661">
        <v>52600</v>
      </c>
      <c r="S661">
        <v>-30400</v>
      </c>
      <c r="T661" s="1">
        <v>42014</v>
      </c>
      <c r="U661" t="s">
        <v>51</v>
      </c>
      <c r="V661" t="s">
        <v>91</v>
      </c>
      <c r="W661" t="s">
        <v>68</v>
      </c>
      <c r="X661" t="s">
        <v>141</v>
      </c>
      <c r="Y661" t="s">
        <v>55</v>
      </c>
      <c r="Z661" t="s">
        <v>56</v>
      </c>
      <c r="AA661" t="s">
        <v>843</v>
      </c>
      <c r="AB661">
        <v>4</v>
      </c>
      <c r="AC661" t="str">
        <f t="shared" si="31"/>
        <v>Night</v>
      </c>
      <c r="AD661">
        <v>1</v>
      </c>
      <c r="AE661" t="s">
        <v>67</v>
      </c>
      <c r="AF661">
        <v>0</v>
      </c>
      <c r="AG661">
        <v>3</v>
      </c>
      <c r="AH661" t="s">
        <v>58</v>
      </c>
      <c r="AI661">
        <v>43600</v>
      </c>
      <c r="AJ661">
        <v>8720</v>
      </c>
      <c r="AK661">
        <v>4360</v>
      </c>
      <c r="AL661">
        <v>30520</v>
      </c>
      <c r="AM661" t="s">
        <v>158</v>
      </c>
      <c r="AN661" t="s">
        <v>159</v>
      </c>
      <c r="AO661">
        <v>2015</v>
      </c>
      <c r="AP661">
        <v>2010</v>
      </c>
      <c r="AQ661">
        <f t="shared" si="32"/>
        <v>5</v>
      </c>
      <c r="AR661" t="s">
        <v>87</v>
      </c>
    </row>
    <row r="662" spans="1:44" x14ac:dyDescent="0.25">
      <c r="A662">
        <v>446</v>
      </c>
      <c r="B662" t="str">
        <f t="shared" si="30"/>
        <v>10+ years</v>
      </c>
      <c r="C662">
        <v>57</v>
      </c>
      <c r="D662" t="str" cm="1">
        <f t="array" ref="D662">_xlfn.IFS(C662&lt;26, "19-25", C662&lt;33, "26-32", C662&lt;40, "33-39", C662&lt;47, "40-46",C662&lt;54, "47-53", TRUE, "54+")</f>
        <v>54+</v>
      </c>
      <c r="E662">
        <v>991480</v>
      </c>
      <c r="F662" s="1">
        <v>33947</v>
      </c>
      <c r="G662" t="s">
        <v>62</v>
      </c>
      <c r="H662" t="s">
        <v>74</v>
      </c>
      <c r="I662">
        <v>2000</v>
      </c>
      <c r="J662">
        <v>1373.21</v>
      </c>
      <c r="K662">
        <v>0</v>
      </c>
      <c r="L662">
        <v>478486</v>
      </c>
      <c r="M662" t="s">
        <v>46</v>
      </c>
      <c r="N662" t="s">
        <v>146</v>
      </c>
      <c r="O662" t="s">
        <v>190</v>
      </c>
      <c r="P662" t="s">
        <v>49</v>
      </c>
      <c r="Q662" t="s">
        <v>90</v>
      </c>
      <c r="R662">
        <v>42700</v>
      </c>
      <c r="S662">
        <v>-64900</v>
      </c>
      <c r="T662" s="1">
        <v>42049</v>
      </c>
      <c r="U662" t="s">
        <v>80</v>
      </c>
      <c r="V662" t="s">
        <v>91</v>
      </c>
      <c r="W662" t="s">
        <v>112</v>
      </c>
      <c r="X662" t="s">
        <v>54</v>
      </c>
      <c r="Y662" t="s">
        <v>55</v>
      </c>
      <c r="Z662" t="s">
        <v>161</v>
      </c>
      <c r="AA662" t="s">
        <v>844</v>
      </c>
      <c r="AB662">
        <v>10</v>
      </c>
      <c r="AC662" t="str">
        <f t="shared" si="31"/>
        <v>Morning</v>
      </c>
      <c r="AD662">
        <v>3</v>
      </c>
      <c r="AE662" t="s">
        <v>84</v>
      </c>
      <c r="AF662">
        <v>0</v>
      </c>
      <c r="AG662">
        <v>0</v>
      </c>
      <c r="AH662" t="s">
        <v>84</v>
      </c>
      <c r="AI662">
        <v>62800</v>
      </c>
      <c r="AJ662">
        <v>6280</v>
      </c>
      <c r="AK662">
        <v>12560</v>
      </c>
      <c r="AL662">
        <v>43960</v>
      </c>
      <c r="AM662" t="s">
        <v>202</v>
      </c>
      <c r="AN662" t="s">
        <v>203</v>
      </c>
      <c r="AO662">
        <v>2015</v>
      </c>
      <c r="AP662">
        <v>2012</v>
      </c>
      <c r="AQ662">
        <f t="shared" si="32"/>
        <v>3</v>
      </c>
      <c r="AR662" t="s">
        <v>87</v>
      </c>
    </row>
    <row r="663" spans="1:44" x14ac:dyDescent="0.25">
      <c r="A663">
        <v>330</v>
      </c>
      <c r="B663" t="str">
        <f t="shared" si="30"/>
        <v>10+ years</v>
      </c>
      <c r="C663">
        <v>48</v>
      </c>
      <c r="D663" t="str" cm="1">
        <f t="array" ref="D663">_xlfn.IFS(C663&lt;26, "19-25", C663&lt;33, "26-32", C663&lt;40, "33-39", C663&lt;47, "40-46",C663&lt;54, "47-53", TRUE, "54+")</f>
        <v>47-53</v>
      </c>
      <c r="E663">
        <v>804219</v>
      </c>
      <c r="F663" s="1">
        <v>35970</v>
      </c>
      <c r="G663" t="s">
        <v>44</v>
      </c>
      <c r="H663" t="s">
        <v>45</v>
      </c>
      <c r="I663">
        <v>1000</v>
      </c>
      <c r="J663">
        <v>1625.65</v>
      </c>
      <c r="K663">
        <v>0</v>
      </c>
      <c r="L663">
        <v>466498</v>
      </c>
      <c r="M663" t="s">
        <v>46</v>
      </c>
      <c r="N663" t="s">
        <v>146</v>
      </c>
      <c r="O663" t="s">
        <v>194</v>
      </c>
      <c r="P663" t="s">
        <v>137</v>
      </c>
      <c r="Q663" t="s">
        <v>50</v>
      </c>
      <c r="R663">
        <v>0</v>
      </c>
      <c r="S663">
        <v>0</v>
      </c>
      <c r="T663" s="1">
        <v>42061</v>
      </c>
      <c r="U663" t="s">
        <v>51</v>
      </c>
      <c r="V663" t="s">
        <v>52</v>
      </c>
      <c r="W663" t="s">
        <v>53</v>
      </c>
      <c r="X663" t="s">
        <v>141</v>
      </c>
      <c r="Y663" t="s">
        <v>69</v>
      </c>
      <c r="Z663" t="s">
        <v>107</v>
      </c>
      <c r="AA663" t="s">
        <v>845</v>
      </c>
      <c r="AB663">
        <v>10</v>
      </c>
      <c r="AC663" t="str">
        <f t="shared" si="31"/>
        <v>Morning</v>
      </c>
      <c r="AD663">
        <v>1</v>
      </c>
      <c r="AE663" t="s">
        <v>58</v>
      </c>
      <c r="AF663">
        <v>1</v>
      </c>
      <c r="AG663">
        <v>3</v>
      </c>
      <c r="AH663" t="s">
        <v>67</v>
      </c>
      <c r="AI663">
        <v>59500</v>
      </c>
      <c r="AJ663">
        <v>11900</v>
      </c>
      <c r="AK663">
        <v>5950</v>
      </c>
      <c r="AL663">
        <v>41650</v>
      </c>
      <c r="AM663" t="s">
        <v>85</v>
      </c>
      <c r="AN663" t="s">
        <v>149</v>
      </c>
      <c r="AO663">
        <v>2015</v>
      </c>
      <c r="AP663">
        <v>2006</v>
      </c>
      <c r="AQ663">
        <f t="shared" si="32"/>
        <v>9</v>
      </c>
      <c r="AR663" t="s">
        <v>87</v>
      </c>
    </row>
    <row r="664" spans="1:44" x14ac:dyDescent="0.25">
      <c r="A664">
        <v>211</v>
      </c>
      <c r="B664" t="str">
        <f t="shared" si="30"/>
        <v>10+ years</v>
      </c>
      <c r="C664">
        <v>37</v>
      </c>
      <c r="D664" t="str" cm="1">
        <f t="array" ref="D664">_xlfn.IFS(C664&lt;26, "19-25", C664&lt;33, "26-32", C664&lt;40, "33-39", C664&lt;47, "40-46",C664&lt;54, "47-53", TRUE, "54+")</f>
        <v>33-39</v>
      </c>
      <c r="E664">
        <v>483088</v>
      </c>
      <c r="F664" s="1">
        <v>40549</v>
      </c>
      <c r="G664" t="s">
        <v>44</v>
      </c>
      <c r="H664" t="s">
        <v>45</v>
      </c>
      <c r="I664">
        <v>2000</v>
      </c>
      <c r="J664">
        <v>1295.6300000000001</v>
      </c>
      <c r="K664">
        <v>4000000</v>
      </c>
      <c r="L664">
        <v>430878</v>
      </c>
      <c r="M664" t="s">
        <v>75</v>
      </c>
      <c r="N664" t="s">
        <v>76</v>
      </c>
      <c r="O664" t="s">
        <v>89</v>
      </c>
      <c r="P664" t="s">
        <v>137</v>
      </c>
      <c r="Q664" t="s">
        <v>147</v>
      </c>
      <c r="R664">
        <v>42200</v>
      </c>
      <c r="S664">
        <v>-33800</v>
      </c>
      <c r="T664" s="1">
        <v>42034</v>
      </c>
      <c r="U664" t="s">
        <v>80</v>
      </c>
      <c r="V664" t="s">
        <v>91</v>
      </c>
      <c r="W664" t="s">
        <v>112</v>
      </c>
      <c r="X664" t="s">
        <v>54</v>
      </c>
      <c r="Y664" t="s">
        <v>118</v>
      </c>
      <c r="Z664" t="s">
        <v>132</v>
      </c>
      <c r="AA664" t="s">
        <v>846</v>
      </c>
      <c r="AB664">
        <v>22</v>
      </c>
      <c r="AC664" t="str">
        <f t="shared" si="31"/>
        <v>Evening</v>
      </c>
      <c r="AD664">
        <v>3</v>
      </c>
      <c r="AE664" t="s">
        <v>58</v>
      </c>
      <c r="AF664">
        <v>1</v>
      </c>
      <c r="AG664">
        <v>0</v>
      </c>
      <c r="AH664" t="s">
        <v>67</v>
      </c>
      <c r="AI664">
        <v>53460</v>
      </c>
      <c r="AJ664">
        <v>5940</v>
      </c>
      <c r="AK664">
        <v>5940</v>
      </c>
      <c r="AL664">
        <v>41580</v>
      </c>
      <c r="AM664" t="s">
        <v>214</v>
      </c>
      <c r="AN664" t="s">
        <v>230</v>
      </c>
      <c r="AO664">
        <v>2015</v>
      </c>
      <c r="AP664">
        <v>2009</v>
      </c>
      <c r="AQ664">
        <f t="shared" si="32"/>
        <v>6</v>
      </c>
      <c r="AR664" t="s">
        <v>87</v>
      </c>
    </row>
    <row r="665" spans="1:44" x14ac:dyDescent="0.25">
      <c r="A665">
        <v>172</v>
      </c>
      <c r="B665" t="str">
        <f t="shared" si="30"/>
        <v>10+ years</v>
      </c>
      <c r="C665">
        <v>33</v>
      </c>
      <c r="D665" t="str" cm="1">
        <f t="array" ref="D665">_xlfn.IFS(C665&lt;26, "19-25", C665&lt;33, "26-32", C665&lt;40, "33-39", C665&lt;47, "40-46",C665&lt;54, "47-53", TRUE, "54+")</f>
        <v>33-39</v>
      </c>
      <c r="E665">
        <v>100804</v>
      </c>
      <c r="F665" s="1">
        <v>40963</v>
      </c>
      <c r="G665" t="s">
        <v>88</v>
      </c>
      <c r="H665" t="s">
        <v>74</v>
      </c>
      <c r="I665">
        <v>1000</v>
      </c>
      <c r="J665">
        <v>1459.96</v>
      </c>
      <c r="K665">
        <v>6000000</v>
      </c>
      <c r="L665">
        <v>600127</v>
      </c>
      <c r="M665" t="s">
        <v>75</v>
      </c>
      <c r="N665" t="s">
        <v>136</v>
      </c>
      <c r="O665" t="s">
        <v>190</v>
      </c>
      <c r="P665" t="s">
        <v>64</v>
      </c>
      <c r="Q665" t="s">
        <v>124</v>
      </c>
      <c r="R665">
        <v>41300</v>
      </c>
      <c r="S665">
        <v>-42000</v>
      </c>
      <c r="T665" s="1">
        <v>42011</v>
      </c>
      <c r="U665" t="s">
        <v>80</v>
      </c>
      <c r="V665" t="s">
        <v>52</v>
      </c>
      <c r="W665" t="s">
        <v>112</v>
      </c>
      <c r="X665" t="s">
        <v>141</v>
      </c>
      <c r="Y665" t="s">
        <v>82</v>
      </c>
      <c r="Z665" t="s">
        <v>132</v>
      </c>
      <c r="AA665" t="s">
        <v>847</v>
      </c>
      <c r="AB665">
        <v>15</v>
      </c>
      <c r="AC665" t="str">
        <f t="shared" si="31"/>
        <v>Afternoon</v>
      </c>
      <c r="AD665">
        <v>3</v>
      </c>
      <c r="AE665" t="s">
        <v>84</v>
      </c>
      <c r="AF665">
        <v>0</v>
      </c>
      <c r="AG665">
        <v>1</v>
      </c>
      <c r="AH665" t="s">
        <v>84</v>
      </c>
      <c r="AI665">
        <v>41690</v>
      </c>
      <c r="AJ665">
        <v>7580</v>
      </c>
      <c r="AK665">
        <v>7580</v>
      </c>
      <c r="AL665">
        <v>26530</v>
      </c>
      <c r="AM665" t="s">
        <v>59</v>
      </c>
      <c r="AN665">
        <v>95</v>
      </c>
      <c r="AO665">
        <v>2015</v>
      </c>
      <c r="AP665">
        <v>1999</v>
      </c>
      <c r="AQ665">
        <f t="shared" si="32"/>
        <v>16</v>
      </c>
      <c r="AR665" t="s">
        <v>87</v>
      </c>
    </row>
    <row r="666" spans="1:44" x14ac:dyDescent="0.25">
      <c r="A666">
        <v>316</v>
      </c>
      <c r="B666" t="str">
        <f t="shared" si="30"/>
        <v>10+ years</v>
      </c>
      <c r="C666">
        <v>46</v>
      </c>
      <c r="D666" t="str" cm="1">
        <f t="array" ref="D666">_xlfn.IFS(C666&lt;26, "19-25", C666&lt;33, "26-32", C666&lt;40, "33-39", C666&lt;47, "40-46",C666&lt;54, "47-53", TRUE, "54+")</f>
        <v>40-46</v>
      </c>
      <c r="E666">
        <v>941807</v>
      </c>
      <c r="F666" s="1">
        <v>40719</v>
      </c>
      <c r="G666" t="s">
        <v>44</v>
      </c>
      <c r="H666" t="s">
        <v>74</v>
      </c>
      <c r="I666">
        <v>500</v>
      </c>
      <c r="J666">
        <v>1219.94</v>
      </c>
      <c r="K666">
        <v>7000000</v>
      </c>
      <c r="L666">
        <v>431968</v>
      </c>
      <c r="M666" t="s">
        <v>75</v>
      </c>
      <c r="N666" t="s">
        <v>129</v>
      </c>
      <c r="O666" t="s">
        <v>106</v>
      </c>
      <c r="P666" t="s">
        <v>170</v>
      </c>
      <c r="Q666" t="s">
        <v>124</v>
      </c>
      <c r="R666">
        <v>0</v>
      </c>
      <c r="S666">
        <v>-51000</v>
      </c>
      <c r="T666" s="1">
        <v>42062</v>
      </c>
      <c r="U666" t="s">
        <v>51</v>
      </c>
      <c r="V666" t="s">
        <v>52</v>
      </c>
      <c r="W666" t="s">
        <v>68</v>
      </c>
      <c r="X666" t="s">
        <v>141</v>
      </c>
      <c r="Y666" t="s">
        <v>82</v>
      </c>
      <c r="Z666" t="s">
        <v>92</v>
      </c>
      <c r="AA666" t="s">
        <v>848</v>
      </c>
      <c r="AB666">
        <v>13</v>
      </c>
      <c r="AC666" t="str">
        <f t="shared" si="31"/>
        <v>Afternoon</v>
      </c>
      <c r="AD666">
        <v>1</v>
      </c>
      <c r="AE666" t="s">
        <v>67</v>
      </c>
      <c r="AF666">
        <v>0</v>
      </c>
      <c r="AG666">
        <v>1</v>
      </c>
      <c r="AH666" t="s">
        <v>58</v>
      </c>
      <c r="AI666">
        <v>63100</v>
      </c>
      <c r="AJ666">
        <v>6310</v>
      </c>
      <c r="AK666">
        <v>12620</v>
      </c>
      <c r="AL666">
        <v>44170</v>
      </c>
      <c r="AM666" t="s">
        <v>100</v>
      </c>
      <c r="AN666" t="s">
        <v>163</v>
      </c>
      <c r="AO666">
        <v>2015</v>
      </c>
      <c r="AP666">
        <v>2000</v>
      </c>
      <c r="AQ666">
        <f t="shared" si="32"/>
        <v>15</v>
      </c>
      <c r="AR666" t="s">
        <v>87</v>
      </c>
    </row>
    <row r="667" spans="1:44" x14ac:dyDescent="0.25">
      <c r="A667">
        <v>435</v>
      </c>
      <c r="B667" t="str">
        <f t="shared" si="30"/>
        <v>10+ years</v>
      </c>
      <c r="C667">
        <v>60</v>
      </c>
      <c r="D667" t="str" cm="1">
        <f t="array" ref="D667">_xlfn.IFS(C667&lt;26, "19-25", C667&lt;33, "26-32", C667&lt;40, "33-39", C667&lt;47, "40-46",C667&lt;54, "47-53", TRUE, "54+")</f>
        <v>54+</v>
      </c>
      <c r="E667">
        <v>593466</v>
      </c>
      <c r="F667" s="1">
        <v>39042</v>
      </c>
      <c r="G667" t="s">
        <v>44</v>
      </c>
      <c r="H667" t="s">
        <v>96</v>
      </c>
      <c r="I667">
        <v>500</v>
      </c>
      <c r="J667">
        <v>1064.49</v>
      </c>
      <c r="K667">
        <v>5000000</v>
      </c>
      <c r="L667">
        <v>462804</v>
      </c>
      <c r="M667" t="s">
        <v>46</v>
      </c>
      <c r="N667" t="s">
        <v>97</v>
      </c>
      <c r="O667" t="s">
        <v>122</v>
      </c>
      <c r="P667" t="s">
        <v>173</v>
      </c>
      <c r="Q667" t="s">
        <v>65</v>
      </c>
      <c r="R667">
        <v>73500</v>
      </c>
      <c r="S667">
        <v>-43300</v>
      </c>
      <c r="T667" s="1">
        <v>42048</v>
      </c>
      <c r="U667" t="s">
        <v>51</v>
      </c>
      <c r="V667" t="s">
        <v>91</v>
      </c>
      <c r="W667" t="s">
        <v>112</v>
      </c>
      <c r="X667" t="s">
        <v>141</v>
      </c>
      <c r="Y667" t="s">
        <v>118</v>
      </c>
      <c r="Z667" t="s">
        <v>92</v>
      </c>
      <c r="AA667" t="s">
        <v>849</v>
      </c>
      <c r="AB667">
        <v>23</v>
      </c>
      <c r="AC667" t="str">
        <f t="shared" si="31"/>
        <v>Evening</v>
      </c>
      <c r="AD667">
        <v>1</v>
      </c>
      <c r="AE667" t="s">
        <v>84</v>
      </c>
      <c r="AF667">
        <v>2</v>
      </c>
      <c r="AG667">
        <v>1</v>
      </c>
      <c r="AH667" t="s">
        <v>67</v>
      </c>
      <c r="AI667">
        <v>62880</v>
      </c>
      <c r="AJ667">
        <v>5240</v>
      </c>
      <c r="AK667">
        <v>10480</v>
      </c>
      <c r="AL667">
        <v>47160</v>
      </c>
      <c r="AM667" t="s">
        <v>72</v>
      </c>
      <c r="AN667" t="s">
        <v>73</v>
      </c>
      <c r="AO667">
        <v>2015</v>
      </c>
      <c r="AP667">
        <v>2007</v>
      </c>
      <c r="AQ667">
        <f t="shared" si="32"/>
        <v>8</v>
      </c>
      <c r="AR667" t="s">
        <v>61</v>
      </c>
    </row>
    <row r="668" spans="1:44" x14ac:dyDescent="0.25">
      <c r="A668">
        <v>344</v>
      </c>
      <c r="B668" t="str">
        <f t="shared" si="30"/>
        <v>10+ years</v>
      </c>
      <c r="C668">
        <v>51</v>
      </c>
      <c r="D668" t="str" cm="1">
        <f t="array" ref="D668">_xlfn.IFS(C668&lt;26, "19-25", C668&lt;33, "26-32", C668&lt;40, "33-39", C668&lt;47, "40-46",C668&lt;54, "47-53", TRUE, "54+")</f>
        <v>47-53</v>
      </c>
      <c r="E668">
        <v>437442</v>
      </c>
      <c r="F668" s="1">
        <v>39626</v>
      </c>
      <c r="G668" t="s">
        <v>88</v>
      </c>
      <c r="H668" t="s">
        <v>74</v>
      </c>
      <c r="I668">
        <v>1000</v>
      </c>
      <c r="J668">
        <v>959.83</v>
      </c>
      <c r="K668">
        <v>0</v>
      </c>
      <c r="L668">
        <v>435809</v>
      </c>
      <c r="M668" t="s">
        <v>75</v>
      </c>
      <c r="N668" t="s">
        <v>129</v>
      </c>
      <c r="O668" t="s">
        <v>77</v>
      </c>
      <c r="P668" t="s">
        <v>170</v>
      </c>
      <c r="Q668" t="s">
        <v>147</v>
      </c>
      <c r="R668">
        <v>0</v>
      </c>
      <c r="S668">
        <v>-38700</v>
      </c>
      <c r="T668" s="1">
        <v>42037</v>
      </c>
      <c r="U668" t="s">
        <v>80</v>
      </c>
      <c r="V668" t="s">
        <v>52</v>
      </c>
      <c r="W668" t="s">
        <v>53</v>
      </c>
      <c r="X668" t="s">
        <v>104</v>
      </c>
      <c r="Y668" t="s">
        <v>82</v>
      </c>
      <c r="Z668" t="s">
        <v>132</v>
      </c>
      <c r="AA668" t="s">
        <v>850</v>
      </c>
      <c r="AB668">
        <v>18</v>
      </c>
      <c r="AC668" t="str">
        <f t="shared" si="31"/>
        <v>Evening</v>
      </c>
      <c r="AD668">
        <v>3</v>
      </c>
      <c r="AE668" t="s">
        <v>67</v>
      </c>
      <c r="AF668">
        <v>2</v>
      </c>
      <c r="AG668">
        <v>2</v>
      </c>
      <c r="AH668" t="s">
        <v>58</v>
      </c>
      <c r="AI668">
        <v>75400</v>
      </c>
      <c r="AJ668">
        <v>17400</v>
      </c>
      <c r="AK668">
        <v>11600</v>
      </c>
      <c r="AL668">
        <v>46400</v>
      </c>
      <c r="AM668" t="s">
        <v>192</v>
      </c>
      <c r="AN668" t="s">
        <v>243</v>
      </c>
      <c r="AO668">
        <v>2015</v>
      </c>
      <c r="AP668">
        <v>2006</v>
      </c>
      <c r="AQ668">
        <f t="shared" si="32"/>
        <v>9</v>
      </c>
      <c r="AR668" t="s">
        <v>61</v>
      </c>
    </row>
    <row r="669" spans="1:44" x14ac:dyDescent="0.25">
      <c r="A669">
        <v>204</v>
      </c>
      <c r="B669" t="str">
        <f t="shared" si="30"/>
        <v>10+ years</v>
      </c>
      <c r="C669">
        <v>40</v>
      </c>
      <c r="D669" t="str" cm="1">
        <f t="array" ref="D669">_xlfn.IFS(C669&lt;26, "19-25", C669&lt;33, "26-32", C669&lt;40, "33-39", C669&lt;47, "40-46",C669&lt;54, "47-53", TRUE, "54+")</f>
        <v>40-46</v>
      </c>
      <c r="E669">
        <v>942106</v>
      </c>
      <c r="F669" s="1">
        <v>34211</v>
      </c>
      <c r="G669" t="s">
        <v>44</v>
      </c>
      <c r="H669" t="s">
        <v>45</v>
      </c>
      <c r="I669">
        <v>2000</v>
      </c>
      <c r="J669">
        <v>1767.02</v>
      </c>
      <c r="K669">
        <v>0</v>
      </c>
      <c r="L669">
        <v>453193</v>
      </c>
      <c r="M669" t="s">
        <v>46</v>
      </c>
      <c r="N669" t="s">
        <v>166</v>
      </c>
      <c r="O669" t="s">
        <v>63</v>
      </c>
      <c r="P669" t="s">
        <v>154</v>
      </c>
      <c r="Q669" t="s">
        <v>50</v>
      </c>
      <c r="R669">
        <v>0</v>
      </c>
      <c r="S669">
        <v>-49300</v>
      </c>
      <c r="T669" s="1">
        <v>42062</v>
      </c>
      <c r="U669" t="s">
        <v>51</v>
      </c>
      <c r="V669" t="s">
        <v>81</v>
      </c>
      <c r="W669" t="s">
        <v>112</v>
      </c>
      <c r="X669" t="s">
        <v>141</v>
      </c>
      <c r="Y669" t="s">
        <v>55</v>
      </c>
      <c r="Z669" t="s">
        <v>92</v>
      </c>
      <c r="AA669" t="s">
        <v>851</v>
      </c>
      <c r="AB669">
        <v>7</v>
      </c>
      <c r="AC669" t="str">
        <f t="shared" si="31"/>
        <v>Morning</v>
      </c>
      <c r="AD669">
        <v>1</v>
      </c>
      <c r="AE669" t="s">
        <v>58</v>
      </c>
      <c r="AF669">
        <v>1</v>
      </c>
      <c r="AG669">
        <v>1</v>
      </c>
      <c r="AH669" t="s">
        <v>84</v>
      </c>
      <c r="AI669">
        <v>46200</v>
      </c>
      <c r="AJ669">
        <v>4200</v>
      </c>
      <c r="AK669">
        <v>8400</v>
      </c>
      <c r="AL669">
        <v>33600</v>
      </c>
      <c r="AM669" t="s">
        <v>114</v>
      </c>
      <c r="AN669" t="s">
        <v>115</v>
      </c>
      <c r="AO669">
        <v>2015</v>
      </c>
      <c r="AP669">
        <v>1997</v>
      </c>
      <c r="AQ669">
        <f t="shared" si="32"/>
        <v>18</v>
      </c>
      <c r="AR669" t="s">
        <v>87</v>
      </c>
    </row>
    <row r="670" spans="1:44" x14ac:dyDescent="0.25">
      <c r="A670">
        <v>278</v>
      </c>
      <c r="B670" t="str">
        <f t="shared" si="30"/>
        <v>10+ years</v>
      </c>
      <c r="C670">
        <v>47</v>
      </c>
      <c r="D670" t="str" cm="1">
        <f t="array" ref="D670">_xlfn.IFS(C670&lt;26, "19-25", C670&lt;33, "26-32", C670&lt;40, "33-39", C670&lt;47, "40-46",C670&lt;54, "47-53", TRUE, "54+")</f>
        <v>47-53</v>
      </c>
      <c r="E670">
        <v>794951</v>
      </c>
      <c r="F670" s="1">
        <v>39559</v>
      </c>
      <c r="G670" t="s">
        <v>62</v>
      </c>
      <c r="H670" t="s">
        <v>96</v>
      </c>
      <c r="I670">
        <v>500</v>
      </c>
      <c r="J670">
        <v>1285.01</v>
      </c>
      <c r="K670">
        <v>0</v>
      </c>
      <c r="L670">
        <v>459630</v>
      </c>
      <c r="M670" t="s">
        <v>46</v>
      </c>
      <c r="N670" t="s">
        <v>129</v>
      </c>
      <c r="O670" t="s">
        <v>63</v>
      </c>
      <c r="P670" t="s">
        <v>49</v>
      </c>
      <c r="Q670" t="s">
        <v>147</v>
      </c>
      <c r="R670">
        <v>0</v>
      </c>
      <c r="S670">
        <v>-39800</v>
      </c>
      <c r="T670" s="1">
        <v>42037</v>
      </c>
      <c r="U670" t="s">
        <v>51</v>
      </c>
      <c r="V670" t="s">
        <v>81</v>
      </c>
      <c r="W670" t="s">
        <v>53</v>
      </c>
      <c r="X670" t="s">
        <v>141</v>
      </c>
      <c r="Y670" t="s">
        <v>69</v>
      </c>
      <c r="Z670" t="s">
        <v>127</v>
      </c>
      <c r="AA670" t="s">
        <v>852</v>
      </c>
      <c r="AB670">
        <v>21</v>
      </c>
      <c r="AC670" t="str">
        <f t="shared" si="31"/>
        <v>Evening</v>
      </c>
      <c r="AD670">
        <v>1</v>
      </c>
      <c r="AE670" t="s">
        <v>84</v>
      </c>
      <c r="AF670">
        <v>2</v>
      </c>
      <c r="AG670">
        <v>2</v>
      </c>
      <c r="AH670" t="s">
        <v>58</v>
      </c>
      <c r="AI670">
        <v>58500</v>
      </c>
      <c r="AJ670">
        <v>5850</v>
      </c>
      <c r="AK670">
        <v>5850</v>
      </c>
      <c r="AL670">
        <v>46800</v>
      </c>
      <c r="AM670" t="s">
        <v>120</v>
      </c>
      <c r="AN670" t="s">
        <v>121</v>
      </c>
      <c r="AO670">
        <v>2015</v>
      </c>
      <c r="AP670">
        <v>2010</v>
      </c>
      <c r="AQ670">
        <f t="shared" si="32"/>
        <v>5</v>
      </c>
      <c r="AR670" t="s">
        <v>87</v>
      </c>
    </row>
    <row r="671" spans="1:44" x14ac:dyDescent="0.25">
      <c r="A671">
        <v>434</v>
      </c>
      <c r="B671" t="str">
        <f t="shared" si="30"/>
        <v>10+ years</v>
      </c>
      <c r="C671">
        <v>57</v>
      </c>
      <c r="D671" t="str" cm="1">
        <f t="array" ref="D671">_xlfn.IFS(C671&lt;26, "19-25", C671&lt;33, "26-32", C671&lt;40, "33-39", C671&lt;47, "40-46",C671&lt;54, "47-53", TRUE, "54+")</f>
        <v>54+</v>
      </c>
      <c r="E671">
        <v>182450</v>
      </c>
      <c r="F671" s="1">
        <v>36700</v>
      </c>
      <c r="G671" t="s">
        <v>44</v>
      </c>
      <c r="H671" t="s">
        <v>96</v>
      </c>
      <c r="I671">
        <v>2000</v>
      </c>
      <c r="J671">
        <v>1422.95</v>
      </c>
      <c r="K671">
        <v>0</v>
      </c>
      <c r="L671">
        <v>608982</v>
      </c>
      <c r="M671" t="s">
        <v>46</v>
      </c>
      <c r="N671" t="s">
        <v>166</v>
      </c>
      <c r="O671" t="s">
        <v>150</v>
      </c>
      <c r="P671" t="s">
        <v>103</v>
      </c>
      <c r="Q671" t="s">
        <v>50</v>
      </c>
      <c r="R671">
        <v>0</v>
      </c>
      <c r="S671">
        <v>0</v>
      </c>
      <c r="T671" s="1">
        <v>42021</v>
      </c>
      <c r="U671" t="s">
        <v>80</v>
      </c>
      <c r="V671" t="s">
        <v>81</v>
      </c>
      <c r="W671" t="s">
        <v>53</v>
      </c>
      <c r="X671" t="s">
        <v>125</v>
      </c>
      <c r="Y671" t="s">
        <v>55</v>
      </c>
      <c r="Z671" t="s">
        <v>56</v>
      </c>
      <c r="AA671" t="s">
        <v>853</v>
      </c>
      <c r="AB671">
        <v>15</v>
      </c>
      <c r="AC671" t="str">
        <f t="shared" si="31"/>
        <v>Afternoon</v>
      </c>
      <c r="AD671">
        <v>3</v>
      </c>
      <c r="AE671" t="s">
        <v>84</v>
      </c>
      <c r="AF671">
        <v>1</v>
      </c>
      <c r="AG671">
        <v>3</v>
      </c>
      <c r="AH671" t="s">
        <v>84</v>
      </c>
      <c r="AI671">
        <v>66240</v>
      </c>
      <c r="AJ671">
        <v>11040</v>
      </c>
      <c r="AK671">
        <v>11040</v>
      </c>
      <c r="AL671">
        <v>44160</v>
      </c>
      <c r="AM671" t="s">
        <v>109</v>
      </c>
      <c r="AN671" t="s">
        <v>156</v>
      </c>
      <c r="AO671">
        <v>2015</v>
      </c>
      <c r="AP671">
        <v>2003</v>
      </c>
      <c r="AQ671">
        <f t="shared" si="32"/>
        <v>12</v>
      </c>
      <c r="AR671" t="s">
        <v>87</v>
      </c>
    </row>
    <row r="672" spans="1:44" x14ac:dyDescent="0.25">
      <c r="A672">
        <v>209</v>
      </c>
      <c r="B672" t="str">
        <f t="shared" si="30"/>
        <v>10+ years</v>
      </c>
      <c r="C672">
        <v>36</v>
      </c>
      <c r="D672" t="str" cm="1">
        <f t="array" ref="D672">_xlfn.IFS(C672&lt;26, "19-25", C672&lt;33, "26-32", C672&lt;40, "33-39", C672&lt;47, "40-46",C672&lt;54, "47-53", TRUE, "54+")</f>
        <v>33-39</v>
      </c>
      <c r="E672">
        <v>730973</v>
      </c>
      <c r="F672" s="1">
        <v>40189</v>
      </c>
      <c r="G672" t="s">
        <v>62</v>
      </c>
      <c r="H672" t="s">
        <v>74</v>
      </c>
      <c r="I672">
        <v>2000</v>
      </c>
      <c r="J672">
        <v>1223.3900000000001</v>
      </c>
      <c r="K672">
        <v>0</v>
      </c>
      <c r="L672">
        <v>452218</v>
      </c>
      <c r="M672" t="s">
        <v>75</v>
      </c>
      <c r="N672" t="s">
        <v>47</v>
      </c>
      <c r="O672" t="s">
        <v>48</v>
      </c>
      <c r="P672" t="s">
        <v>123</v>
      </c>
      <c r="Q672" t="s">
        <v>124</v>
      </c>
      <c r="R672">
        <v>0</v>
      </c>
      <c r="S672">
        <v>0</v>
      </c>
      <c r="T672" s="1">
        <v>42016</v>
      </c>
      <c r="U672" t="s">
        <v>80</v>
      </c>
      <c r="V672" t="s">
        <v>81</v>
      </c>
      <c r="W672" t="s">
        <v>112</v>
      </c>
      <c r="X672" t="s">
        <v>141</v>
      </c>
      <c r="Y672" t="s">
        <v>180</v>
      </c>
      <c r="Z672" t="s">
        <v>127</v>
      </c>
      <c r="AA672" t="s">
        <v>854</v>
      </c>
      <c r="AB672">
        <v>17</v>
      </c>
      <c r="AC672" t="str">
        <f t="shared" si="31"/>
        <v>Afternoon</v>
      </c>
      <c r="AD672">
        <v>3</v>
      </c>
      <c r="AE672" t="s">
        <v>67</v>
      </c>
      <c r="AF672">
        <v>1</v>
      </c>
      <c r="AG672">
        <v>3</v>
      </c>
      <c r="AH672" t="s">
        <v>67</v>
      </c>
      <c r="AI672">
        <v>65440</v>
      </c>
      <c r="AJ672">
        <v>8180</v>
      </c>
      <c r="AK672">
        <v>8180</v>
      </c>
      <c r="AL672">
        <v>49080</v>
      </c>
      <c r="AM672" t="s">
        <v>202</v>
      </c>
      <c r="AN672" t="s">
        <v>203</v>
      </c>
      <c r="AO672">
        <v>2015</v>
      </c>
      <c r="AP672">
        <v>2014</v>
      </c>
      <c r="AQ672">
        <f t="shared" si="32"/>
        <v>1</v>
      </c>
      <c r="AR672" t="s">
        <v>87</v>
      </c>
    </row>
    <row r="673" spans="1:44" x14ac:dyDescent="0.25">
      <c r="A673">
        <v>250</v>
      </c>
      <c r="B673" t="str">
        <f t="shared" si="30"/>
        <v>10+ years</v>
      </c>
      <c r="C673">
        <v>43</v>
      </c>
      <c r="D673" t="str" cm="1">
        <f t="array" ref="D673">_xlfn.IFS(C673&lt;26, "19-25", C673&lt;33, "26-32", C673&lt;40, "33-39", C673&lt;47, "40-46",C673&lt;54, "47-53", TRUE, "54+")</f>
        <v>40-46</v>
      </c>
      <c r="E673">
        <v>687755</v>
      </c>
      <c r="F673" s="1">
        <v>32960</v>
      </c>
      <c r="G673" t="s">
        <v>88</v>
      </c>
      <c r="H673" t="s">
        <v>96</v>
      </c>
      <c r="I673">
        <v>2000</v>
      </c>
      <c r="J673">
        <v>1539.06</v>
      </c>
      <c r="K673">
        <v>0</v>
      </c>
      <c r="L673">
        <v>434150</v>
      </c>
      <c r="M673" t="s">
        <v>46</v>
      </c>
      <c r="N673" t="s">
        <v>129</v>
      </c>
      <c r="O673" t="s">
        <v>77</v>
      </c>
      <c r="P673" t="s">
        <v>269</v>
      </c>
      <c r="Q673" t="s">
        <v>65</v>
      </c>
      <c r="R673">
        <v>37800</v>
      </c>
      <c r="S673">
        <v>0</v>
      </c>
      <c r="T673" s="1">
        <v>42024</v>
      </c>
      <c r="U673" t="s">
        <v>51</v>
      </c>
      <c r="V673" t="s">
        <v>91</v>
      </c>
      <c r="W673" t="s">
        <v>68</v>
      </c>
      <c r="X673" t="s">
        <v>104</v>
      </c>
      <c r="Y673" t="s">
        <v>55</v>
      </c>
      <c r="Z673" t="s">
        <v>127</v>
      </c>
      <c r="AA673" t="s">
        <v>855</v>
      </c>
      <c r="AB673">
        <v>2</v>
      </c>
      <c r="AC673" t="str">
        <f t="shared" si="31"/>
        <v>Night</v>
      </c>
      <c r="AD673">
        <v>1</v>
      </c>
      <c r="AE673" t="s">
        <v>84</v>
      </c>
      <c r="AF673">
        <v>0</v>
      </c>
      <c r="AG673">
        <v>3</v>
      </c>
      <c r="AH673" t="s">
        <v>67</v>
      </c>
      <c r="AI673">
        <v>64200</v>
      </c>
      <c r="AJ673">
        <v>10700</v>
      </c>
      <c r="AK673">
        <v>10700</v>
      </c>
      <c r="AL673">
        <v>42800</v>
      </c>
      <c r="AM673" t="s">
        <v>134</v>
      </c>
      <c r="AN673" t="s">
        <v>135</v>
      </c>
      <c r="AO673">
        <v>2015</v>
      </c>
      <c r="AP673">
        <v>2002</v>
      </c>
      <c r="AQ673">
        <f t="shared" si="32"/>
        <v>13</v>
      </c>
      <c r="AR673" t="s">
        <v>87</v>
      </c>
    </row>
    <row r="674" spans="1:44" x14ac:dyDescent="0.25">
      <c r="A674">
        <v>61</v>
      </c>
      <c r="B674" t="str">
        <f t="shared" si="30"/>
        <v>5-10 years</v>
      </c>
      <c r="C674">
        <v>25</v>
      </c>
      <c r="D674" t="str" cm="1">
        <f t="array" ref="D674">_xlfn.IFS(C674&lt;26, "19-25", C674&lt;33, "26-32", C674&lt;40, "33-39", C674&lt;47, "40-46",C674&lt;54, "47-53", TRUE, "54+")</f>
        <v>19-25</v>
      </c>
      <c r="E674">
        <v>757644</v>
      </c>
      <c r="F674" s="1">
        <v>35824</v>
      </c>
      <c r="G674" t="s">
        <v>62</v>
      </c>
      <c r="H674" t="s">
        <v>74</v>
      </c>
      <c r="I674">
        <v>2000</v>
      </c>
      <c r="J674">
        <v>988.06</v>
      </c>
      <c r="K674">
        <v>0</v>
      </c>
      <c r="L674">
        <v>460579</v>
      </c>
      <c r="M674" t="s">
        <v>75</v>
      </c>
      <c r="N674" t="s">
        <v>129</v>
      </c>
      <c r="O674" t="s">
        <v>116</v>
      </c>
      <c r="P674" t="s">
        <v>131</v>
      </c>
      <c r="Q674" t="s">
        <v>147</v>
      </c>
      <c r="R674">
        <v>0</v>
      </c>
      <c r="S674">
        <v>0</v>
      </c>
      <c r="T674" s="1">
        <v>42040</v>
      </c>
      <c r="U674" t="s">
        <v>80</v>
      </c>
      <c r="V674" t="s">
        <v>81</v>
      </c>
      <c r="W674" t="s">
        <v>68</v>
      </c>
      <c r="X674" t="s">
        <v>141</v>
      </c>
      <c r="Y674" t="s">
        <v>118</v>
      </c>
      <c r="Z674" t="s">
        <v>132</v>
      </c>
      <c r="AA674" t="s">
        <v>856</v>
      </c>
      <c r="AB674">
        <v>1</v>
      </c>
      <c r="AC674" t="str">
        <f t="shared" si="31"/>
        <v>Night</v>
      </c>
      <c r="AD674">
        <v>3</v>
      </c>
      <c r="AE674" t="s">
        <v>58</v>
      </c>
      <c r="AF674">
        <v>1</v>
      </c>
      <c r="AG674">
        <v>0</v>
      </c>
      <c r="AH674" t="s">
        <v>84</v>
      </c>
      <c r="AI674">
        <v>32320</v>
      </c>
      <c r="AJ674">
        <v>4040</v>
      </c>
      <c r="AK674">
        <v>4040</v>
      </c>
      <c r="AL674">
        <v>24240</v>
      </c>
      <c r="AM674" t="s">
        <v>85</v>
      </c>
      <c r="AN674" t="s">
        <v>86</v>
      </c>
      <c r="AO674">
        <v>2015</v>
      </c>
      <c r="AP674">
        <v>2000</v>
      </c>
      <c r="AQ674">
        <f t="shared" si="32"/>
        <v>15</v>
      </c>
      <c r="AR674" t="s">
        <v>87</v>
      </c>
    </row>
    <row r="675" spans="1:44" x14ac:dyDescent="0.25">
      <c r="A675">
        <v>80</v>
      </c>
      <c r="B675" t="str">
        <f t="shared" si="30"/>
        <v>5-10 years</v>
      </c>
      <c r="C675">
        <v>28</v>
      </c>
      <c r="D675" t="str" cm="1">
        <f t="array" ref="D675">_xlfn.IFS(C675&lt;26, "19-25", C675&lt;33, "26-32", C675&lt;40, "33-39", C675&lt;47, "40-46",C675&lt;54, "47-53", TRUE, "54+")</f>
        <v>26-32</v>
      </c>
      <c r="E675">
        <v>998865</v>
      </c>
      <c r="F675" s="1">
        <v>41978</v>
      </c>
      <c r="G675" t="s">
        <v>88</v>
      </c>
      <c r="H675" t="s">
        <v>96</v>
      </c>
      <c r="I675">
        <v>1000</v>
      </c>
      <c r="J675">
        <v>1740.57</v>
      </c>
      <c r="K675">
        <v>0</v>
      </c>
      <c r="L675">
        <v>442142</v>
      </c>
      <c r="M675" t="s">
        <v>75</v>
      </c>
      <c r="N675" t="s">
        <v>146</v>
      </c>
      <c r="O675" t="s">
        <v>194</v>
      </c>
      <c r="P675" t="s">
        <v>117</v>
      </c>
      <c r="Q675" t="s">
        <v>124</v>
      </c>
      <c r="R675">
        <v>0</v>
      </c>
      <c r="S675">
        <v>-18600</v>
      </c>
      <c r="T675" s="1">
        <v>42024</v>
      </c>
      <c r="U675" t="s">
        <v>51</v>
      </c>
      <c r="V675" t="s">
        <v>81</v>
      </c>
      <c r="W675" t="s">
        <v>53</v>
      </c>
      <c r="X675" t="s">
        <v>54</v>
      </c>
      <c r="Y675" t="s">
        <v>55</v>
      </c>
      <c r="Z675" t="s">
        <v>132</v>
      </c>
      <c r="AA675" t="s">
        <v>857</v>
      </c>
      <c r="AB675">
        <v>3</v>
      </c>
      <c r="AC675" t="str">
        <f t="shared" si="31"/>
        <v>Night</v>
      </c>
      <c r="AD675">
        <v>1</v>
      </c>
      <c r="AE675" t="s">
        <v>67</v>
      </c>
      <c r="AF675">
        <v>0</v>
      </c>
      <c r="AG675">
        <v>1</v>
      </c>
      <c r="AH675" t="s">
        <v>67</v>
      </c>
      <c r="AI675">
        <v>33480</v>
      </c>
      <c r="AJ675">
        <v>3720</v>
      </c>
      <c r="AK675">
        <v>3720</v>
      </c>
      <c r="AL675">
        <v>26040</v>
      </c>
      <c r="AM675" t="s">
        <v>85</v>
      </c>
      <c r="AN675" t="s">
        <v>149</v>
      </c>
      <c r="AO675">
        <v>2015</v>
      </c>
      <c r="AP675">
        <v>2011</v>
      </c>
      <c r="AQ675">
        <f t="shared" si="32"/>
        <v>4</v>
      </c>
      <c r="AR675" t="s">
        <v>87</v>
      </c>
    </row>
    <row r="676" spans="1:44" x14ac:dyDescent="0.25">
      <c r="A676">
        <v>25</v>
      </c>
      <c r="B676" t="str">
        <f t="shared" si="30"/>
        <v>2-5 years</v>
      </c>
      <c r="C676">
        <v>38</v>
      </c>
      <c r="D676" t="str" cm="1">
        <f t="array" ref="D676">_xlfn.IFS(C676&lt;26, "19-25", C676&lt;33, "26-32", C676&lt;40, "33-39", C676&lt;47, "40-46",C676&lt;54, "47-53", TRUE, "54+")</f>
        <v>33-39</v>
      </c>
      <c r="E676">
        <v>944953</v>
      </c>
      <c r="F676" s="1">
        <v>35040</v>
      </c>
      <c r="G676" t="s">
        <v>44</v>
      </c>
      <c r="H676" t="s">
        <v>45</v>
      </c>
      <c r="I676">
        <v>1000</v>
      </c>
      <c r="J676">
        <v>1540.91</v>
      </c>
      <c r="K676">
        <v>7000000</v>
      </c>
      <c r="L676">
        <v>608807</v>
      </c>
      <c r="M676" t="s">
        <v>46</v>
      </c>
      <c r="N676" t="s">
        <v>146</v>
      </c>
      <c r="O676" t="s">
        <v>190</v>
      </c>
      <c r="P676" t="s">
        <v>178</v>
      </c>
      <c r="Q676" t="s">
        <v>124</v>
      </c>
      <c r="R676">
        <v>40900</v>
      </c>
      <c r="S676">
        <v>0</v>
      </c>
      <c r="T676" s="1">
        <v>42059</v>
      </c>
      <c r="U676" t="s">
        <v>66</v>
      </c>
      <c r="V676" t="s">
        <v>67</v>
      </c>
      <c r="W676" t="s">
        <v>217</v>
      </c>
      <c r="X676" t="s">
        <v>98</v>
      </c>
      <c r="Y676" t="s">
        <v>69</v>
      </c>
      <c r="Z676" t="s">
        <v>132</v>
      </c>
      <c r="AA676" t="s">
        <v>858</v>
      </c>
      <c r="AB676">
        <v>0</v>
      </c>
      <c r="AC676" t="str">
        <f t="shared" si="31"/>
        <v>Night</v>
      </c>
      <c r="AD676">
        <v>1</v>
      </c>
      <c r="AE676" t="s">
        <v>84</v>
      </c>
      <c r="AF676">
        <v>1</v>
      </c>
      <c r="AG676">
        <v>1</v>
      </c>
      <c r="AH676" t="s">
        <v>58</v>
      </c>
      <c r="AI676">
        <v>4320</v>
      </c>
      <c r="AJ676">
        <v>480</v>
      </c>
      <c r="AK676">
        <v>960</v>
      </c>
      <c r="AL676">
        <v>2880</v>
      </c>
      <c r="AM676" t="s">
        <v>120</v>
      </c>
      <c r="AN676" t="s">
        <v>188</v>
      </c>
      <c r="AO676">
        <v>2015</v>
      </c>
      <c r="AP676">
        <v>1995</v>
      </c>
      <c r="AQ676">
        <f t="shared" si="32"/>
        <v>20</v>
      </c>
      <c r="AR676" t="s">
        <v>87</v>
      </c>
    </row>
    <row r="677" spans="1:44" x14ac:dyDescent="0.25">
      <c r="A677">
        <v>4</v>
      </c>
      <c r="B677" t="str">
        <f t="shared" si="30"/>
        <v>0-2 years</v>
      </c>
      <c r="C677">
        <v>29</v>
      </c>
      <c r="D677" t="str" cm="1">
        <f t="array" ref="D677">_xlfn.IFS(C677&lt;26, "19-25", C677&lt;33, "26-32", C677&lt;40, "33-39", C677&lt;47, "40-46",C677&lt;54, "47-53", TRUE, "54+")</f>
        <v>26-32</v>
      </c>
      <c r="E677">
        <v>386429</v>
      </c>
      <c r="F677" s="1">
        <v>37403</v>
      </c>
      <c r="G677" t="s">
        <v>88</v>
      </c>
      <c r="H677" t="s">
        <v>45</v>
      </c>
      <c r="I677">
        <v>500</v>
      </c>
      <c r="J677">
        <v>1381.88</v>
      </c>
      <c r="K677">
        <v>5000000</v>
      </c>
      <c r="L677">
        <v>433153</v>
      </c>
      <c r="M677" t="s">
        <v>46</v>
      </c>
      <c r="N677" t="s">
        <v>136</v>
      </c>
      <c r="O677" t="s">
        <v>102</v>
      </c>
      <c r="P677" t="s">
        <v>269</v>
      </c>
      <c r="Q677" t="s">
        <v>65</v>
      </c>
      <c r="R677">
        <v>0</v>
      </c>
      <c r="S677">
        <v>-77800</v>
      </c>
      <c r="T677" s="1">
        <v>42056</v>
      </c>
      <c r="U677" t="s">
        <v>66</v>
      </c>
      <c r="V677" t="s">
        <v>67</v>
      </c>
      <c r="W677" t="s">
        <v>217</v>
      </c>
      <c r="X677" t="s">
        <v>54</v>
      </c>
      <c r="Y677" t="s">
        <v>55</v>
      </c>
      <c r="Z677" t="s">
        <v>127</v>
      </c>
      <c r="AA677" t="s">
        <v>859</v>
      </c>
      <c r="AB677">
        <v>4</v>
      </c>
      <c r="AC677" t="str">
        <f t="shared" si="31"/>
        <v>Night</v>
      </c>
      <c r="AD677">
        <v>1</v>
      </c>
      <c r="AE677" t="s">
        <v>84</v>
      </c>
      <c r="AF677">
        <v>0</v>
      </c>
      <c r="AG677">
        <v>2</v>
      </c>
      <c r="AH677" t="s">
        <v>67</v>
      </c>
      <c r="AI677">
        <v>4200</v>
      </c>
      <c r="AJ677">
        <v>840</v>
      </c>
      <c r="AK677">
        <v>420</v>
      </c>
      <c r="AL677">
        <v>2940</v>
      </c>
      <c r="AM677" t="s">
        <v>202</v>
      </c>
      <c r="AN677" t="s">
        <v>203</v>
      </c>
      <c r="AO677">
        <v>2015</v>
      </c>
      <c r="AP677">
        <v>2008</v>
      </c>
      <c r="AQ677">
        <f t="shared" si="32"/>
        <v>7</v>
      </c>
      <c r="AR677" t="s">
        <v>87</v>
      </c>
    </row>
    <row r="678" spans="1:44" x14ac:dyDescent="0.25">
      <c r="A678">
        <v>32</v>
      </c>
      <c r="B678" t="str">
        <f t="shared" si="30"/>
        <v>2-5 years</v>
      </c>
      <c r="C678">
        <v>29</v>
      </c>
      <c r="D678" t="str" cm="1">
        <f t="array" ref="D678">_xlfn.IFS(C678&lt;26, "19-25", C678&lt;33, "26-32", C678&lt;40, "33-39", C678&lt;47, "40-46",C678&lt;54, "47-53", TRUE, "54+")</f>
        <v>26-32</v>
      </c>
      <c r="E678">
        <v>108270</v>
      </c>
      <c r="F678" s="1">
        <v>37477</v>
      </c>
      <c r="G678" t="s">
        <v>44</v>
      </c>
      <c r="H678" t="s">
        <v>74</v>
      </c>
      <c r="I678">
        <v>500</v>
      </c>
      <c r="J678">
        <v>1446.98</v>
      </c>
      <c r="K678">
        <v>0</v>
      </c>
      <c r="L678">
        <v>436560</v>
      </c>
      <c r="M678" t="s">
        <v>46</v>
      </c>
      <c r="N678" t="s">
        <v>47</v>
      </c>
      <c r="O678" t="s">
        <v>190</v>
      </c>
      <c r="P678" t="s">
        <v>49</v>
      </c>
      <c r="Q678" t="s">
        <v>79</v>
      </c>
      <c r="R678">
        <v>0</v>
      </c>
      <c r="S678">
        <v>-45700</v>
      </c>
      <c r="T678" s="1">
        <v>42046</v>
      </c>
      <c r="U678" t="s">
        <v>80</v>
      </c>
      <c r="V678" t="s">
        <v>91</v>
      </c>
      <c r="W678" t="s">
        <v>68</v>
      </c>
      <c r="X678" t="s">
        <v>141</v>
      </c>
      <c r="Y678" t="s">
        <v>82</v>
      </c>
      <c r="Z678" t="s">
        <v>92</v>
      </c>
      <c r="AA678" t="s">
        <v>860</v>
      </c>
      <c r="AB678">
        <v>11</v>
      </c>
      <c r="AC678" t="str">
        <f t="shared" si="31"/>
        <v>Morning</v>
      </c>
      <c r="AD678">
        <v>3</v>
      </c>
      <c r="AE678" t="s">
        <v>58</v>
      </c>
      <c r="AF678">
        <v>2</v>
      </c>
      <c r="AG678">
        <v>0</v>
      </c>
      <c r="AH678" t="s">
        <v>84</v>
      </c>
      <c r="AI678">
        <v>57970</v>
      </c>
      <c r="AJ678">
        <v>10540</v>
      </c>
      <c r="AK678">
        <v>5270</v>
      </c>
      <c r="AL678">
        <v>42160</v>
      </c>
      <c r="AM678" t="s">
        <v>59</v>
      </c>
      <c r="AN678">
        <v>93</v>
      </c>
      <c r="AO678">
        <v>2015</v>
      </c>
      <c r="AP678">
        <v>2006</v>
      </c>
      <c r="AQ678">
        <f t="shared" si="32"/>
        <v>9</v>
      </c>
      <c r="AR678" t="s">
        <v>87</v>
      </c>
    </row>
    <row r="679" spans="1:44" x14ac:dyDescent="0.25">
      <c r="A679">
        <v>125</v>
      </c>
      <c r="B679" t="str">
        <f t="shared" si="30"/>
        <v>10+ years</v>
      </c>
      <c r="C679">
        <v>31</v>
      </c>
      <c r="D679" t="str" cm="1">
        <f t="array" ref="D679">_xlfn.IFS(C679&lt;26, "19-25", C679&lt;33, "26-32", C679&lt;40, "33-39", C679&lt;47, "40-46",C679&lt;54, "47-53", TRUE, "54+")</f>
        <v>26-32</v>
      </c>
      <c r="E679">
        <v>205134</v>
      </c>
      <c r="F679" s="1">
        <v>41245</v>
      </c>
      <c r="G679" t="s">
        <v>62</v>
      </c>
      <c r="H679" t="s">
        <v>96</v>
      </c>
      <c r="I679">
        <v>500</v>
      </c>
      <c r="J679">
        <v>1220.8599999999999</v>
      </c>
      <c r="K679">
        <v>0</v>
      </c>
      <c r="L679">
        <v>436784</v>
      </c>
      <c r="M679" t="s">
        <v>46</v>
      </c>
      <c r="N679" t="s">
        <v>166</v>
      </c>
      <c r="O679" t="s">
        <v>116</v>
      </c>
      <c r="P679" t="s">
        <v>170</v>
      </c>
      <c r="Q679" t="s">
        <v>50</v>
      </c>
      <c r="R679">
        <v>55400</v>
      </c>
      <c r="S679">
        <v>-40400</v>
      </c>
      <c r="T679" s="1">
        <v>42028</v>
      </c>
      <c r="U679" t="s">
        <v>143</v>
      </c>
      <c r="V679" t="s">
        <v>67</v>
      </c>
      <c r="W679" t="s">
        <v>217</v>
      </c>
      <c r="X679" t="s">
        <v>98</v>
      </c>
      <c r="Y679" t="s">
        <v>82</v>
      </c>
      <c r="Z679" t="s">
        <v>92</v>
      </c>
      <c r="AA679" t="s">
        <v>861</v>
      </c>
      <c r="AB679">
        <v>4</v>
      </c>
      <c r="AC679" t="str">
        <f t="shared" si="31"/>
        <v>Night</v>
      </c>
      <c r="AD679">
        <v>1</v>
      </c>
      <c r="AE679" t="s">
        <v>58</v>
      </c>
      <c r="AF679">
        <v>1</v>
      </c>
      <c r="AG679">
        <v>2</v>
      </c>
      <c r="AH679" t="s">
        <v>67</v>
      </c>
      <c r="AI679">
        <v>4320</v>
      </c>
      <c r="AJ679">
        <v>0</v>
      </c>
      <c r="AK679">
        <v>960</v>
      </c>
      <c r="AL679">
        <v>3360</v>
      </c>
      <c r="AM679" t="s">
        <v>59</v>
      </c>
      <c r="AN679">
        <v>93</v>
      </c>
      <c r="AO679">
        <v>2015</v>
      </c>
      <c r="AP679">
        <v>2003</v>
      </c>
      <c r="AQ679">
        <f t="shared" si="32"/>
        <v>12</v>
      </c>
      <c r="AR679" t="s">
        <v>87</v>
      </c>
    </row>
    <row r="680" spans="1:44" x14ac:dyDescent="0.25">
      <c r="A680">
        <v>276</v>
      </c>
      <c r="B680" t="str">
        <f t="shared" si="30"/>
        <v>10+ years</v>
      </c>
      <c r="C680">
        <v>45</v>
      </c>
      <c r="D680" t="str" cm="1">
        <f t="array" ref="D680">_xlfn.IFS(C680&lt;26, "19-25", C680&lt;33, "26-32", C680&lt;40, "33-39", C680&lt;47, "40-46",C680&lt;54, "47-53", TRUE, "54+")</f>
        <v>40-46</v>
      </c>
      <c r="E680">
        <v>749325</v>
      </c>
      <c r="F680" s="1">
        <v>36607</v>
      </c>
      <c r="G680" t="s">
        <v>88</v>
      </c>
      <c r="H680" t="s">
        <v>96</v>
      </c>
      <c r="I680">
        <v>500</v>
      </c>
      <c r="J680">
        <v>948.1</v>
      </c>
      <c r="K680">
        <v>0</v>
      </c>
      <c r="L680">
        <v>430621</v>
      </c>
      <c r="M680" t="s">
        <v>75</v>
      </c>
      <c r="N680" t="s">
        <v>136</v>
      </c>
      <c r="O680" t="s">
        <v>63</v>
      </c>
      <c r="P680" t="s">
        <v>64</v>
      </c>
      <c r="Q680" t="s">
        <v>124</v>
      </c>
      <c r="R680">
        <v>44500</v>
      </c>
      <c r="S680">
        <v>-61400</v>
      </c>
      <c r="T680" s="1">
        <v>42010</v>
      </c>
      <c r="U680" t="s">
        <v>80</v>
      </c>
      <c r="V680" t="s">
        <v>91</v>
      </c>
      <c r="W680" t="s">
        <v>68</v>
      </c>
      <c r="X680" t="s">
        <v>104</v>
      </c>
      <c r="Y680" t="s">
        <v>55</v>
      </c>
      <c r="Z680" t="s">
        <v>56</v>
      </c>
      <c r="AA680" t="s">
        <v>862</v>
      </c>
      <c r="AB680">
        <v>11</v>
      </c>
      <c r="AC680" t="str">
        <f t="shared" si="31"/>
        <v>Morning</v>
      </c>
      <c r="AD680">
        <v>3</v>
      </c>
      <c r="AE680" t="s">
        <v>67</v>
      </c>
      <c r="AF680">
        <v>0</v>
      </c>
      <c r="AG680">
        <v>2</v>
      </c>
      <c r="AH680" t="s">
        <v>67</v>
      </c>
      <c r="AI680">
        <v>69300</v>
      </c>
      <c r="AJ680">
        <v>13860</v>
      </c>
      <c r="AK680">
        <v>6930</v>
      </c>
      <c r="AL680">
        <v>48510</v>
      </c>
      <c r="AM680" t="s">
        <v>134</v>
      </c>
      <c r="AN680" t="s">
        <v>177</v>
      </c>
      <c r="AO680">
        <v>2015</v>
      </c>
      <c r="AP680">
        <v>2010</v>
      </c>
      <c r="AQ680">
        <f t="shared" si="32"/>
        <v>5</v>
      </c>
      <c r="AR680" t="s">
        <v>87</v>
      </c>
    </row>
    <row r="681" spans="1:44" x14ac:dyDescent="0.25">
      <c r="A681">
        <v>148</v>
      </c>
      <c r="B681" t="str">
        <f t="shared" si="30"/>
        <v>10+ years</v>
      </c>
      <c r="C681">
        <v>30</v>
      </c>
      <c r="D681" t="str" cm="1">
        <f t="array" ref="D681">_xlfn.IFS(C681&lt;26, "19-25", C681&lt;33, "26-32", C681&lt;40, "33-39", C681&lt;47, "40-46",C681&lt;54, "47-53", TRUE, "54+")</f>
        <v>26-32</v>
      </c>
      <c r="E681">
        <v>774303</v>
      </c>
      <c r="F681" s="1">
        <v>37359</v>
      </c>
      <c r="G681" t="s">
        <v>44</v>
      </c>
      <c r="H681" t="s">
        <v>74</v>
      </c>
      <c r="I681">
        <v>500</v>
      </c>
      <c r="J681">
        <v>1471.24</v>
      </c>
      <c r="K681">
        <v>0</v>
      </c>
      <c r="L681">
        <v>601574</v>
      </c>
      <c r="M681" t="s">
        <v>75</v>
      </c>
      <c r="N681" t="s">
        <v>129</v>
      </c>
      <c r="O681" t="s">
        <v>194</v>
      </c>
      <c r="P681" t="s">
        <v>123</v>
      </c>
      <c r="Q681" t="s">
        <v>79</v>
      </c>
      <c r="R681">
        <v>57500</v>
      </c>
      <c r="S681">
        <v>-93600</v>
      </c>
      <c r="T681" s="1">
        <v>42019</v>
      </c>
      <c r="U681" t="s">
        <v>80</v>
      </c>
      <c r="V681" t="s">
        <v>52</v>
      </c>
      <c r="W681" t="s">
        <v>68</v>
      </c>
      <c r="X681" t="s">
        <v>54</v>
      </c>
      <c r="Y681" t="s">
        <v>126</v>
      </c>
      <c r="Z681" t="s">
        <v>70</v>
      </c>
      <c r="AA681" t="s">
        <v>863</v>
      </c>
      <c r="AB681">
        <v>4</v>
      </c>
      <c r="AC681" t="str">
        <f t="shared" si="31"/>
        <v>Night</v>
      </c>
      <c r="AD681">
        <v>3</v>
      </c>
      <c r="AE681" t="s">
        <v>84</v>
      </c>
      <c r="AF681">
        <v>2</v>
      </c>
      <c r="AG681">
        <v>2</v>
      </c>
      <c r="AH681" t="s">
        <v>84</v>
      </c>
      <c r="AI681">
        <v>32480</v>
      </c>
      <c r="AJ681">
        <v>4060</v>
      </c>
      <c r="AK681">
        <v>4060</v>
      </c>
      <c r="AL681">
        <v>24360</v>
      </c>
      <c r="AM681" t="s">
        <v>85</v>
      </c>
      <c r="AN681" t="s">
        <v>149</v>
      </c>
      <c r="AO681">
        <v>2015</v>
      </c>
      <c r="AP681">
        <v>1997</v>
      </c>
      <c r="AQ681">
        <f t="shared" si="32"/>
        <v>18</v>
      </c>
      <c r="AR681" t="s">
        <v>87</v>
      </c>
    </row>
    <row r="682" spans="1:44" x14ac:dyDescent="0.25">
      <c r="A682">
        <v>222</v>
      </c>
      <c r="B682" t="str">
        <f t="shared" si="30"/>
        <v>10+ years</v>
      </c>
      <c r="C682">
        <v>38</v>
      </c>
      <c r="D682" t="str" cm="1">
        <f t="array" ref="D682">_xlfn.IFS(C682&lt;26, "19-25", C682&lt;33, "26-32", C682&lt;40, "33-39", C682&lt;47, "40-46",C682&lt;54, "47-53", TRUE, "54+")</f>
        <v>33-39</v>
      </c>
      <c r="E682">
        <v>698470</v>
      </c>
      <c r="F682" s="1">
        <v>39616</v>
      </c>
      <c r="G682" t="s">
        <v>62</v>
      </c>
      <c r="H682" t="s">
        <v>74</v>
      </c>
      <c r="I682">
        <v>2000</v>
      </c>
      <c r="J682">
        <v>1157.97</v>
      </c>
      <c r="K682">
        <v>0</v>
      </c>
      <c r="L682">
        <v>433853</v>
      </c>
      <c r="M682" t="s">
        <v>46</v>
      </c>
      <c r="N682" t="s">
        <v>47</v>
      </c>
      <c r="O682" t="s">
        <v>63</v>
      </c>
      <c r="P682" t="s">
        <v>154</v>
      </c>
      <c r="Q682" t="s">
        <v>147</v>
      </c>
      <c r="R682">
        <v>0</v>
      </c>
      <c r="S682">
        <v>-64500</v>
      </c>
      <c r="T682" s="1">
        <v>42057</v>
      </c>
      <c r="U682" t="s">
        <v>51</v>
      </c>
      <c r="V682" t="s">
        <v>91</v>
      </c>
      <c r="W682" t="s">
        <v>112</v>
      </c>
      <c r="X682" t="s">
        <v>54</v>
      </c>
      <c r="Y682" t="s">
        <v>82</v>
      </c>
      <c r="Z682" t="s">
        <v>127</v>
      </c>
      <c r="AA682" t="s">
        <v>864</v>
      </c>
      <c r="AB682">
        <v>20</v>
      </c>
      <c r="AC682" t="str">
        <f t="shared" si="31"/>
        <v>Evening</v>
      </c>
      <c r="AD682">
        <v>1</v>
      </c>
      <c r="AE682" t="s">
        <v>67</v>
      </c>
      <c r="AF682">
        <v>2</v>
      </c>
      <c r="AG682">
        <v>2</v>
      </c>
      <c r="AH682" t="s">
        <v>58</v>
      </c>
      <c r="AI682">
        <v>60480</v>
      </c>
      <c r="AJ682">
        <v>6720</v>
      </c>
      <c r="AK682">
        <v>6720</v>
      </c>
      <c r="AL682">
        <v>47040</v>
      </c>
      <c r="AM682" t="s">
        <v>100</v>
      </c>
      <c r="AN682" t="s">
        <v>163</v>
      </c>
      <c r="AO682">
        <v>2015</v>
      </c>
      <c r="AP682">
        <v>2001</v>
      </c>
      <c r="AQ682">
        <f t="shared" si="32"/>
        <v>14</v>
      </c>
      <c r="AR682" t="s">
        <v>87</v>
      </c>
    </row>
    <row r="683" spans="1:44" x14ac:dyDescent="0.25">
      <c r="A683">
        <v>32</v>
      </c>
      <c r="B683" t="str">
        <f t="shared" si="30"/>
        <v>2-5 years</v>
      </c>
      <c r="C683">
        <v>38</v>
      </c>
      <c r="D683" t="str" cm="1">
        <f t="array" ref="D683">_xlfn.IFS(C683&lt;26, "19-25", C683&lt;33, "26-32", C683&lt;40, "33-39", C683&lt;47, "40-46",C683&lt;54, "47-53", TRUE, "54+")</f>
        <v>33-39</v>
      </c>
      <c r="E683">
        <v>719989</v>
      </c>
      <c r="F683" s="1">
        <v>34431</v>
      </c>
      <c r="G683" t="s">
        <v>88</v>
      </c>
      <c r="H683" t="s">
        <v>45</v>
      </c>
      <c r="I683">
        <v>2000</v>
      </c>
      <c r="J683">
        <v>566.11</v>
      </c>
      <c r="K683">
        <v>5000000</v>
      </c>
      <c r="L683">
        <v>453164</v>
      </c>
      <c r="M683" t="s">
        <v>46</v>
      </c>
      <c r="N683" t="s">
        <v>97</v>
      </c>
      <c r="O683" t="s">
        <v>89</v>
      </c>
      <c r="P683" t="s">
        <v>178</v>
      </c>
      <c r="Q683" t="s">
        <v>90</v>
      </c>
      <c r="R683">
        <v>0</v>
      </c>
      <c r="S683">
        <v>0</v>
      </c>
      <c r="T683" s="1">
        <v>42025</v>
      </c>
      <c r="U683" t="s">
        <v>143</v>
      </c>
      <c r="V683" t="s">
        <v>67</v>
      </c>
      <c r="W683" t="s">
        <v>217</v>
      </c>
      <c r="X683" t="s">
        <v>54</v>
      </c>
      <c r="Y683" t="s">
        <v>126</v>
      </c>
      <c r="Z683" t="s">
        <v>107</v>
      </c>
      <c r="AA683" t="s">
        <v>865</v>
      </c>
      <c r="AB683">
        <v>22</v>
      </c>
      <c r="AC683" t="str">
        <f t="shared" si="31"/>
        <v>Evening</v>
      </c>
      <c r="AD683">
        <v>1</v>
      </c>
      <c r="AE683" t="s">
        <v>58</v>
      </c>
      <c r="AF683">
        <v>0</v>
      </c>
      <c r="AG683">
        <v>0</v>
      </c>
      <c r="AH683" t="s">
        <v>84</v>
      </c>
      <c r="AI683">
        <v>2640</v>
      </c>
      <c r="AJ683">
        <v>440</v>
      </c>
      <c r="AK683">
        <v>440</v>
      </c>
      <c r="AL683">
        <v>1760</v>
      </c>
      <c r="AM683" t="s">
        <v>214</v>
      </c>
      <c r="AN683" t="s">
        <v>230</v>
      </c>
      <c r="AO683">
        <v>2015</v>
      </c>
      <c r="AP683">
        <v>2015</v>
      </c>
      <c r="AQ683">
        <f t="shared" si="32"/>
        <v>0</v>
      </c>
      <c r="AR683" t="s">
        <v>87</v>
      </c>
    </row>
    <row r="684" spans="1:44" x14ac:dyDescent="0.25">
      <c r="A684">
        <v>78</v>
      </c>
      <c r="B684" t="str">
        <f t="shared" si="30"/>
        <v>5-10 years</v>
      </c>
      <c r="C684">
        <v>27</v>
      </c>
      <c r="D684" t="str" cm="1">
        <f t="array" ref="D684">_xlfn.IFS(C684&lt;26, "19-25", C684&lt;33, "26-32", C684&lt;40, "33-39", C684&lt;47, "40-46",C684&lt;54, "47-53", TRUE, "54+")</f>
        <v>26-32</v>
      </c>
      <c r="E684">
        <v>309323</v>
      </c>
      <c r="F684" s="1">
        <v>33663</v>
      </c>
      <c r="G684" t="s">
        <v>44</v>
      </c>
      <c r="H684" t="s">
        <v>96</v>
      </c>
      <c r="I684">
        <v>500</v>
      </c>
      <c r="J684">
        <v>1060.8800000000001</v>
      </c>
      <c r="K684">
        <v>0</v>
      </c>
      <c r="L684">
        <v>613931</v>
      </c>
      <c r="M684" t="s">
        <v>46</v>
      </c>
      <c r="N684" t="s">
        <v>166</v>
      </c>
      <c r="O684" t="s">
        <v>116</v>
      </c>
      <c r="P684" t="s">
        <v>137</v>
      </c>
      <c r="Q684" t="s">
        <v>65</v>
      </c>
      <c r="R684">
        <v>0</v>
      </c>
      <c r="S684">
        <v>-66500</v>
      </c>
      <c r="T684" s="1">
        <v>42038</v>
      </c>
      <c r="U684" t="s">
        <v>143</v>
      </c>
      <c r="V684" t="s">
        <v>67</v>
      </c>
      <c r="W684" t="s">
        <v>217</v>
      </c>
      <c r="X684" t="s">
        <v>54</v>
      </c>
      <c r="Y684" t="s">
        <v>55</v>
      </c>
      <c r="Z684" t="s">
        <v>132</v>
      </c>
      <c r="AA684" t="s">
        <v>866</v>
      </c>
      <c r="AB684">
        <v>4</v>
      </c>
      <c r="AC684" t="str">
        <f t="shared" si="31"/>
        <v>Night</v>
      </c>
      <c r="AD684">
        <v>1</v>
      </c>
      <c r="AE684" t="s">
        <v>84</v>
      </c>
      <c r="AF684">
        <v>0</v>
      </c>
      <c r="AG684">
        <v>3</v>
      </c>
      <c r="AH684" t="s">
        <v>84</v>
      </c>
      <c r="AI684">
        <v>6050</v>
      </c>
      <c r="AJ684">
        <v>550</v>
      </c>
      <c r="AK684">
        <v>1100</v>
      </c>
      <c r="AL684">
        <v>4400</v>
      </c>
      <c r="AM684" t="s">
        <v>219</v>
      </c>
      <c r="AN684" t="s">
        <v>220</v>
      </c>
      <c r="AO684">
        <v>2015</v>
      </c>
      <c r="AP684">
        <v>2009</v>
      </c>
      <c r="AQ684">
        <f t="shared" si="32"/>
        <v>6</v>
      </c>
      <c r="AR684" t="s">
        <v>87</v>
      </c>
    </row>
    <row r="685" spans="1:44" x14ac:dyDescent="0.25">
      <c r="A685">
        <v>238</v>
      </c>
      <c r="B685" t="str">
        <f t="shared" si="30"/>
        <v>10+ years</v>
      </c>
      <c r="C685">
        <v>43</v>
      </c>
      <c r="D685" t="str" cm="1">
        <f t="array" ref="D685">_xlfn.IFS(C685&lt;26, "19-25", C685&lt;33, "26-32", C685&lt;40, "33-39", C685&lt;47, "40-46",C685&lt;54, "47-53", TRUE, "54+")</f>
        <v>40-46</v>
      </c>
      <c r="E685">
        <v>444035</v>
      </c>
      <c r="F685" s="1">
        <v>35196</v>
      </c>
      <c r="G685" t="s">
        <v>44</v>
      </c>
      <c r="H685" t="s">
        <v>45</v>
      </c>
      <c r="I685">
        <v>1000</v>
      </c>
      <c r="J685">
        <v>1524.45</v>
      </c>
      <c r="K685">
        <v>4000000</v>
      </c>
      <c r="L685">
        <v>607458</v>
      </c>
      <c r="M685" t="s">
        <v>46</v>
      </c>
      <c r="N685" t="s">
        <v>136</v>
      </c>
      <c r="O685" t="s">
        <v>164</v>
      </c>
      <c r="P685" t="s">
        <v>173</v>
      </c>
      <c r="Q685" t="s">
        <v>124</v>
      </c>
      <c r="R685">
        <v>0</v>
      </c>
      <c r="S685">
        <v>-44800</v>
      </c>
      <c r="T685" s="1">
        <v>42051</v>
      </c>
      <c r="U685" t="s">
        <v>80</v>
      </c>
      <c r="V685" t="s">
        <v>81</v>
      </c>
      <c r="W685" t="s">
        <v>112</v>
      </c>
      <c r="X685" t="s">
        <v>141</v>
      </c>
      <c r="Y685" t="s">
        <v>126</v>
      </c>
      <c r="Z685" t="s">
        <v>127</v>
      </c>
      <c r="AA685" t="s">
        <v>867</v>
      </c>
      <c r="AB685">
        <v>21</v>
      </c>
      <c r="AC685" t="str">
        <f t="shared" si="31"/>
        <v>Evening</v>
      </c>
      <c r="AD685">
        <v>4</v>
      </c>
      <c r="AE685" t="s">
        <v>84</v>
      </c>
      <c r="AF685">
        <v>0</v>
      </c>
      <c r="AG685">
        <v>0</v>
      </c>
      <c r="AH685" t="s">
        <v>84</v>
      </c>
      <c r="AI685">
        <v>42700</v>
      </c>
      <c r="AJ685">
        <v>4270</v>
      </c>
      <c r="AK685">
        <v>4270</v>
      </c>
      <c r="AL685">
        <v>34160</v>
      </c>
      <c r="AM685" t="s">
        <v>59</v>
      </c>
      <c r="AN685" t="s">
        <v>60</v>
      </c>
      <c r="AO685">
        <v>2015</v>
      </c>
      <c r="AP685">
        <v>1995</v>
      </c>
      <c r="AQ685">
        <f t="shared" si="32"/>
        <v>20</v>
      </c>
      <c r="AR685" t="s">
        <v>61</v>
      </c>
    </row>
    <row r="686" spans="1:44" x14ac:dyDescent="0.25">
      <c r="A686">
        <v>313</v>
      </c>
      <c r="B686" t="str">
        <f t="shared" si="30"/>
        <v>10+ years</v>
      </c>
      <c r="C686">
        <v>47</v>
      </c>
      <c r="D686" t="str" cm="1">
        <f t="array" ref="D686">_xlfn.IFS(C686&lt;26, "19-25", C686&lt;33, "26-32", C686&lt;40, "33-39", C686&lt;47, "40-46",C686&lt;54, "47-53", TRUE, "54+")</f>
        <v>47-53</v>
      </c>
      <c r="E686">
        <v>431478</v>
      </c>
      <c r="F686" s="1">
        <v>41367</v>
      </c>
      <c r="G686" t="s">
        <v>62</v>
      </c>
      <c r="H686" t="s">
        <v>45</v>
      </c>
      <c r="I686">
        <v>1000</v>
      </c>
      <c r="J686">
        <v>1556.17</v>
      </c>
      <c r="K686">
        <v>0</v>
      </c>
      <c r="L686">
        <v>463835</v>
      </c>
      <c r="M686" t="s">
        <v>46</v>
      </c>
      <c r="N686" t="s">
        <v>146</v>
      </c>
      <c r="O686" t="s">
        <v>106</v>
      </c>
      <c r="P686" t="s">
        <v>64</v>
      </c>
      <c r="Q686" t="s">
        <v>124</v>
      </c>
      <c r="R686">
        <v>63900</v>
      </c>
      <c r="S686">
        <v>-53300</v>
      </c>
      <c r="T686" s="1">
        <v>42042</v>
      </c>
      <c r="U686" t="s">
        <v>51</v>
      </c>
      <c r="V686" t="s">
        <v>91</v>
      </c>
      <c r="W686" t="s">
        <v>53</v>
      </c>
      <c r="X686" t="s">
        <v>141</v>
      </c>
      <c r="Y686" t="s">
        <v>55</v>
      </c>
      <c r="Z686" t="s">
        <v>127</v>
      </c>
      <c r="AA686" t="s">
        <v>868</v>
      </c>
      <c r="AB686">
        <v>20</v>
      </c>
      <c r="AC686" t="str">
        <f t="shared" si="31"/>
        <v>Evening</v>
      </c>
      <c r="AD686">
        <v>1</v>
      </c>
      <c r="AE686" t="s">
        <v>58</v>
      </c>
      <c r="AF686">
        <v>1</v>
      </c>
      <c r="AG686">
        <v>3</v>
      </c>
      <c r="AH686" t="s">
        <v>84</v>
      </c>
      <c r="AI686">
        <v>40260</v>
      </c>
      <c r="AJ686">
        <v>3660</v>
      </c>
      <c r="AK686">
        <v>7320</v>
      </c>
      <c r="AL686">
        <v>29280</v>
      </c>
      <c r="AM686" t="s">
        <v>100</v>
      </c>
      <c r="AN686" t="s">
        <v>153</v>
      </c>
      <c r="AO686">
        <v>2015</v>
      </c>
      <c r="AP686">
        <v>1996</v>
      </c>
      <c r="AQ686">
        <f t="shared" si="32"/>
        <v>19</v>
      </c>
      <c r="AR686" t="s">
        <v>61</v>
      </c>
    </row>
    <row r="687" spans="1:44" x14ac:dyDescent="0.25">
      <c r="A687">
        <v>334</v>
      </c>
      <c r="B687" t="str">
        <f t="shared" si="30"/>
        <v>10+ years</v>
      </c>
      <c r="C687">
        <v>50</v>
      </c>
      <c r="D687" t="str" cm="1">
        <f t="array" ref="D687">_xlfn.IFS(C687&lt;26, "19-25", C687&lt;33, "26-32", C687&lt;40, "33-39", C687&lt;47, "40-46",C687&lt;54, "47-53", TRUE, "54+")</f>
        <v>47-53</v>
      </c>
      <c r="E687">
        <v>797634</v>
      </c>
      <c r="F687" s="1">
        <v>40129</v>
      </c>
      <c r="G687" t="s">
        <v>44</v>
      </c>
      <c r="H687" t="s">
        <v>96</v>
      </c>
      <c r="I687">
        <v>500</v>
      </c>
      <c r="J687">
        <v>1216.24</v>
      </c>
      <c r="K687">
        <v>0</v>
      </c>
      <c r="L687">
        <v>613945</v>
      </c>
      <c r="M687" t="s">
        <v>46</v>
      </c>
      <c r="N687" t="s">
        <v>129</v>
      </c>
      <c r="O687" t="s">
        <v>122</v>
      </c>
      <c r="P687" t="s">
        <v>178</v>
      </c>
      <c r="Q687" t="s">
        <v>124</v>
      </c>
      <c r="R687">
        <v>26700</v>
      </c>
      <c r="S687">
        <v>-47200</v>
      </c>
      <c r="T687" s="1">
        <v>42018</v>
      </c>
      <c r="U687" t="s">
        <v>51</v>
      </c>
      <c r="V687" t="s">
        <v>81</v>
      </c>
      <c r="W687" t="s">
        <v>53</v>
      </c>
      <c r="X687" t="s">
        <v>104</v>
      </c>
      <c r="Y687" t="s">
        <v>82</v>
      </c>
      <c r="Z687" t="s">
        <v>56</v>
      </c>
      <c r="AA687" t="s">
        <v>869</v>
      </c>
      <c r="AB687">
        <v>7</v>
      </c>
      <c r="AC687" t="str">
        <f t="shared" si="31"/>
        <v>Morning</v>
      </c>
      <c r="AD687">
        <v>1</v>
      </c>
      <c r="AE687" t="s">
        <v>84</v>
      </c>
      <c r="AF687">
        <v>2</v>
      </c>
      <c r="AG687">
        <v>0</v>
      </c>
      <c r="AH687" t="s">
        <v>67</v>
      </c>
      <c r="AI687">
        <v>50000</v>
      </c>
      <c r="AJ687">
        <v>5000</v>
      </c>
      <c r="AK687">
        <v>10000</v>
      </c>
      <c r="AL687">
        <v>35000</v>
      </c>
      <c r="AM687" t="s">
        <v>94</v>
      </c>
      <c r="AN687" t="s">
        <v>228</v>
      </c>
      <c r="AO687">
        <v>2015</v>
      </c>
      <c r="AP687">
        <v>2008</v>
      </c>
      <c r="AQ687">
        <f t="shared" si="32"/>
        <v>7</v>
      </c>
      <c r="AR687" t="s">
        <v>87</v>
      </c>
    </row>
    <row r="688" spans="1:44" x14ac:dyDescent="0.25">
      <c r="A688">
        <v>190</v>
      </c>
      <c r="B688" t="str">
        <f t="shared" si="30"/>
        <v>10+ years</v>
      </c>
      <c r="C688">
        <v>35</v>
      </c>
      <c r="D688" t="str" cm="1">
        <f t="array" ref="D688">_xlfn.IFS(C688&lt;26, "19-25", C688&lt;33, "26-32", C688&lt;40, "33-39", C688&lt;47, "40-46",C688&lt;54, "47-53", TRUE, "54+")</f>
        <v>33-39</v>
      </c>
      <c r="E688">
        <v>284836</v>
      </c>
      <c r="F688" s="1">
        <v>39757</v>
      </c>
      <c r="G688" t="s">
        <v>62</v>
      </c>
      <c r="H688" t="s">
        <v>45</v>
      </c>
      <c r="I688">
        <v>500</v>
      </c>
      <c r="J688">
        <v>1484.72</v>
      </c>
      <c r="K688">
        <v>5000000</v>
      </c>
      <c r="L688">
        <v>432699</v>
      </c>
      <c r="M688" t="s">
        <v>75</v>
      </c>
      <c r="N688" t="s">
        <v>136</v>
      </c>
      <c r="O688" t="s">
        <v>102</v>
      </c>
      <c r="P688" t="s">
        <v>117</v>
      </c>
      <c r="Q688" t="s">
        <v>50</v>
      </c>
      <c r="R688">
        <v>0</v>
      </c>
      <c r="S688">
        <v>0</v>
      </c>
      <c r="T688" s="1">
        <v>42037</v>
      </c>
      <c r="U688" t="s">
        <v>143</v>
      </c>
      <c r="V688" t="s">
        <v>67</v>
      </c>
      <c r="W688" t="s">
        <v>217</v>
      </c>
      <c r="X688" t="s">
        <v>98</v>
      </c>
      <c r="Y688" t="s">
        <v>82</v>
      </c>
      <c r="Z688" t="s">
        <v>70</v>
      </c>
      <c r="AA688" t="s">
        <v>870</v>
      </c>
      <c r="AB688">
        <v>4</v>
      </c>
      <c r="AC688" t="str">
        <f t="shared" si="31"/>
        <v>Night</v>
      </c>
      <c r="AD688">
        <v>1</v>
      </c>
      <c r="AE688" t="s">
        <v>84</v>
      </c>
      <c r="AF688">
        <v>0</v>
      </c>
      <c r="AG688">
        <v>1</v>
      </c>
      <c r="AH688" t="s">
        <v>84</v>
      </c>
      <c r="AI688">
        <v>3840</v>
      </c>
      <c r="AJ688">
        <v>640</v>
      </c>
      <c r="AK688">
        <v>320</v>
      </c>
      <c r="AL688">
        <v>2880</v>
      </c>
      <c r="AM688" t="s">
        <v>59</v>
      </c>
      <c r="AN688" t="s">
        <v>60</v>
      </c>
      <c r="AO688">
        <v>2015</v>
      </c>
      <c r="AP688">
        <v>1998</v>
      </c>
      <c r="AQ688">
        <f t="shared" si="32"/>
        <v>17</v>
      </c>
      <c r="AR688" t="s">
        <v>87</v>
      </c>
    </row>
    <row r="689" spans="1:44" x14ac:dyDescent="0.25">
      <c r="A689">
        <v>194</v>
      </c>
      <c r="B689" t="str">
        <f t="shared" si="30"/>
        <v>10+ years</v>
      </c>
      <c r="C689">
        <v>41</v>
      </c>
      <c r="D689" t="str" cm="1">
        <f t="array" ref="D689">_xlfn.IFS(C689&lt;26, "19-25", C689&lt;33, "26-32", C689&lt;40, "33-39", C689&lt;47, "40-46",C689&lt;54, "47-53", TRUE, "54+")</f>
        <v>40-46</v>
      </c>
      <c r="E689">
        <v>238196</v>
      </c>
      <c r="F689" s="1">
        <v>34015</v>
      </c>
      <c r="G689" t="s">
        <v>88</v>
      </c>
      <c r="H689" t="s">
        <v>45</v>
      </c>
      <c r="I689">
        <v>500</v>
      </c>
      <c r="J689">
        <v>1203.81</v>
      </c>
      <c r="K689">
        <v>0</v>
      </c>
      <c r="L689">
        <v>613119</v>
      </c>
      <c r="M689" t="s">
        <v>46</v>
      </c>
      <c r="N689" t="s">
        <v>166</v>
      </c>
      <c r="O689" t="s">
        <v>150</v>
      </c>
      <c r="P689" t="s">
        <v>186</v>
      </c>
      <c r="Q689" t="s">
        <v>147</v>
      </c>
      <c r="R689">
        <v>52500</v>
      </c>
      <c r="S689">
        <v>-51300</v>
      </c>
      <c r="T689" s="1">
        <v>42041</v>
      </c>
      <c r="U689" t="s">
        <v>80</v>
      </c>
      <c r="V689" t="s">
        <v>81</v>
      </c>
      <c r="W689" t="s">
        <v>68</v>
      </c>
      <c r="X689" t="s">
        <v>54</v>
      </c>
      <c r="Y689" t="s">
        <v>118</v>
      </c>
      <c r="Z689" t="s">
        <v>107</v>
      </c>
      <c r="AA689" t="s">
        <v>871</v>
      </c>
      <c r="AB689">
        <v>17</v>
      </c>
      <c r="AC689" t="str">
        <f t="shared" si="31"/>
        <v>Afternoon</v>
      </c>
      <c r="AD689">
        <v>3</v>
      </c>
      <c r="AE689" t="s">
        <v>67</v>
      </c>
      <c r="AF689">
        <v>0</v>
      </c>
      <c r="AG689">
        <v>2</v>
      </c>
      <c r="AH689" t="s">
        <v>67</v>
      </c>
      <c r="AI689">
        <v>95900</v>
      </c>
      <c r="AJ689">
        <v>13700</v>
      </c>
      <c r="AK689">
        <v>20550</v>
      </c>
      <c r="AL689">
        <v>61650</v>
      </c>
      <c r="AM689" t="s">
        <v>59</v>
      </c>
      <c r="AN689">
        <v>95</v>
      </c>
      <c r="AO689">
        <v>2015</v>
      </c>
      <c r="AP689">
        <v>1999</v>
      </c>
      <c r="AQ689">
        <f t="shared" si="32"/>
        <v>16</v>
      </c>
      <c r="AR689" t="s">
        <v>87</v>
      </c>
    </row>
    <row r="690" spans="1:44" x14ac:dyDescent="0.25">
      <c r="A690">
        <v>290</v>
      </c>
      <c r="B690" t="str">
        <f t="shared" si="30"/>
        <v>10+ years</v>
      </c>
      <c r="C690">
        <v>47</v>
      </c>
      <c r="D690" t="str" cm="1">
        <f t="array" ref="D690">_xlfn.IFS(C690&lt;26, "19-25", C690&lt;33, "26-32", C690&lt;40, "33-39", C690&lt;47, "40-46",C690&lt;54, "47-53", TRUE, "54+")</f>
        <v>47-53</v>
      </c>
      <c r="E690">
        <v>885789</v>
      </c>
      <c r="F690" s="1">
        <v>39650</v>
      </c>
      <c r="G690" t="s">
        <v>62</v>
      </c>
      <c r="H690" t="s">
        <v>45</v>
      </c>
      <c r="I690">
        <v>1000</v>
      </c>
      <c r="J690">
        <v>1393.34</v>
      </c>
      <c r="K690">
        <v>0</v>
      </c>
      <c r="L690">
        <v>472922</v>
      </c>
      <c r="M690" t="s">
        <v>46</v>
      </c>
      <c r="N690" t="s">
        <v>136</v>
      </c>
      <c r="O690" t="s">
        <v>130</v>
      </c>
      <c r="P690" t="s">
        <v>103</v>
      </c>
      <c r="Q690" t="s">
        <v>65</v>
      </c>
      <c r="R690">
        <v>0</v>
      </c>
      <c r="S690">
        <v>-61400</v>
      </c>
      <c r="T690" s="1">
        <v>42019</v>
      </c>
      <c r="U690" t="s">
        <v>80</v>
      </c>
      <c r="V690" t="s">
        <v>52</v>
      </c>
      <c r="W690" t="s">
        <v>68</v>
      </c>
      <c r="X690" t="s">
        <v>141</v>
      </c>
      <c r="Y690" t="s">
        <v>118</v>
      </c>
      <c r="Z690" t="s">
        <v>132</v>
      </c>
      <c r="AA690" t="s">
        <v>872</v>
      </c>
      <c r="AB690">
        <v>20</v>
      </c>
      <c r="AC690" t="str">
        <f t="shared" si="31"/>
        <v>Evening</v>
      </c>
      <c r="AD690">
        <v>3</v>
      </c>
      <c r="AE690" t="s">
        <v>58</v>
      </c>
      <c r="AF690">
        <v>1</v>
      </c>
      <c r="AG690">
        <v>3</v>
      </c>
      <c r="AH690" t="s">
        <v>58</v>
      </c>
      <c r="AI690">
        <v>56160</v>
      </c>
      <c r="AJ690">
        <v>6240</v>
      </c>
      <c r="AK690">
        <v>12480</v>
      </c>
      <c r="AL690">
        <v>37440</v>
      </c>
      <c r="AM690" t="s">
        <v>114</v>
      </c>
      <c r="AN690" t="s">
        <v>115</v>
      </c>
      <c r="AO690">
        <v>2015</v>
      </c>
      <c r="AP690">
        <v>2002</v>
      </c>
      <c r="AQ690">
        <f t="shared" si="32"/>
        <v>13</v>
      </c>
      <c r="AR690" t="s">
        <v>87</v>
      </c>
    </row>
    <row r="691" spans="1:44" x14ac:dyDescent="0.25">
      <c r="A691">
        <v>26</v>
      </c>
      <c r="B691" t="str">
        <f t="shared" si="30"/>
        <v>2-5 years</v>
      </c>
      <c r="C691">
        <v>42</v>
      </c>
      <c r="D691" t="str" cm="1">
        <f t="array" ref="D691">_xlfn.IFS(C691&lt;26, "19-25", C691&lt;33, "26-32", C691&lt;40, "33-39", C691&lt;47, "40-46",C691&lt;54, "47-53", TRUE, "54+")</f>
        <v>40-46</v>
      </c>
      <c r="E691">
        <v>287436</v>
      </c>
      <c r="F691" s="1">
        <v>40432</v>
      </c>
      <c r="G691" t="s">
        <v>44</v>
      </c>
      <c r="H691" t="s">
        <v>74</v>
      </c>
      <c r="I691">
        <v>1000</v>
      </c>
      <c r="J691">
        <v>1484.48</v>
      </c>
      <c r="K691">
        <v>0</v>
      </c>
      <c r="L691">
        <v>613849</v>
      </c>
      <c r="M691" t="s">
        <v>46</v>
      </c>
      <c r="N691" t="s">
        <v>76</v>
      </c>
      <c r="O691" t="s">
        <v>89</v>
      </c>
      <c r="P691" t="s">
        <v>49</v>
      </c>
      <c r="Q691" t="s">
        <v>147</v>
      </c>
      <c r="R691">
        <v>50700</v>
      </c>
      <c r="S691">
        <v>-36300</v>
      </c>
      <c r="T691" s="1">
        <v>42059</v>
      </c>
      <c r="U691" t="s">
        <v>51</v>
      </c>
      <c r="V691" t="s">
        <v>52</v>
      </c>
      <c r="W691" t="s">
        <v>53</v>
      </c>
      <c r="X691" t="s">
        <v>54</v>
      </c>
      <c r="Y691" t="s">
        <v>55</v>
      </c>
      <c r="Z691" t="s">
        <v>70</v>
      </c>
      <c r="AA691" t="s">
        <v>873</v>
      </c>
      <c r="AB691">
        <v>10</v>
      </c>
      <c r="AC691" t="str">
        <f t="shared" si="31"/>
        <v>Morning</v>
      </c>
      <c r="AD691">
        <v>1</v>
      </c>
      <c r="AE691" t="s">
        <v>84</v>
      </c>
      <c r="AF691">
        <v>2</v>
      </c>
      <c r="AG691">
        <v>3</v>
      </c>
      <c r="AH691" t="s">
        <v>67</v>
      </c>
      <c r="AI691">
        <v>63030</v>
      </c>
      <c r="AJ691">
        <v>5730</v>
      </c>
      <c r="AK691">
        <v>11460</v>
      </c>
      <c r="AL691">
        <v>45840</v>
      </c>
      <c r="AM691" t="s">
        <v>59</v>
      </c>
      <c r="AN691" t="s">
        <v>60</v>
      </c>
      <c r="AO691">
        <v>2015</v>
      </c>
      <c r="AP691">
        <v>1996</v>
      </c>
      <c r="AQ691">
        <f t="shared" si="32"/>
        <v>19</v>
      </c>
      <c r="AR691" t="s">
        <v>87</v>
      </c>
    </row>
    <row r="692" spans="1:44" x14ac:dyDescent="0.25">
      <c r="A692">
        <v>254</v>
      </c>
      <c r="B692" t="str">
        <f t="shared" si="30"/>
        <v>10+ years</v>
      </c>
      <c r="C692">
        <v>41</v>
      </c>
      <c r="D692" t="str" cm="1">
        <f t="array" ref="D692">_xlfn.IFS(C692&lt;26, "19-25", C692&lt;33, "26-32", C692&lt;40, "33-39", C692&lt;47, "40-46",C692&lt;54, "47-53", TRUE, "54+")</f>
        <v>40-46</v>
      </c>
      <c r="E692">
        <v>496067</v>
      </c>
      <c r="F692" s="1">
        <v>35055</v>
      </c>
      <c r="G692" t="s">
        <v>88</v>
      </c>
      <c r="H692" t="s">
        <v>45</v>
      </c>
      <c r="I692">
        <v>500</v>
      </c>
      <c r="J692">
        <v>1581.27</v>
      </c>
      <c r="K692">
        <v>5000000</v>
      </c>
      <c r="L692">
        <v>603827</v>
      </c>
      <c r="M692" t="s">
        <v>75</v>
      </c>
      <c r="N692" t="s">
        <v>76</v>
      </c>
      <c r="O692" t="s">
        <v>164</v>
      </c>
      <c r="P692" t="s">
        <v>137</v>
      </c>
      <c r="Q692" t="s">
        <v>79</v>
      </c>
      <c r="R692">
        <v>42200</v>
      </c>
      <c r="S692">
        <v>-48000</v>
      </c>
      <c r="T692" s="1">
        <v>42011</v>
      </c>
      <c r="U692" t="s">
        <v>51</v>
      </c>
      <c r="V692" t="s">
        <v>91</v>
      </c>
      <c r="W692" t="s">
        <v>68</v>
      </c>
      <c r="X692" t="s">
        <v>54</v>
      </c>
      <c r="Y692" t="s">
        <v>82</v>
      </c>
      <c r="Z692" t="s">
        <v>70</v>
      </c>
      <c r="AA692" t="s">
        <v>874</v>
      </c>
      <c r="AB692">
        <v>8</v>
      </c>
      <c r="AC692" t="str">
        <f t="shared" si="31"/>
        <v>Morning</v>
      </c>
      <c r="AD692">
        <v>1</v>
      </c>
      <c r="AE692" t="s">
        <v>58</v>
      </c>
      <c r="AF692">
        <v>2</v>
      </c>
      <c r="AG692">
        <v>2</v>
      </c>
      <c r="AH692" t="s">
        <v>84</v>
      </c>
      <c r="AI692">
        <v>63470</v>
      </c>
      <c r="AJ692">
        <v>5770</v>
      </c>
      <c r="AK692">
        <v>11540</v>
      </c>
      <c r="AL692">
        <v>46160</v>
      </c>
      <c r="AM692" t="s">
        <v>192</v>
      </c>
      <c r="AN692" t="s">
        <v>243</v>
      </c>
      <c r="AO692">
        <v>2015</v>
      </c>
      <c r="AP692">
        <v>1999</v>
      </c>
      <c r="AQ692">
        <f t="shared" si="32"/>
        <v>16</v>
      </c>
      <c r="AR692" t="s">
        <v>87</v>
      </c>
    </row>
    <row r="693" spans="1:44" x14ac:dyDescent="0.25">
      <c r="A693">
        <v>199</v>
      </c>
      <c r="B693" t="str">
        <f t="shared" si="30"/>
        <v>10+ years</v>
      </c>
      <c r="C693">
        <v>38</v>
      </c>
      <c r="D693" t="str" cm="1">
        <f t="array" ref="D693">_xlfn.IFS(C693&lt;26, "19-25", C693&lt;33, "26-32", C693&lt;40, "33-39", C693&lt;47, "40-46",C693&lt;54, "47-53", TRUE, "54+")</f>
        <v>33-39</v>
      </c>
      <c r="E693">
        <v>206004</v>
      </c>
      <c r="F693" s="1">
        <v>33507</v>
      </c>
      <c r="G693" t="s">
        <v>88</v>
      </c>
      <c r="H693" t="s">
        <v>45</v>
      </c>
      <c r="I693">
        <v>1000</v>
      </c>
      <c r="J693">
        <v>1281.25</v>
      </c>
      <c r="K693">
        <v>0</v>
      </c>
      <c r="L693">
        <v>467780</v>
      </c>
      <c r="M693" t="s">
        <v>75</v>
      </c>
      <c r="N693" t="s">
        <v>136</v>
      </c>
      <c r="O693" t="s">
        <v>102</v>
      </c>
      <c r="P693" t="s">
        <v>151</v>
      </c>
      <c r="Q693" t="s">
        <v>65</v>
      </c>
      <c r="R693">
        <v>0</v>
      </c>
      <c r="S693">
        <v>-53100</v>
      </c>
      <c r="T693" s="1">
        <v>42039</v>
      </c>
      <c r="U693" t="s">
        <v>51</v>
      </c>
      <c r="V693" t="s">
        <v>91</v>
      </c>
      <c r="W693" t="s">
        <v>53</v>
      </c>
      <c r="X693" t="s">
        <v>54</v>
      </c>
      <c r="Y693" t="s">
        <v>118</v>
      </c>
      <c r="Z693" t="s">
        <v>56</v>
      </c>
      <c r="AA693" t="s">
        <v>875</v>
      </c>
      <c r="AB693">
        <v>6</v>
      </c>
      <c r="AC693" t="str">
        <f t="shared" si="31"/>
        <v>Morning</v>
      </c>
      <c r="AD693">
        <v>1</v>
      </c>
      <c r="AE693" t="s">
        <v>67</v>
      </c>
      <c r="AF693">
        <v>0</v>
      </c>
      <c r="AG693">
        <v>2</v>
      </c>
      <c r="AH693" t="s">
        <v>84</v>
      </c>
      <c r="AI693">
        <v>44440</v>
      </c>
      <c r="AJ693">
        <v>8080</v>
      </c>
      <c r="AK693">
        <v>4040</v>
      </c>
      <c r="AL693">
        <v>32320</v>
      </c>
      <c r="AM693" t="s">
        <v>192</v>
      </c>
      <c r="AN693" t="s">
        <v>243</v>
      </c>
      <c r="AO693">
        <v>2015</v>
      </c>
      <c r="AP693">
        <v>2007</v>
      </c>
      <c r="AQ693">
        <f t="shared" si="32"/>
        <v>8</v>
      </c>
      <c r="AR693" t="s">
        <v>61</v>
      </c>
    </row>
    <row r="694" spans="1:44" x14ac:dyDescent="0.25">
      <c r="A694">
        <v>137</v>
      </c>
      <c r="B694" t="str">
        <f t="shared" si="30"/>
        <v>10+ years</v>
      </c>
      <c r="C694">
        <v>35</v>
      </c>
      <c r="D694" t="str" cm="1">
        <f t="array" ref="D694">_xlfn.IFS(C694&lt;26, "19-25", C694&lt;33, "26-32", C694&lt;40, "33-39", C694&lt;47, "40-46",C694&lt;54, "47-53", TRUE, "54+")</f>
        <v>33-39</v>
      </c>
      <c r="E694">
        <v>153027</v>
      </c>
      <c r="F694" s="1">
        <v>40248</v>
      </c>
      <c r="G694" t="s">
        <v>62</v>
      </c>
      <c r="H694" t="s">
        <v>45</v>
      </c>
      <c r="I694">
        <v>500</v>
      </c>
      <c r="J694">
        <v>1667.83</v>
      </c>
      <c r="K694">
        <v>0</v>
      </c>
      <c r="L694">
        <v>460586</v>
      </c>
      <c r="M694" t="s">
        <v>46</v>
      </c>
      <c r="N694" t="s">
        <v>166</v>
      </c>
      <c r="O694" t="s">
        <v>106</v>
      </c>
      <c r="P694" t="s">
        <v>170</v>
      </c>
      <c r="Q694" t="s">
        <v>50</v>
      </c>
      <c r="R694">
        <v>48500</v>
      </c>
      <c r="S694">
        <v>-67400</v>
      </c>
      <c r="T694" s="1">
        <v>42039</v>
      </c>
      <c r="U694" t="s">
        <v>143</v>
      </c>
      <c r="V694" t="s">
        <v>67</v>
      </c>
      <c r="W694" t="s">
        <v>68</v>
      </c>
      <c r="X694" t="s">
        <v>54</v>
      </c>
      <c r="Y694" t="s">
        <v>118</v>
      </c>
      <c r="Z694" t="s">
        <v>161</v>
      </c>
      <c r="AA694" t="s">
        <v>876</v>
      </c>
      <c r="AB694">
        <v>4</v>
      </c>
      <c r="AC694" t="str">
        <f t="shared" si="31"/>
        <v>Night</v>
      </c>
      <c r="AD694">
        <v>1</v>
      </c>
      <c r="AE694" t="s">
        <v>58</v>
      </c>
      <c r="AF694">
        <v>1</v>
      </c>
      <c r="AG694">
        <v>1</v>
      </c>
      <c r="AH694" t="s">
        <v>84</v>
      </c>
      <c r="AI694">
        <v>6600</v>
      </c>
      <c r="AJ694">
        <v>1200</v>
      </c>
      <c r="AK694">
        <v>1200</v>
      </c>
      <c r="AL694">
        <v>4200</v>
      </c>
      <c r="AM694" t="s">
        <v>202</v>
      </c>
      <c r="AN694" t="s">
        <v>380</v>
      </c>
      <c r="AO694">
        <v>2015</v>
      </c>
      <c r="AP694">
        <v>2005</v>
      </c>
      <c r="AQ694">
        <f t="shared" si="32"/>
        <v>10</v>
      </c>
      <c r="AR694" t="s">
        <v>87</v>
      </c>
    </row>
    <row r="695" spans="1:44" x14ac:dyDescent="0.25">
      <c r="A695">
        <v>134</v>
      </c>
      <c r="B695" t="str">
        <f t="shared" si="30"/>
        <v>10+ years</v>
      </c>
      <c r="C695">
        <v>36</v>
      </c>
      <c r="D695" t="str" cm="1">
        <f t="array" ref="D695">_xlfn.IFS(C695&lt;26, "19-25", C695&lt;33, "26-32", C695&lt;40, "33-39", C695&lt;47, "40-46",C695&lt;54, "47-53", TRUE, "54+")</f>
        <v>33-39</v>
      </c>
      <c r="E695">
        <v>469426</v>
      </c>
      <c r="F695" s="1">
        <v>33069</v>
      </c>
      <c r="G695" t="s">
        <v>44</v>
      </c>
      <c r="H695" t="s">
        <v>45</v>
      </c>
      <c r="I695">
        <v>1000</v>
      </c>
      <c r="J695">
        <v>1497.41</v>
      </c>
      <c r="K695">
        <v>0</v>
      </c>
      <c r="L695">
        <v>613842</v>
      </c>
      <c r="M695" t="s">
        <v>46</v>
      </c>
      <c r="N695" t="s">
        <v>76</v>
      </c>
      <c r="O695" t="s">
        <v>63</v>
      </c>
      <c r="P695" t="s">
        <v>175</v>
      </c>
      <c r="Q695" t="s">
        <v>50</v>
      </c>
      <c r="R695">
        <v>14100</v>
      </c>
      <c r="S695">
        <v>-44500</v>
      </c>
      <c r="T695" s="1">
        <v>42029</v>
      </c>
      <c r="U695" t="s">
        <v>80</v>
      </c>
      <c r="V695" t="s">
        <v>52</v>
      </c>
      <c r="W695" t="s">
        <v>68</v>
      </c>
      <c r="X695" t="s">
        <v>141</v>
      </c>
      <c r="Y695" t="s">
        <v>118</v>
      </c>
      <c r="Z695" t="s">
        <v>161</v>
      </c>
      <c r="AA695" t="s">
        <v>877</v>
      </c>
      <c r="AB695">
        <v>17</v>
      </c>
      <c r="AC695" t="str">
        <f t="shared" si="31"/>
        <v>Afternoon</v>
      </c>
      <c r="AD695">
        <v>3</v>
      </c>
      <c r="AE695" t="s">
        <v>84</v>
      </c>
      <c r="AF695">
        <v>2</v>
      </c>
      <c r="AG695">
        <v>0</v>
      </c>
      <c r="AH695" t="s">
        <v>58</v>
      </c>
      <c r="AI695">
        <v>77200</v>
      </c>
      <c r="AJ695">
        <v>9650</v>
      </c>
      <c r="AK695">
        <v>9650</v>
      </c>
      <c r="AL695">
        <v>57900</v>
      </c>
      <c r="AM695" t="s">
        <v>134</v>
      </c>
      <c r="AN695" t="s">
        <v>177</v>
      </c>
      <c r="AO695">
        <v>2015</v>
      </c>
      <c r="AP695">
        <v>1996</v>
      </c>
      <c r="AQ695">
        <f t="shared" si="32"/>
        <v>19</v>
      </c>
      <c r="AR695" t="s">
        <v>87</v>
      </c>
    </row>
    <row r="696" spans="1:44" x14ac:dyDescent="0.25">
      <c r="A696">
        <v>73</v>
      </c>
      <c r="B696" t="str">
        <f t="shared" si="30"/>
        <v>5-10 years</v>
      </c>
      <c r="C696">
        <v>30</v>
      </c>
      <c r="D696" t="str" cm="1">
        <f t="array" ref="D696">_xlfn.IFS(C696&lt;26, "19-25", C696&lt;33, "26-32", C696&lt;40, "33-39", C696&lt;47, "40-46",C696&lt;54, "47-53", TRUE, "54+")</f>
        <v>26-32</v>
      </c>
      <c r="E696">
        <v>654974</v>
      </c>
      <c r="F696" s="1">
        <v>39943</v>
      </c>
      <c r="G696" t="s">
        <v>44</v>
      </c>
      <c r="H696" t="s">
        <v>74</v>
      </c>
      <c r="I696">
        <v>500</v>
      </c>
      <c r="J696">
        <v>803.36</v>
      </c>
      <c r="K696">
        <v>0</v>
      </c>
      <c r="L696">
        <v>435371</v>
      </c>
      <c r="M696" t="s">
        <v>75</v>
      </c>
      <c r="N696" t="s">
        <v>136</v>
      </c>
      <c r="O696" t="s">
        <v>140</v>
      </c>
      <c r="P696" t="s">
        <v>64</v>
      </c>
      <c r="Q696" t="s">
        <v>50</v>
      </c>
      <c r="R696">
        <v>0</v>
      </c>
      <c r="S696">
        <v>0</v>
      </c>
      <c r="T696" s="1">
        <v>42060</v>
      </c>
      <c r="U696" t="s">
        <v>80</v>
      </c>
      <c r="V696" t="s">
        <v>81</v>
      </c>
      <c r="W696" t="s">
        <v>112</v>
      </c>
      <c r="X696" t="s">
        <v>125</v>
      </c>
      <c r="Y696" t="s">
        <v>118</v>
      </c>
      <c r="Z696" t="s">
        <v>107</v>
      </c>
      <c r="AA696" t="s">
        <v>878</v>
      </c>
      <c r="AB696">
        <v>15</v>
      </c>
      <c r="AC696" t="str">
        <f t="shared" si="31"/>
        <v>Afternoon</v>
      </c>
      <c r="AD696">
        <v>3</v>
      </c>
      <c r="AE696" t="s">
        <v>67</v>
      </c>
      <c r="AF696">
        <v>0</v>
      </c>
      <c r="AG696">
        <v>0</v>
      </c>
      <c r="AH696" t="s">
        <v>58</v>
      </c>
      <c r="AI696">
        <v>57000</v>
      </c>
      <c r="AJ696">
        <v>0</v>
      </c>
      <c r="AK696">
        <v>11400</v>
      </c>
      <c r="AL696">
        <v>45600</v>
      </c>
      <c r="AM696" t="s">
        <v>114</v>
      </c>
      <c r="AN696" t="s">
        <v>139</v>
      </c>
      <c r="AO696">
        <v>2015</v>
      </c>
      <c r="AP696">
        <v>2013</v>
      </c>
      <c r="AQ696">
        <f t="shared" si="32"/>
        <v>2</v>
      </c>
      <c r="AR696" t="s">
        <v>87</v>
      </c>
    </row>
    <row r="697" spans="1:44" x14ac:dyDescent="0.25">
      <c r="A697">
        <v>289</v>
      </c>
      <c r="B697" t="str">
        <f t="shared" si="30"/>
        <v>10+ years</v>
      </c>
      <c r="C697">
        <v>45</v>
      </c>
      <c r="D697" t="str" cm="1">
        <f t="array" ref="D697">_xlfn.IFS(C697&lt;26, "19-25", C697&lt;33, "26-32", C697&lt;40, "33-39", C697&lt;47, "40-46",C697&lt;54, "47-53", TRUE, "54+")</f>
        <v>40-46</v>
      </c>
      <c r="E697">
        <v>943425</v>
      </c>
      <c r="F697" s="1">
        <v>36461</v>
      </c>
      <c r="G697" t="s">
        <v>44</v>
      </c>
      <c r="H697" t="s">
        <v>45</v>
      </c>
      <c r="I697">
        <v>2000</v>
      </c>
      <c r="J697">
        <v>1221.4100000000001</v>
      </c>
      <c r="K697">
        <v>0</v>
      </c>
      <c r="L697">
        <v>466289</v>
      </c>
      <c r="M697" t="s">
        <v>75</v>
      </c>
      <c r="N697" t="s">
        <v>129</v>
      </c>
      <c r="O697" t="s">
        <v>194</v>
      </c>
      <c r="P697" t="s">
        <v>151</v>
      </c>
      <c r="Q697" t="s">
        <v>124</v>
      </c>
      <c r="R697">
        <v>46700</v>
      </c>
      <c r="S697">
        <v>-72500</v>
      </c>
      <c r="T697" s="1">
        <v>42062</v>
      </c>
      <c r="U697" t="s">
        <v>66</v>
      </c>
      <c r="V697" t="s">
        <v>67</v>
      </c>
      <c r="W697" t="s">
        <v>217</v>
      </c>
      <c r="X697" t="s">
        <v>54</v>
      </c>
      <c r="Y697" t="s">
        <v>118</v>
      </c>
      <c r="Z697" t="s">
        <v>70</v>
      </c>
      <c r="AA697" t="s">
        <v>879</v>
      </c>
      <c r="AB697">
        <v>9</v>
      </c>
      <c r="AC697" t="str">
        <f t="shared" si="31"/>
        <v>Morning</v>
      </c>
      <c r="AD697">
        <v>1</v>
      </c>
      <c r="AE697" t="s">
        <v>84</v>
      </c>
      <c r="AF697">
        <v>2</v>
      </c>
      <c r="AG697">
        <v>1</v>
      </c>
      <c r="AH697" t="s">
        <v>84</v>
      </c>
      <c r="AI697">
        <v>2700</v>
      </c>
      <c r="AJ697">
        <v>300</v>
      </c>
      <c r="AK697">
        <v>300</v>
      </c>
      <c r="AL697">
        <v>2100</v>
      </c>
      <c r="AM697" t="s">
        <v>214</v>
      </c>
      <c r="AN697" t="s">
        <v>236</v>
      </c>
      <c r="AO697">
        <v>2015</v>
      </c>
      <c r="AP697">
        <v>2006</v>
      </c>
      <c r="AQ697">
        <f t="shared" si="32"/>
        <v>9</v>
      </c>
      <c r="AR697" t="s">
        <v>87</v>
      </c>
    </row>
    <row r="698" spans="1:44" x14ac:dyDescent="0.25">
      <c r="A698">
        <v>176</v>
      </c>
      <c r="B698" t="str">
        <f t="shared" si="30"/>
        <v>10+ years</v>
      </c>
      <c r="C698">
        <v>36</v>
      </c>
      <c r="D698" t="str" cm="1">
        <f t="array" ref="D698">_xlfn.IFS(C698&lt;26, "19-25", C698&lt;33, "26-32", C698&lt;40, "33-39", C698&lt;47, "40-46",C698&lt;54, "47-53", TRUE, "54+")</f>
        <v>33-39</v>
      </c>
      <c r="E698">
        <v>641845</v>
      </c>
      <c r="F698" s="1">
        <v>34788</v>
      </c>
      <c r="G698" t="s">
        <v>44</v>
      </c>
      <c r="H698" t="s">
        <v>45</v>
      </c>
      <c r="I698">
        <v>500</v>
      </c>
      <c r="J698">
        <v>1865.83</v>
      </c>
      <c r="K698">
        <v>5000000</v>
      </c>
      <c r="L698">
        <v>436173</v>
      </c>
      <c r="M698" t="s">
        <v>46</v>
      </c>
      <c r="N698" t="s">
        <v>146</v>
      </c>
      <c r="O698" t="s">
        <v>150</v>
      </c>
      <c r="P698" t="s">
        <v>175</v>
      </c>
      <c r="Q698" t="s">
        <v>90</v>
      </c>
      <c r="R698">
        <v>32800</v>
      </c>
      <c r="S698">
        <v>-50600</v>
      </c>
      <c r="T698" s="1">
        <v>42046</v>
      </c>
      <c r="U698" t="s">
        <v>51</v>
      </c>
      <c r="V698" t="s">
        <v>81</v>
      </c>
      <c r="W698" t="s">
        <v>112</v>
      </c>
      <c r="X698" t="s">
        <v>54</v>
      </c>
      <c r="Y698" t="s">
        <v>118</v>
      </c>
      <c r="Z698" t="s">
        <v>127</v>
      </c>
      <c r="AA698" t="s">
        <v>880</v>
      </c>
      <c r="AB698">
        <v>17</v>
      </c>
      <c r="AC698" t="str">
        <f t="shared" si="31"/>
        <v>Afternoon</v>
      </c>
      <c r="AD698">
        <v>1</v>
      </c>
      <c r="AE698" t="s">
        <v>67</v>
      </c>
      <c r="AF698">
        <v>2</v>
      </c>
      <c r="AG698">
        <v>1</v>
      </c>
      <c r="AH698" t="s">
        <v>58</v>
      </c>
      <c r="AI698">
        <v>47300</v>
      </c>
      <c r="AJ698">
        <v>4300</v>
      </c>
      <c r="AK698">
        <v>8600</v>
      </c>
      <c r="AL698">
        <v>34400</v>
      </c>
      <c r="AM698" t="s">
        <v>219</v>
      </c>
      <c r="AN698" t="s">
        <v>263</v>
      </c>
      <c r="AO698">
        <v>2015</v>
      </c>
      <c r="AP698">
        <v>2006</v>
      </c>
      <c r="AQ698">
        <f t="shared" si="32"/>
        <v>9</v>
      </c>
      <c r="AR698" t="s">
        <v>87</v>
      </c>
    </row>
    <row r="699" spans="1:44" x14ac:dyDescent="0.25">
      <c r="A699">
        <v>145</v>
      </c>
      <c r="B699" t="str">
        <f t="shared" si="30"/>
        <v>10+ years</v>
      </c>
      <c r="C699">
        <v>37</v>
      </c>
      <c r="D699" t="str" cm="1">
        <f t="array" ref="D699">_xlfn.IFS(C699&lt;26, "19-25", C699&lt;33, "26-32", C699&lt;40, "33-39", C699&lt;47, "40-46",C699&lt;54, "47-53", TRUE, "54+")</f>
        <v>33-39</v>
      </c>
      <c r="E699">
        <v>794534</v>
      </c>
      <c r="F699" s="1">
        <v>33586</v>
      </c>
      <c r="G699" t="s">
        <v>44</v>
      </c>
      <c r="H699" t="s">
        <v>45</v>
      </c>
      <c r="I699">
        <v>2000</v>
      </c>
      <c r="J699">
        <v>1434.27</v>
      </c>
      <c r="K699">
        <v>0</v>
      </c>
      <c r="L699">
        <v>457234</v>
      </c>
      <c r="M699" t="s">
        <v>75</v>
      </c>
      <c r="N699" t="s">
        <v>97</v>
      </c>
      <c r="O699" t="s">
        <v>102</v>
      </c>
      <c r="P699" t="s">
        <v>49</v>
      </c>
      <c r="Q699" t="s">
        <v>90</v>
      </c>
      <c r="R699">
        <v>0</v>
      </c>
      <c r="S699">
        <v>-35900</v>
      </c>
      <c r="T699" s="1">
        <v>42008</v>
      </c>
      <c r="U699" t="s">
        <v>51</v>
      </c>
      <c r="V699" t="s">
        <v>81</v>
      </c>
      <c r="W699" t="s">
        <v>53</v>
      </c>
      <c r="X699" t="s">
        <v>125</v>
      </c>
      <c r="Y699" t="s">
        <v>69</v>
      </c>
      <c r="Z699" t="s">
        <v>92</v>
      </c>
      <c r="AA699" t="s">
        <v>881</v>
      </c>
      <c r="AB699">
        <v>13</v>
      </c>
      <c r="AC699" t="str">
        <f t="shared" si="31"/>
        <v>Afternoon</v>
      </c>
      <c r="AD699">
        <v>1</v>
      </c>
      <c r="AE699" t="s">
        <v>67</v>
      </c>
      <c r="AF699">
        <v>2</v>
      </c>
      <c r="AG699">
        <v>3</v>
      </c>
      <c r="AH699" t="s">
        <v>67</v>
      </c>
      <c r="AI699">
        <v>55110</v>
      </c>
      <c r="AJ699">
        <v>5010</v>
      </c>
      <c r="AK699">
        <v>10020</v>
      </c>
      <c r="AL699">
        <v>40080</v>
      </c>
      <c r="AM699" t="s">
        <v>109</v>
      </c>
      <c r="AN699" t="s">
        <v>156</v>
      </c>
      <c r="AO699">
        <v>2015</v>
      </c>
      <c r="AP699">
        <v>2002</v>
      </c>
      <c r="AQ699">
        <f t="shared" si="32"/>
        <v>13</v>
      </c>
      <c r="AR699" t="s">
        <v>87</v>
      </c>
    </row>
    <row r="700" spans="1:44" x14ac:dyDescent="0.25">
      <c r="A700">
        <v>164</v>
      </c>
      <c r="B700" t="str">
        <f t="shared" si="30"/>
        <v>10+ years</v>
      </c>
      <c r="C700">
        <v>31</v>
      </c>
      <c r="D700" t="str" cm="1">
        <f t="array" ref="D700">_xlfn.IFS(C700&lt;26, "19-25", C700&lt;33, "26-32", C700&lt;40, "33-39", C700&lt;47, "40-46",C700&lt;54, "47-53", TRUE, "54+")</f>
        <v>26-32</v>
      </c>
      <c r="E700">
        <v>357808</v>
      </c>
      <c r="F700" s="1">
        <v>40574</v>
      </c>
      <c r="G700" t="s">
        <v>62</v>
      </c>
      <c r="H700" t="s">
        <v>96</v>
      </c>
      <c r="I700">
        <v>500</v>
      </c>
      <c r="J700">
        <v>1114.68</v>
      </c>
      <c r="K700">
        <v>0</v>
      </c>
      <c r="L700">
        <v>474758</v>
      </c>
      <c r="M700" t="s">
        <v>75</v>
      </c>
      <c r="N700" t="s">
        <v>97</v>
      </c>
      <c r="O700" t="s">
        <v>116</v>
      </c>
      <c r="P700" t="s">
        <v>64</v>
      </c>
      <c r="Q700" t="s">
        <v>50</v>
      </c>
      <c r="R700">
        <v>44500</v>
      </c>
      <c r="S700">
        <v>-55900</v>
      </c>
      <c r="T700" s="1">
        <v>42030</v>
      </c>
      <c r="U700" t="s">
        <v>66</v>
      </c>
      <c r="V700" t="s">
        <v>67</v>
      </c>
      <c r="W700" t="s">
        <v>217</v>
      </c>
      <c r="X700" t="s">
        <v>54</v>
      </c>
      <c r="Y700" t="s">
        <v>55</v>
      </c>
      <c r="Z700" t="s">
        <v>107</v>
      </c>
      <c r="AA700" t="s">
        <v>882</v>
      </c>
      <c r="AB700">
        <v>5</v>
      </c>
      <c r="AC700" t="str">
        <f t="shared" si="31"/>
        <v>Night</v>
      </c>
      <c r="AD700">
        <v>1</v>
      </c>
      <c r="AE700" t="s">
        <v>58</v>
      </c>
      <c r="AF700">
        <v>1</v>
      </c>
      <c r="AG700">
        <v>0</v>
      </c>
      <c r="AH700" t="s">
        <v>84</v>
      </c>
      <c r="AI700">
        <v>4320</v>
      </c>
      <c r="AJ700">
        <v>480</v>
      </c>
      <c r="AK700">
        <v>480</v>
      </c>
      <c r="AL700">
        <v>3360</v>
      </c>
      <c r="AM700" t="s">
        <v>72</v>
      </c>
      <c r="AN700" t="s">
        <v>73</v>
      </c>
      <c r="AO700">
        <v>2015</v>
      </c>
      <c r="AP700">
        <v>2002</v>
      </c>
      <c r="AQ700">
        <f t="shared" si="32"/>
        <v>13</v>
      </c>
      <c r="AR700" t="s">
        <v>87</v>
      </c>
    </row>
    <row r="701" spans="1:44" x14ac:dyDescent="0.25">
      <c r="A701">
        <v>186</v>
      </c>
      <c r="B701" t="str">
        <f t="shared" si="30"/>
        <v>10+ years</v>
      </c>
      <c r="C701">
        <v>38</v>
      </c>
      <c r="D701" t="str" cm="1">
        <f t="array" ref="D701">_xlfn.IFS(C701&lt;26, "19-25", C701&lt;33, "26-32", C701&lt;40, "33-39", C701&lt;47, "40-46",C701&lt;54, "47-53", TRUE, "54+")</f>
        <v>33-39</v>
      </c>
      <c r="E701">
        <v>536052</v>
      </c>
      <c r="F701" s="1">
        <v>38828</v>
      </c>
      <c r="G701" t="s">
        <v>44</v>
      </c>
      <c r="H701" t="s">
        <v>45</v>
      </c>
      <c r="I701">
        <v>2000</v>
      </c>
      <c r="J701">
        <v>1218.56</v>
      </c>
      <c r="K701">
        <v>0</v>
      </c>
      <c r="L701">
        <v>477373</v>
      </c>
      <c r="M701" t="s">
        <v>75</v>
      </c>
      <c r="N701" t="s">
        <v>129</v>
      </c>
      <c r="O701" t="s">
        <v>150</v>
      </c>
      <c r="P701" t="s">
        <v>186</v>
      </c>
      <c r="Q701" t="s">
        <v>50</v>
      </c>
      <c r="R701">
        <v>39300</v>
      </c>
      <c r="S701">
        <v>-60300</v>
      </c>
      <c r="T701" s="1">
        <v>42064</v>
      </c>
      <c r="U701" t="s">
        <v>80</v>
      </c>
      <c r="V701" t="s">
        <v>91</v>
      </c>
      <c r="W701" t="s">
        <v>112</v>
      </c>
      <c r="X701" t="s">
        <v>54</v>
      </c>
      <c r="Y701" t="s">
        <v>69</v>
      </c>
      <c r="Z701" t="s">
        <v>92</v>
      </c>
      <c r="AA701" t="s">
        <v>883</v>
      </c>
      <c r="AB701">
        <v>23</v>
      </c>
      <c r="AC701" t="str">
        <f t="shared" si="31"/>
        <v>Evening</v>
      </c>
      <c r="AD701">
        <v>3</v>
      </c>
      <c r="AE701" t="s">
        <v>58</v>
      </c>
      <c r="AF701">
        <v>2</v>
      </c>
      <c r="AG701">
        <v>2</v>
      </c>
      <c r="AH701" t="s">
        <v>67</v>
      </c>
      <c r="AI701">
        <v>68760</v>
      </c>
      <c r="AJ701">
        <v>11460</v>
      </c>
      <c r="AK701">
        <v>5730</v>
      </c>
      <c r="AL701">
        <v>51570</v>
      </c>
      <c r="AM701" t="s">
        <v>59</v>
      </c>
      <c r="AN701">
        <v>95</v>
      </c>
      <c r="AO701">
        <v>2015</v>
      </c>
      <c r="AP701">
        <v>1998</v>
      </c>
      <c r="AQ701">
        <f t="shared" si="32"/>
        <v>17</v>
      </c>
      <c r="AR701" t="s">
        <v>61</v>
      </c>
    </row>
    <row r="702" spans="1:44" x14ac:dyDescent="0.25">
      <c r="A702">
        <v>85</v>
      </c>
      <c r="B702" t="str">
        <f t="shared" si="30"/>
        <v>5-10 years</v>
      </c>
      <c r="C702">
        <v>31</v>
      </c>
      <c r="D702" t="str" cm="1">
        <f t="array" ref="D702">_xlfn.IFS(C702&lt;26, "19-25", C702&lt;33, "26-32", C702&lt;40, "33-39", C702&lt;47, "40-46",C702&lt;54, "47-53", TRUE, "54+")</f>
        <v>26-32</v>
      </c>
      <c r="E702">
        <v>873384</v>
      </c>
      <c r="F702" s="1">
        <v>38056</v>
      </c>
      <c r="G702" t="s">
        <v>88</v>
      </c>
      <c r="H702" t="s">
        <v>45</v>
      </c>
      <c r="I702">
        <v>2000</v>
      </c>
      <c r="J702">
        <v>1234.69</v>
      </c>
      <c r="K702">
        <v>9000000</v>
      </c>
      <c r="L702">
        <v>613471</v>
      </c>
      <c r="M702" t="s">
        <v>75</v>
      </c>
      <c r="N702" t="s">
        <v>47</v>
      </c>
      <c r="O702" t="s">
        <v>102</v>
      </c>
      <c r="P702" t="s">
        <v>170</v>
      </c>
      <c r="Q702" t="s">
        <v>50</v>
      </c>
      <c r="R702">
        <v>0</v>
      </c>
      <c r="S702">
        <v>0</v>
      </c>
      <c r="T702" s="1">
        <v>42041</v>
      </c>
      <c r="U702" t="s">
        <v>80</v>
      </c>
      <c r="V702" t="s">
        <v>91</v>
      </c>
      <c r="W702" t="s">
        <v>53</v>
      </c>
      <c r="X702" t="s">
        <v>125</v>
      </c>
      <c r="Y702" t="s">
        <v>118</v>
      </c>
      <c r="Z702" t="s">
        <v>92</v>
      </c>
      <c r="AA702" t="s">
        <v>884</v>
      </c>
      <c r="AB702">
        <v>1</v>
      </c>
      <c r="AC702" t="str">
        <f t="shared" si="31"/>
        <v>Night</v>
      </c>
      <c r="AD702">
        <v>2</v>
      </c>
      <c r="AE702" t="s">
        <v>84</v>
      </c>
      <c r="AF702">
        <v>2</v>
      </c>
      <c r="AG702">
        <v>1</v>
      </c>
      <c r="AH702" t="s">
        <v>67</v>
      </c>
      <c r="AI702">
        <v>74400</v>
      </c>
      <c r="AJ702">
        <v>14880</v>
      </c>
      <c r="AK702">
        <v>7440</v>
      </c>
      <c r="AL702">
        <v>52080</v>
      </c>
      <c r="AM702" t="s">
        <v>192</v>
      </c>
      <c r="AN702" t="s">
        <v>206</v>
      </c>
      <c r="AO702">
        <v>2015</v>
      </c>
      <c r="AP702">
        <v>2003</v>
      </c>
      <c r="AQ702">
        <f t="shared" si="32"/>
        <v>12</v>
      </c>
      <c r="AR702" t="s">
        <v>61</v>
      </c>
    </row>
    <row r="703" spans="1:44" x14ac:dyDescent="0.25">
      <c r="A703">
        <v>162</v>
      </c>
      <c r="B703" t="str">
        <f t="shared" si="30"/>
        <v>10+ years</v>
      </c>
      <c r="C703">
        <v>33</v>
      </c>
      <c r="D703" t="str" cm="1">
        <f t="array" ref="D703">_xlfn.IFS(C703&lt;26, "19-25", C703&lt;33, "26-32", C703&lt;40, "33-39", C703&lt;47, "40-46",C703&lt;54, "47-53", TRUE, "54+")</f>
        <v>33-39</v>
      </c>
      <c r="E703">
        <v>790225</v>
      </c>
      <c r="F703" s="1">
        <v>33243</v>
      </c>
      <c r="G703" t="s">
        <v>44</v>
      </c>
      <c r="H703" t="s">
        <v>45</v>
      </c>
      <c r="I703">
        <v>500</v>
      </c>
      <c r="J703">
        <v>964.92</v>
      </c>
      <c r="K703">
        <v>0</v>
      </c>
      <c r="L703">
        <v>601581</v>
      </c>
      <c r="M703" t="s">
        <v>75</v>
      </c>
      <c r="N703" t="s">
        <v>97</v>
      </c>
      <c r="O703" t="s">
        <v>130</v>
      </c>
      <c r="P703" t="s">
        <v>111</v>
      </c>
      <c r="Q703" t="s">
        <v>65</v>
      </c>
      <c r="R703">
        <v>45700</v>
      </c>
      <c r="S703">
        <v>0</v>
      </c>
      <c r="T703" s="1">
        <v>42044</v>
      </c>
      <c r="U703" t="s">
        <v>80</v>
      </c>
      <c r="V703" t="s">
        <v>81</v>
      </c>
      <c r="W703" t="s">
        <v>53</v>
      </c>
      <c r="X703" t="s">
        <v>104</v>
      </c>
      <c r="Y703" t="s">
        <v>82</v>
      </c>
      <c r="Z703" t="s">
        <v>127</v>
      </c>
      <c r="AA703" t="s">
        <v>885</v>
      </c>
      <c r="AB703">
        <v>17</v>
      </c>
      <c r="AC703" t="str">
        <f t="shared" si="31"/>
        <v>Afternoon</v>
      </c>
      <c r="AD703">
        <v>4</v>
      </c>
      <c r="AE703" t="s">
        <v>84</v>
      </c>
      <c r="AF703">
        <v>2</v>
      </c>
      <c r="AG703">
        <v>1</v>
      </c>
      <c r="AH703" t="s">
        <v>84</v>
      </c>
      <c r="AI703">
        <v>35300</v>
      </c>
      <c r="AJ703">
        <v>3530</v>
      </c>
      <c r="AK703">
        <v>3530</v>
      </c>
      <c r="AL703">
        <v>28240</v>
      </c>
      <c r="AM703" t="s">
        <v>72</v>
      </c>
      <c r="AN703" t="s">
        <v>73</v>
      </c>
      <c r="AO703">
        <v>2015</v>
      </c>
      <c r="AP703">
        <v>1996</v>
      </c>
      <c r="AQ703">
        <f t="shared" si="32"/>
        <v>19</v>
      </c>
      <c r="AR703" t="s">
        <v>61</v>
      </c>
    </row>
    <row r="704" spans="1:44" x14ac:dyDescent="0.25">
      <c r="A704">
        <v>396</v>
      </c>
      <c r="B704" t="str">
        <f t="shared" si="30"/>
        <v>10+ years</v>
      </c>
      <c r="C704">
        <v>57</v>
      </c>
      <c r="D704" t="str" cm="1">
        <f t="array" ref="D704">_xlfn.IFS(C704&lt;26, "19-25", C704&lt;33, "26-32", C704&lt;40, "33-39", C704&lt;47, "40-46",C704&lt;54, "47-53", TRUE, "54+")</f>
        <v>54+</v>
      </c>
      <c r="E704">
        <v>587498</v>
      </c>
      <c r="F704" s="1">
        <v>35353</v>
      </c>
      <c r="G704" t="s">
        <v>88</v>
      </c>
      <c r="H704" t="s">
        <v>96</v>
      </c>
      <c r="I704">
        <v>500</v>
      </c>
      <c r="J704">
        <v>1351.72</v>
      </c>
      <c r="K704">
        <v>0</v>
      </c>
      <c r="L704">
        <v>612102</v>
      </c>
      <c r="M704" t="s">
        <v>46</v>
      </c>
      <c r="N704" t="s">
        <v>136</v>
      </c>
      <c r="O704" t="s">
        <v>102</v>
      </c>
      <c r="P704" t="s">
        <v>123</v>
      </c>
      <c r="Q704" t="s">
        <v>124</v>
      </c>
      <c r="R704">
        <v>0</v>
      </c>
      <c r="S704">
        <v>-49400</v>
      </c>
      <c r="T704" s="1">
        <v>42040</v>
      </c>
      <c r="U704" t="s">
        <v>143</v>
      </c>
      <c r="V704" t="s">
        <v>67</v>
      </c>
      <c r="W704" t="s">
        <v>68</v>
      </c>
      <c r="X704" t="s">
        <v>98</v>
      </c>
      <c r="Y704" t="s">
        <v>82</v>
      </c>
      <c r="Z704" t="s">
        <v>107</v>
      </c>
      <c r="AA704" t="s">
        <v>886</v>
      </c>
      <c r="AB704">
        <v>3</v>
      </c>
      <c r="AC704" t="str">
        <f t="shared" si="31"/>
        <v>Night</v>
      </c>
      <c r="AD704">
        <v>1</v>
      </c>
      <c r="AE704" t="s">
        <v>58</v>
      </c>
      <c r="AF704">
        <v>1</v>
      </c>
      <c r="AG704">
        <v>3</v>
      </c>
      <c r="AH704" t="s">
        <v>67</v>
      </c>
      <c r="AI704">
        <v>2640</v>
      </c>
      <c r="AJ704">
        <v>480</v>
      </c>
      <c r="AK704">
        <v>480</v>
      </c>
      <c r="AL704">
        <v>1680</v>
      </c>
      <c r="AM704" t="s">
        <v>219</v>
      </c>
      <c r="AN704" t="s">
        <v>220</v>
      </c>
      <c r="AO704">
        <v>2015</v>
      </c>
      <c r="AP704">
        <v>2000</v>
      </c>
      <c r="AQ704">
        <f t="shared" si="32"/>
        <v>15</v>
      </c>
      <c r="AR704" t="s">
        <v>87</v>
      </c>
    </row>
    <row r="705" spans="1:44" x14ac:dyDescent="0.25">
      <c r="A705">
        <v>270</v>
      </c>
      <c r="B705" t="str">
        <f t="shared" si="30"/>
        <v>10+ years</v>
      </c>
      <c r="C705">
        <v>41</v>
      </c>
      <c r="D705" t="str" cm="1">
        <f t="array" ref="D705">_xlfn.IFS(C705&lt;26, "19-25", C705&lt;33, "26-32", C705&lt;40, "33-39", C705&lt;47, "40-46",C705&lt;54, "47-53", TRUE, "54+")</f>
        <v>40-46</v>
      </c>
      <c r="E705">
        <v>639027</v>
      </c>
      <c r="F705" s="1">
        <v>34506</v>
      </c>
      <c r="G705" t="s">
        <v>88</v>
      </c>
      <c r="H705" t="s">
        <v>45</v>
      </c>
      <c r="I705">
        <v>1000</v>
      </c>
      <c r="J705">
        <v>817.28</v>
      </c>
      <c r="K705">
        <v>0</v>
      </c>
      <c r="L705">
        <v>460263</v>
      </c>
      <c r="M705" t="s">
        <v>46</v>
      </c>
      <c r="N705" t="s">
        <v>136</v>
      </c>
      <c r="O705" t="s">
        <v>77</v>
      </c>
      <c r="P705" t="s">
        <v>247</v>
      </c>
      <c r="Q705" t="s">
        <v>90</v>
      </c>
      <c r="R705">
        <v>62200</v>
      </c>
      <c r="S705">
        <v>0</v>
      </c>
      <c r="T705" s="1">
        <v>42007</v>
      </c>
      <c r="U705" t="s">
        <v>80</v>
      </c>
      <c r="V705" t="s">
        <v>81</v>
      </c>
      <c r="W705" t="s">
        <v>112</v>
      </c>
      <c r="X705" t="s">
        <v>141</v>
      </c>
      <c r="Y705" t="s">
        <v>55</v>
      </c>
      <c r="Z705" t="s">
        <v>56</v>
      </c>
      <c r="AA705" t="s">
        <v>887</v>
      </c>
      <c r="AB705">
        <v>17</v>
      </c>
      <c r="AC705" t="str">
        <f t="shared" si="31"/>
        <v>Afternoon</v>
      </c>
      <c r="AD705">
        <v>3</v>
      </c>
      <c r="AE705" t="s">
        <v>67</v>
      </c>
      <c r="AF705">
        <v>1</v>
      </c>
      <c r="AG705">
        <v>1</v>
      </c>
      <c r="AH705" t="s">
        <v>84</v>
      </c>
      <c r="AI705">
        <v>60190</v>
      </c>
      <c r="AJ705">
        <v>4630</v>
      </c>
      <c r="AK705">
        <v>9260</v>
      </c>
      <c r="AL705">
        <v>46300</v>
      </c>
      <c r="AM705" t="s">
        <v>72</v>
      </c>
      <c r="AN705" t="s">
        <v>276</v>
      </c>
      <c r="AO705">
        <v>2015</v>
      </c>
      <c r="AP705">
        <v>2014</v>
      </c>
      <c r="AQ705">
        <f t="shared" si="32"/>
        <v>1</v>
      </c>
      <c r="AR705" t="s">
        <v>61</v>
      </c>
    </row>
    <row r="706" spans="1:44" x14ac:dyDescent="0.25">
      <c r="A706">
        <v>168</v>
      </c>
      <c r="B706" t="str">
        <f t="shared" si="30"/>
        <v>10+ years</v>
      </c>
      <c r="C706">
        <v>39</v>
      </c>
      <c r="D706" t="str" cm="1">
        <f t="array" ref="D706">_xlfn.IFS(C706&lt;26, "19-25", C706&lt;33, "26-32", C706&lt;40, "33-39", C706&lt;47, "40-46",C706&lt;54, "47-53", TRUE, "54+")</f>
        <v>33-39</v>
      </c>
      <c r="E706">
        <v>217899</v>
      </c>
      <c r="F706" s="1">
        <v>34498</v>
      </c>
      <c r="G706" t="s">
        <v>88</v>
      </c>
      <c r="H706" t="s">
        <v>96</v>
      </c>
      <c r="I706">
        <v>1000</v>
      </c>
      <c r="J706">
        <v>1389.59</v>
      </c>
      <c r="K706">
        <v>0</v>
      </c>
      <c r="L706">
        <v>479134</v>
      </c>
      <c r="M706" t="s">
        <v>75</v>
      </c>
      <c r="N706" t="s">
        <v>129</v>
      </c>
      <c r="O706" t="s">
        <v>63</v>
      </c>
      <c r="P706" t="s">
        <v>269</v>
      </c>
      <c r="Q706" t="s">
        <v>79</v>
      </c>
      <c r="R706">
        <v>0</v>
      </c>
      <c r="S706">
        <v>-42600</v>
      </c>
      <c r="T706" s="1">
        <v>42059</v>
      </c>
      <c r="U706" t="s">
        <v>80</v>
      </c>
      <c r="V706" t="s">
        <v>81</v>
      </c>
      <c r="W706" t="s">
        <v>53</v>
      </c>
      <c r="X706" t="s">
        <v>104</v>
      </c>
      <c r="Y706" t="s">
        <v>82</v>
      </c>
      <c r="Z706" t="s">
        <v>132</v>
      </c>
      <c r="AA706" t="s">
        <v>888</v>
      </c>
      <c r="AB706">
        <v>23</v>
      </c>
      <c r="AC706" t="str">
        <f t="shared" si="31"/>
        <v>Evening</v>
      </c>
      <c r="AD706">
        <v>3</v>
      </c>
      <c r="AE706" t="s">
        <v>58</v>
      </c>
      <c r="AF706">
        <v>1</v>
      </c>
      <c r="AG706">
        <v>3</v>
      </c>
      <c r="AH706" t="s">
        <v>84</v>
      </c>
      <c r="AI706">
        <v>41580</v>
      </c>
      <c r="AJ706">
        <v>3780</v>
      </c>
      <c r="AK706">
        <v>7560</v>
      </c>
      <c r="AL706">
        <v>30240</v>
      </c>
      <c r="AM706" t="s">
        <v>94</v>
      </c>
      <c r="AN706" t="s">
        <v>250</v>
      </c>
      <c r="AO706">
        <v>2015</v>
      </c>
      <c r="AP706">
        <v>2015</v>
      </c>
      <c r="AQ706">
        <f t="shared" si="32"/>
        <v>0</v>
      </c>
      <c r="AR706" t="s">
        <v>61</v>
      </c>
    </row>
    <row r="707" spans="1:44" x14ac:dyDescent="0.25">
      <c r="A707">
        <v>274</v>
      </c>
      <c r="B707" t="str">
        <f t="shared" ref="B707:B770" si="33">IF(A707&lt;=24, "0-2 years", IF(A707&lt;=60, "2-5 years", IF(A707&lt;=120, "5-10 years", "10+ years")))</f>
        <v>10+ years</v>
      </c>
      <c r="C707">
        <v>45</v>
      </c>
      <c r="D707" t="str" cm="1">
        <f t="array" ref="D707">_xlfn.IFS(C707&lt;26, "19-25", C707&lt;33, "26-32", C707&lt;40, "33-39", C707&lt;47, "40-46",C707&lt;54, "47-53", TRUE, "54+")</f>
        <v>40-46</v>
      </c>
      <c r="E707">
        <v>589094</v>
      </c>
      <c r="F707" s="1">
        <v>37768</v>
      </c>
      <c r="G707" t="s">
        <v>62</v>
      </c>
      <c r="H707" t="s">
        <v>45</v>
      </c>
      <c r="I707">
        <v>1000</v>
      </c>
      <c r="J707">
        <v>1353.53</v>
      </c>
      <c r="K707">
        <v>0</v>
      </c>
      <c r="L707">
        <v>451467</v>
      </c>
      <c r="M707" t="s">
        <v>75</v>
      </c>
      <c r="N707" t="s">
        <v>166</v>
      </c>
      <c r="O707" t="s">
        <v>102</v>
      </c>
      <c r="P707" t="s">
        <v>247</v>
      </c>
      <c r="Q707" t="s">
        <v>90</v>
      </c>
      <c r="R707">
        <v>54700</v>
      </c>
      <c r="S707">
        <v>-47900</v>
      </c>
      <c r="T707" s="1">
        <v>42018</v>
      </c>
      <c r="U707" t="s">
        <v>51</v>
      </c>
      <c r="V707" t="s">
        <v>52</v>
      </c>
      <c r="W707" t="s">
        <v>68</v>
      </c>
      <c r="X707" t="s">
        <v>141</v>
      </c>
      <c r="Y707" t="s">
        <v>82</v>
      </c>
      <c r="Z707" t="s">
        <v>56</v>
      </c>
      <c r="AA707" t="s">
        <v>889</v>
      </c>
      <c r="AB707">
        <v>13</v>
      </c>
      <c r="AC707" t="str">
        <f t="shared" ref="AC707:AC770" si="34">IF(AB707&lt;6, "Night", IF(AB707&lt;12, "Morning", IF(AB707&lt;18, "Afternoon", "Evening")))</f>
        <v>Afternoon</v>
      </c>
      <c r="AD707">
        <v>1</v>
      </c>
      <c r="AE707" t="s">
        <v>58</v>
      </c>
      <c r="AF707">
        <v>0</v>
      </c>
      <c r="AG707">
        <v>0</v>
      </c>
      <c r="AH707" t="s">
        <v>84</v>
      </c>
      <c r="AI707">
        <v>58500</v>
      </c>
      <c r="AJ707">
        <v>11700</v>
      </c>
      <c r="AK707">
        <v>0</v>
      </c>
      <c r="AL707">
        <v>46800</v>
      </c>
      <c r="AM707" t="s">
        <v>100</v>
      </c>
      <c r="AN707" t="s">
        <v>153</v>
      </c>
      <c r="AO707">
        <v>2015</v>
      </c>
      <c r="AP707">
        <v>1995</v>
      </c>
      <c r="AQ707">
        <f t="shared" ref="AQ707:AQ770" si="35">AO707-AP707</f>
        <v>20</v>
      </c>
      <c r="AR707" t="s">
        <v>61</v>
      </c>
    </row>
    <row r="708" spans="1:44" x14ac:dyDescent="0.25">
      <c r="A708">
        <v>263</v>
      </c>
      <c r="B708" t="str">
        <f t="shared" si="33"/>
        <v>10+ years</v>
      </c>
      <c r="C708">
        <v>43</v>
      </c>
      <c r="D708" t="str" cm="1">
        <f t="array" ref="D708">_xlfn.IFS(C708&lt;26, "19-25", C708&lt;33, "26-32", C708&lt;40, "33-39", C708&lt;47, "40-46",C708&lt;54, "47-53", TRUE, "54+")</f>
        <v>40-46</v>
      </c>
      <c r="E708">
        <v>458829</v>
      </c>
      <c r="F708" s="1">
        <v>35252</v>
      </c>
      <c r="G708" t="s">
        <v>62</v>
      </c>
      <c r="H708" t="s">
        <v>96</v>
      </c>
      <c r="I708">
        <v>1000</v>
      </c>
      <c r="J708">
        <v>1294.04</v>
      </c>
      <c r="K708">
        <v>0</v>
      </c>
      <c r="L708">
        <v>602670</v>
      </c>
      <c r="M708" t="s">
        <v>75</v>
      </c>
      <c r="N708" t="s">
        <v>129</v>
      </c>
      <c r="O708" t="s">
        <v>164</v>
      </c>
      <c r="P708" t="s">
        <v>151</v>
      </c>
      <c r="Q708" t="s">
        <v>147</v>
      </c>
      <c r="R708">
        <v>0</v>
      </c>
      <c r="S708">
        <v>0</v>
      </c>
      <c r="T708" s="1">
        <v>42012</v>
      </c>
      <c r="U708" t="s">
        <v>51</v>
      </c>
      <c r="V708" t="s">
        <v>81</v>
      </c>
      <c r="W708" t="s">
        <v>68</v>
      </c>
      <c r="X708" t="s">
        <v>104</v>
      </c>
      <c r="Y708" t="s">
        <v>55</v>
      </c>
      <c r="Z708" t="s">
        <v>70</v>
      </c>
      <c r="AA708" t="s">
        <v>890</v>
      </c>
      <c r="AB708">
        <v>17</v>
      </c>
      <c r="AC708" t="str">
        <f t="shared" si="34"/>
        <v>Afternoon</v>
      </c>
      <c r="AD708">
        <v>1</v>
      </c>
      <c r="AE708" t="s">
        <v>58</v>
      </c>
      <c r="AF708">
        <v>2</v>
      </c>
      <c r="AG708">
        <v>3</v>
      </c>
      <c r="AH708" t="s">
        <v>58</v>
      </c>
      <c r="AI708">
        <v>79320</v>
      </c>
      <c r="AJ708">
        <v>13220</v>
      </c>
      <c r="AK708">
        <v>6610</v>
      </c>
      <c r="AL708">
        <v>59490</v>
      </c>
      <c r="AM708" t="s">
        <v>109</v>
      </c>
      <c r="AN708" t="s">
        <v>292</v>
      </c>
      <c r="AO708">
        <v>2015</v>
      </c>
      <c r="AP708">
        <v>1997</v>
      </c>
      <c r="AQ708">
        <f t="shared" si="35"/>
        <v>18</v>
      </c>
      <c r="AR708" t="s">
        <v>87</v>
      </c>
    </row>
    <row r="709" spans="1:44" x14ac:dyDescent="0.25">
      <c r="A709">
        <v>152</v>
      </c>
      <c r="B709" t="str">
        <f t="shared" si="33"/>
        <v>10+ years</v>
      </c>
      <c r="C709">
        <v>33</v>
      </c>
      <c r="D709" t="str" cm="1">
        <f t="array" ref="D709">_xlfn.IFS(C709&lt;26, "19-25", C709&lt;33, "26-32", C709&lt;40, "33-39", C709&lt;47, "40-46",C709&lt;54, "47-53", TRUE, "54+")</f>
        <v>33-39</v>
      </c>
      <c r="E709">
        <v>626208</v>
      </c>
      <c r="F709" s="1">
        <v>38480</v>
      </c>
      <c r="G709" t="s">
        <v>44</v>
      </c>
      <c r="H709" t="s">
        <v>74</v>
      </c>
      <c r="I709">
        <v>1000</v>
      </c>
      <c r="J709">
        <v>840.81</v>
      </c>
      <c r="K709">
        <v>0</v>
      </c>
      <c r="L709">
        <v>613607</v>
      </c>
      <c r="M709" t="s">
        <v>75</v>
      </c>
      <c r="N709" t="s">
        <v>136</v>
      </c>
      <c r="O709" t="s">
        <v>194</v>
      </c>
      <c r="P709" t="s">
        <v>173</v>
      </c>
      <c r="Q709" t="s">
        <v>50</v>
      </c>
      <c r="R709">
        <v>0</v>
      </c>
      <c r="S709">
        <v>0</v>
      </c>
      <c r="T709" s="1">
        <v>42049</v>
      </c>
      <c r="U709" t="s">
        <v>51</v>
      </c>
      <c r="V709" t="s">
        <v>81</v>
      </c>
      <c r="W709" t="s">
        <v>68</v>
      </c>
      <c r="X709" t="s">
        <v>141</v>
      </c>
      <c r="Y709" t="s">
        <v>82</v>
      </c>
      <c r="Z709" t="s">
        <v>92</v>
      </c>
      <c r="AA709" t="s">
        <v>891</v>
      </c>
      <c r="AB709">
        <v>2</v>
      </c>
      <c r="AC709" t="str">
        <f t="shared" si="34"/>
        <v>Night</v>
      </c>
      <c r="AD709">
        <v>1</v>
      </c>
      <c r="AE709" t="s">
        <v>58</v>
      </c>
      <c r="AF709">
        <v>0</v>
      </c>
      <c r="AG709">
        <v>2</v>
      </c>
      <c r="AH709" t="s">
        <v>67</v>
      </c>
      <c r="AI709">
        <v>82610</v>
      </c>
      <c r="AJ709">
        <v>7510</v>
      </c>
      <c r="AK709">
        <v>7510</v>
      </c>
      <c r="AL709">
        <v>67590</v>
      </c>
      <c r="AM709" t="s">
        <v>134</v>
      </c>
      <c r="AN709" t="s">
        <v>177</v>
      </c>
      <c r="AO709">
        <v>2015</v>
      </c>
      <c r="AP709">
        <v>2002</v>
      </c>
      <c r="AQ709">
        <f t="shared" si="35"/>
        <v>13</v>
      </c>
      <c r="AR709" t="s">
        <v>61</v>
      </c>
    </row>
    <row r="710" spans="1:44" x14ac:dyDescent="0.25">
      <c r="A710">
        <v>46</v>
      </c>
      <c r="B710" t="str">
        <f t="shared" si="33"/>
        <v>2-5 years</v>
      </c>
      <c r="C710">
        <v>41</v>
      </c>
      <c r="D710" t="str" cm="1">
        <f t="array" ref="D710">_xlfn.IFS(C710&lt;26, "19-25", C710&lt;33, "26-32", C710&lt;40, "33-39", C710&lt;47, "40-46",C710&lt;54, "47-53", TRUE, "54+")</f>
        <v>40-46</v>
      </c>
      <c r="E710">
        <v>315041</v>
      </c>
      <c r="F710" s="1">
        <v>40484</v>
      </c>
      <c r="G710" t="s">
        <v>44</v>
      </c>
      <c r="H710" t="s">
        <v>74</v>
      </c>
      <c r="I710">
        <v>2000</v>
      </c>
      <c r="J710">
        <v>998.19</v>
      </c>
      <c r="K710">
        <v>0</v>
      </c>
      <c r="L710">
        <v>611556</v>
      </c>
      <c r="M710" t="s">
        <v>75</v>
      </c>
      <c r="N710" t="s">
        <v>47</v>
      </c>
      <c r="O710" t="s">
        <v>122</v>
      </c>
      <c r="P710" t="s">
        <v>186</v>
      </c>
      <c r="Q710" t="s">
        <v>50</v>
      </c>
      <c r="R710">
        <v>43700</v>
      </c>
      <c r="S710">
        <v>-66300</v>
      </c>
      <c r="T710" s="1">
        <v>42027</v>
      </c>
      <c r="U710" t="s">
        <v>80</v>
      </c>
      <c r="V710" t="s">
        <v>81</v>
      </c>
      <c r="W710" t="s">
        <v>112</v>
      </c>
      <c r="X710" t="s">
        <v>141</v>
      </c>
      <c r="Y710" t="s">
        <v>55</v>
      </c>
      <c r="Z710" t="s">
        <v>127</v>
      </c>
      <c r="AA710" t="s">
        <v>892</v>
      </c>
      <c r="AB710">
        <v>23</v>
      </c>
      <c r="AC710" t="str">
        <f t="shared" si="34"/>
        <v>Evening</v>
      </c>
      <c r="AD710">
        <v>3</v>
      </c>
      <c r="AE710" t="s">
        <v>84</v>
      </c>
      <c r="AF710">
        <v>1</v>
      </c>
      <c r="AG710">
        <v>3</v>
      </c>
      <c r="AH710" t="s">
        <v>67</v>
      </c>
      <c r="AI710">
        <v>78600</v>
      </c>
      <c r="AJ710">
        <v>13100</v>
      </c>
      <c r="AK710">
        <v>19650</v>
      </c>
      <c r="AL710">
        <v>45850</v>
      </c>
      <c r="AM710" t="s">
        <v>85</v>
      </c>
      <c r="AN710" t="s">
        <v>86</v>
      </c>
      <c r="AO710">
        <v>2015</v>
      </c>
      <c r="AP710">
        <v>2004</v>
      </c>
      <c r="AQ710">
        <f t="shared" si="35"/>
        <v>11</v>
      </c>
      <c r="AR710" t="s">
        <v>61</v>
      </c>
    </row>
    <row r="711" spans="1:44" x14ac:dyDescent="0.25">
      <c r="A711">
        <v>276</v>
      </c>
      <c r="B711" t="str">
        <f t="shared" si="33"/>
        <v>10+ years</v>
      </c>
      <c r="C711">
        <v>46</v>
      </c>
      <c r="D711" t="str" cm="1">
        <f t="array" ref="D711">_xlfn.IFS(C711&lt;26, "19-25", C711&lt;33, "26-32", C711&lt;40, "33-39", C711&lt;47, "40-46",C711&lt;54, "47-53", TRUE, "54+")</f>
        <v>40-46</v>
      </c>
      <c r="E711">
        <v>283267</v>
      </c>
      <c r="F711" s="1">
        <v>41119</v>
      </c>
      <c r="G711" t="s">
        <v>44</v>
      </c>
      <c r="H711" t="s">
        <v>74</v>
      </c>
      <c r="I711">
        <v>2000</v>
      </c>
      <c r="J711">
        <v>1090.32</v>
      </c>
      <c r="K711">
        <v>0</v>
      </c>
      <c r="L711">
        <v>435518</v>
      </c>
      <c r="M711" t="s">
        <v>46</v>
      </c>
      <c r="N711" t="s">
        <v>146</v>
      </c>
      <c r="O711" t="s">
        <v>164</v>
      </c>
      <c r="P711" t="s">
        <v>173</v>
      </c>
      <c r="Q711" t="s">
        <v>50</v>
      </c>
      <c r="R711">
        <v>0</v>
      </c>
      <c r="S711">
        <v>-70400</v>
      </c>
      <c r="T711" s="1">
        <v>42009</v>
      </c>
      <c r="U711" t="s">
        <v>51</v>
      </c>
      <c r="V711" t="s">
        <v>91</v>
      </c>
      <c r="W711" t="s">
        <v>68</v>
      </c>
      <c r="X711" t="s">
        <v>141</v>
      </c>
      <c r="Y711" t="s">
        <v>55</v>
      </c>
      <c r="Z711" t="s">
        <v>56</v>
      </c>
      <c r="AA711" t="s">
        <v>893</v>
      </c>
      <c r="AB711">
        <v>17</v>
      </c>
      <c r="AC711" t="str">
        <f t="shared" si="34"/>
        <v>Afternoon</v>
      </c>
      <c r="AD711">
        <v>1</v>
      </c>
      <c r="AE711" t="s">
        <v>84</v>
      </c>
      <c r="AF711">
        <v>1</v>
      </c>
      <c r="AG711">
        <v>2</v>
      </c>
      <c r="AH711" t="s">
        <v>67</v>
      </c>
      <c r="AI711">
        <v>51390</v>
      </c>
      <c r="AJ711">
        <v>5710</v>
      </c>
      <c r="AK711">
        <v>5710</v>
      </c>
      <c r="AL711">
        <v>39970</v>
      </c>
      <c r="AM711" t="s">
        <v>219</v>
      </c>
      <c r="AN711" t="s">
        <v>263</v>
      </c>
      <c r="AO711">
        <v>2015</v>
      </c>
      <c r="AP711">
        <v>2007</v>
      </c>
      <c r="AQ711">
        <f t="shared" si="35"/>
        <v>8</v>
      </c>
      <c r="AR711" t="s">
        <v>61</v>
      </c>
    </row>
    <row r="712" spans="1:44" x14ac:dyDescent="0.25">
      <c r="A712">
        <v>234</v>
      </c>
      <c r="B712" t="str">
        <f t="shared" si="33"/>
        <v>10+ years</v>
      </c>
      <c r="C712">
        <v>44</v>
      </c>
      <c r="D712" t="str" cm="1">
        <f t="array" ref="D712">_xlfn.IFS(C712&lt;26, "19-25", C712&lt;33, "26-32", C712&lt;40, "33-39", C712&lt;47, "40-46",C712&lt;54, "47-53", TRUE, "54+")</f>
        <v>40-46</v>
      </c>
      <c r="E712">
        <v>442494</v>
      </c>
      <c r="F712" s="1">
        <v>37413</v>
      </c>
      <c r="G712" t="s">
        <v>62</v>
      </c>
      <c r="H712" t="s">
        <v>96</v>
      </c>
      <c r="I712">
        <v>500</v>
      </c>
      <c r="J712">
        <v>1780.67</v>
      </c>
      <c r="K712">
        <v>0</v>
      </c>
      <c r="L712">
        <v>465942</v>
      </c>
      <c r="M712" t="s">
        <v>46</v>
      </c>
      <c r="N712" t="s">
        <v>97</v>
      </c>
      <c r="O712" t="s">
        <v>116</v>
      </c>
      <c r="P712" t="s">
        <v>269</v>
      </c>
      <c r="Q712" t="s">
        <v>65</v>
      </c>
      <c r="R712">
        <v>0</v>
      </c>
      <c r="S712">
        <v>0</v>
      </c>
      <c r="T712" s="1">
        <v>42054</v>
      </c>
      <c r="U712" t="s">
        <v>51</v>
      </c>
      <c r="V712" t="s">
        <v>52</v>
      </c>
      <c r="W712" t="s">
        <v>53</v>
      </c>
      <c r="X712" t="s">
        <v>141</v>
      </c>
      <c r="Y712" t="s">
        <v>126</v>
      </c>
      <c r="Z712" t="s">
        <v>107</v>
      </c>
      <c r="AA712" t="s">
        <v>894</v>
      </c>
      <c r="AB712">
        <v>3</v>
      </c>
      <c r="AC712" t="str">
        <f t="shared" si="34"/>
        <v>Night</v>
      </c>
      <c r="AD712">
        <v>1</v>
      </c>
      <c r="AE712" t="s">
        <v>84</v>
      </c>
      <c r="AF712">
        <v>1</v>
      </c>
      <c r="AG712">
        <v>0</v>
      </c>
      <c r="AH712" t="s">
        <v>84</v>
      </c>
      <c r="AI712">
        <v>70200</v>
      </c>
      <c r="AJ712">
        <v>7020</v>
      </c>
      <c r="AK712">
        <v>7020</v>
      </c>
      <c r="AL712">
        <v>56160</v>
      </c>
      <c r="AM712" t="s">
        <v>134</v>
      </c>
      <c r="AN712" t="s">
        <v>135</v>
      </c>
      <c r="AO712">
        <v>2015</v>
      </c>
      <c r="AP712">
        <v>2012</v>
      </c>
      <c r="AQ712">
        <f t="shared" si="35"/>
        <v>3</v>
      </c>
      <c r="AR712" t="s">
        <v>61</v>
      </c>
    </row>
    <row r="713" spans="1:44" x14ac:dyDescent="0.25">
      <c r="A713">
        <v>64</v>
      </c>
      <c r="B713" t="str">
        <f t="shared" si="33"/>
        <v>5-10 years</v>
      </c>
      <c r="C713">
        <v>30</v>
      </c>
      <c r="D713" t="str" cm="1">
        <f t="array" ref="D713">_xlfn.IFS(C713&lt;26, "19-25", C713&lt;33, "26-32", C713&lt;40, "33-39", C713&lt;47, "40-46",C713&lt;54, "47-53", TRUE, "54+")</f>
        <v>26-32</v>
      </c>
      <c r="E713">
        <v>159243</v>
      </c>
      <c r="F713" s="1">
        <v>33500</v>
      </c>
      <c r="G713" t="s">
        <v>88</v>
      </c>
      <c r="H713" t="s">
        <v>45</v>
      </c>
      <c r="I713">
        <v>2000</v>
      </c>
      <c r="J713">
        <v>1681.01</v>
      </c>
      <c r="K713">
        <v>0</v>
      </c>
      <c r="L713">
        <v>446174</v>
      </c>
      <c r="M713" t="s">
        <v>46</v>
      </c>
      <c r="N713" t="s">
        <v>166</v>
      </c>
      <c r="O713" t="s">
        <v>140</v>
      </c>
      <c r="P713" t="s">
        <v>111</v>
      </c>
      <c r="Q713" t="s">
        <v>79</v>
      </c>
      <c r="R713">
        <v>0</v>
      </c>
      <c r="S713">
        <v>-51100</v>
      </c>
      <c r="T713" s="1">
        <v>42042</v>
      </c>
      <c r="U713" t="s">
        <v>143</v>
      </c>
      <c r="V713" t="s">
        <v>67</v>
      </c>
      <c r="W713" t="s">
        <v>68</v>
      </c>
      <c r="X713" t="s">
        <v>98</v>
      </c>
      <c r="Y713" t="s">
        <v>55</v>
      </c>
      <c r="Z713" t="s">
        <v>70</v>
      </c>
      <c r="AA713" t="s">
        <v>895</v>
      </c>
      <c r="AB713">
        <v>16</v>
      </c>
      <c r="AC713" t="str">
        <f t="shared" si="34"/>
        <v>Afternoon</v>
      </c>
      <c r="AD713">
        <v>1</v>
      </c>
      <c r="AE713" t="s">
        <v>84</v>
      </c>
      <c r="AF713">
        <v>2</v>
      </c>
      <c r="AG713">
        <v>1</v>
      </c>
      <c r="AH713" t="s">
        <v>84</v>
      </c>
      <c r="AI713">
        <v>4900</v>
      </c>
      <c r="AJ713">
        <v>490</v>
      </c>
      <c r="AK713">
        <v>1470</v>
      </c>
      <c r="AL713">
        <v>2940</v>
      </c>
      <c r="AM713" t="s">
        <v>202</v>
      </c>
      <c r="AN713" t="s">
        <v>203</v>
      </c>
      <c r="AO713">
        <v>2015</v>
      </c>
      <c r="AP713">
        <v>2015</v>
      </c>
      <c r="AQ713">
        <f t="shared" si="35"/>
        <v>0</v>
      </c>
      <c r="AR713" t="s">
        <v>87</v>
      </c>
    </row>
    <row r="714" spans="1:44" x14ac:dyDescent="0.25">
      <c r="A714">
        <v>456</v>
      </c>
      <c r="B714" t="str">
        <f t="shared" si="33"/>
        <v>10+ years</v>
      </c>
      <c r="C714">
        <v>62</v>
      </c>
      <c r="D714" t="str" cm="1">
        <f t="array" ref="D714">_xlfn.IFS(C714&lt;26, "19-25", C714&lt;33, "26-32", C714&lt;40, "33-39", C714&lt;47, "40-46",C714&lt;54, "47-53", TRUE, "54+")</f>
        <v>54+</v>
      </c>
      <c r="E714">
        <v>669800</v>
      </c>
      <c r="F714" s="1">
        <v>39988</v>
      </c>
      <c r="G714" t="s">
        <v>44</v>
      </c>
      <c r="H714" t="s">
        <v>45</v>
      </c>
      <c r="I714">
        <v>1000</v>
      </c>
      <c r="J714">
        <v>1395.77</v>
      </c>
      <c r="K714">
        <v>0</v>
      </c>
      <c r="L714">
        <v>611651</v>
      </c>
      <c r="M714" t="s">
        <v>75</v>
      </c>
      <c r="N714" t="s">
        <v>47</v>
      </c>
      <c r="O714" t="s">
        <v>140</v>
      </c>
      <c r="P714" t="s">
        <v>173</v>
      </c>
      <c r="Q714" t="s">
        <v>79</v>
      </c>
      <c r="R714">
        <v>82600</v>
      </c>
      <c r="S714">
        <v>-49500</v>
      </c>
      <c r="T714" s="1">
        <v>42042</v>
      </c>
      <c r="U714" t="s">
        <v>80</v>
      </c>
      <c r="V714" t="s">
        <v>52</v>
      </c>
      <c r="W714" t="s">
        <v>53</v>
      </c>
      <c r="X714" t="s">
        <v>125</v>
      </c>
      <c r="Y714" t="s">
        <v>180</v>
      </c>
      <c r="Z714" t="s">
        <v>127</v>
      </c>
      <c r="AA714" t="s">
        <v>896</v>
      </c>
      <c r="AB714">
        <v>13</v>
      </c>
      <c r="AC714" t="str">
        <f t="shared" si="34"/>
        <v>Afternoon</v>
      </c>
      <c r="AD714">
        <v>3</v>
      </c>
      <c r="AE714" t="s">
        <v>67</v>
      </c>
      <c r="AF714">
        <v>1</v>
      </c>
      <c r="AG714">
        <v>3</v>
      </c>
      <c r="AH714" t="s">
        <v>84</v>
      </c>
      <c r="AI714">
        <v>66480</v>
      </c>
      <c r="AJ714">
        <v>5540</v>
      </c>
      <c r="AK714">
        <v>11080</v>
      </c>
      <c r="AL714">
        <v>49860</v>
      </c>
      <c r="AM714" t="s">
        <v>59</v>
      </c>
      <c r="AN714" t="s">
        <v>60</v>
      </c>
      <c r="AO714">
        <v>2015</v>
      </c>
      <c r="AP714">
        <v>2012</v>
      </c>
      <c r="AQ714">
        <f t="shared" si="35"/>
        <v>3</v>
      </c>
      <c r="AR714" t="s">
        <v>61</v>
      </c>
    </row>
    <row r="715" spans="1:44" x14ac:dyDescent="0.25">
      <c r="A715">
        <v>58</v>
      </c>
      <c r="B715" t="str">
        <f t="shared" si="33"/>
        <v>2-5 years</v>
      </c>
      <c r="C715">
        <v>23</v>
      </c>
      <c r="D715" t="str" cm="1">
        <f t="array" ref="D715">_xlfn.IFS(C715&lt;26, "19-25", C715&lt;33, "26-32", C715&lt;40, "33-39", C715&lt;47, "40-46",C715&lt;54, "47-53", TRUE, "54+")</f>
        <v>19-25</v>
      </c>
      <c r="E715">
        <v>520179</v>
      </c>
      <c r="F715" s="1">
        <v>33753</v>
      </c>
      <c r="G715" t="s">
        <v>44</v>
      </c>
      <c r="H715" t="s">
        <v>96</v>
      </c>
      <c r="I715">
        <v>2000</v>
      </c>
      <c r="J715">
        <v>1471.44</v>
      </c>
      <c r="K715">
        <v>5000000</v>
      </c>
      <c r="L715">
        <v>446657</v>
      </c>
      <c r="M715" t="s">
        <v>46</v>
      </c>
      <c r="N715" t="s">
        <v>136</v>
      </c>
      <c r="O715" t="s">
        <v>150</v>
      </c>
      <c r="P715" t="s">
        <v>64</v>
      </c>
      <c r="Q715" t="s">
        <v>79</v>
      </c>
      <c r="R715">
        <v>57500</v>
      </c>
      <c r="S715">
        <v>0</v>
      </c>
      <c r="T715" s="1">
        <v>42024</v>
      </c>
      <c r="U715" t="s">
        <v>51</v>
      </c>
      <c r="V715" t="s">
        <v>81</v>
      </c>
      <c r="W715" t="s">
        <v>53</v>
      </c>
      <c r="X715" t="s">
        <v>104</v>
      </c>
      <c r="Y715" t="s">
        <v>126</v>
      </c>
      <c r="Z715" t="s">
        <v>70</v>
      </c>
      <c r="AA715" t="s">
        <v>897</v>
      </c>
      <c r="AB715">
        <v>8</v>
      </c>
      <c r="AC715" t="str">
        <f t="shared" si="34"/>
        <v>Morning</v>
      </c>
      <c r="AD715">
        <v>1</v>
      </c>
      <c r="AE715" t="s">
        <v>84</v>
      </c>
      <c r="AF715">
        <v>2</v>
      </c>
      <c r="AG715">
        <v>1</v>
      </c>
      <c r="AH715" t="s">
        <v>84</v>
      </c>
      <c r="AI715">
        <v>50380</v>
      </c>
      <c r="AJ715">
        <v>4580</v>
      </c>
      <c r="AK715">
        <v>9160</v>
      </c>
      <c r="AL715">
        <v>36640</v>
      </c>
      <c r="AM715" t="s">
        <v>94</v>
      </c>
      <c r="AN715" t="s">
        <v>95</v>
      </c>
      <c r="AO715">
        <v>2015</v>
      </c>
      <c r="AP715">
        <v>2007</v>
      </c>
      <c r="AQ715">
        <f t="shared" si="35"/>
        <v>8</v>
      </c>
      <c r="AR715" t="s">
        <v>61</v>
      </c>
    </row>
    <row r="716" spans="1:44" x14ac:dyDescent="0.25">
      <c r="A716">
        <v>475</v>
      </c>
      <c r="B716" t="str">
        <f t="shared" si="33"/>
        <v>10+ years</v>
      </c>
      <c r="C716">
        <v>61</v>
      </c>
      <c r="D716" t="str" cm="1">
        <f t="array" ref="D716">_xlfn.IFS(C716&lt;26, "19-25", C716&lt;33, "26-32", C716&lt;40, "33-39", C716&lt;47, "40-46",C716&lt;54, "47-53", TRUE, "54+")</f>
        <v>54+</v>
      </c>
      <c r="E716">
        <v>607974</v>
      </c>
      <c r="F716" s="1">
        <v>38211</v>
      </c>
      <c r="G716" t="s">
        <v>88</v>
      </c>
      <c r="H716" t="s">
        <v>96</v>
      </c>
      <c r="I716">
        <v>500</v>
      </c>
      <c r="J716">
        <v>1265.72</v>
      </c>
      <c r="K716">
        <v>0</v>
      </c>
      <c r="L716">
        <v>612506</v>
      </c>
      <c r="M716" t="s">
        <v>75</v>
      </c>
      <c r="N716" t="s">
        <v>129</v>
      </c>
      <c r="O716" t="s">
        <v>164</v>
      </c>
      <c r="P716" t="s">
        <v>170</v>
      </c>
      <c r="Q716" t="s">
        <v>124</v>
      </c>
      <c r="R716">
        <v>0</v>
      </c>
      <c r="S716">
        <v>-59500</v>
      </c>
      <c r="T716" s="1">
        <v>42053</v>
      </c>
      <c r="U716" t="s">
        <v>51</v>
      </c>
      <c r="V716" t="s">
        <v>91</v>
      </c>
      <c r="W716" t="s">
        <v>53</v>
      </c>
      <c r="X716" t="s">
        <v>104</v>
      </c>
      <c r="Y716" t="s">
        <v>55</v>
      </c>
      <c r="Z716" t="s">
        <v>56</v>
      </c>
      <c r="AA716" t="s">
        <v>898</v>
      </c>
      <c r="AB716">
        <v>23</v>
      </c>
      <c r="AC716" t="str">
        <f t="shared" si="34"/>
        <v>Evening</v>
      </c>
      <c r="AD716">
        <v>1</v>
      </c>
      <c r="AE716" t="s">
        <v>58</v>
      </c>
      <c r="AF716">
        <v>0</v>
      </c>
      <c r="AG716">
        <v>2</v>
      </c>
      <c r="AH716" t="s">
        <v>67</v>
      </c>
      <c r="AI716">
        <v>64350</v>
      </c>
      <c r="AJ716">
        <v>9900</v>
      </c>
      <c r="AK716">
        <v>9900</v>
      </c>
      <c r="AL716">
        <v>44550</v>
      </c>
      <c r="AM716" t="s">
        <v>72</v>
      </c>
      <c r="AN716" t="s">
        <v>73</v>
      </c>
      <c r="AO716">
        <v>2015</v>
      </c>
      <c r="AP716">
        <v>1998</v>
      </c>
      <c r="AQ716">
        <f t="shared" si="35"/>
        <v>17</v>
      </c>
      <c r="AR716" t="s">
        <v>87</v>
      </c>
    </row>
    <row r="717" spans="1:44" x14ac:dyDescent="0.25">
      <c r="A717">
        <v>96</v>
      </c>
      <c r="B717" t="str">
        <f t="shared" si="33"/>
        <v>5-10 years</v>
      </c>
      <c r="C717">
        <v>29</v>
      </c>
      <c r="D717" t="str" cm="1">
        <f t="array" ref="D717">_xlfn.IFS(C717&lt;26, "19-25", C717&lt;33, "26-32", C717&lt;40, "33-39", C717&lt;47, "40-46",C717&lt;54, "47-53", TRUE, "54+")</f>
        <v>26-32</v>
      </c>
      <c r="E717">
        <v>465065</v>
      </c>
      <c r="F717" s="1">
        <v>39075</v>
      </c>
      <c r="G717" t="s">
        <v>62</v>
      </c>
      <c r="H717" t="s">
        <v>45</v>
      </c>
      <c r="I717">
        <v>1000</v>
      </c>
      <c r="J717">
        <v>1274.7</v>
      </c>
      <c r="K717">
        <v>5000000</v>
      </c>
      <c r="L717">
        <v>618493</v>
      </c>
      <c r="M717" t="s">
        <v>46</v>
      </c>
      <c r="N717" t="s">
        <v>146</v>
      </c>
      <c r="O717" t="s">
        <v>106</v>
      </c>
      <c r="P717" t="s">
        <v>154</v>
      </c>
      <c r="Q717" t="s">
        <v>65</v>
      </c>
      <c r="R717">
        <v>47500</v>
      </c>
      <c r="S717">
        <v>-58700</v>
      </c>
      <c r="T717" s="1">
        <v>42015</v>
      </c>
      <c r="U717" t="s">
        <v>80</v>
      </c>
      <c r="V717" t="s">
        <v>81</v>
      </c>
      <c r="W717" t="s">
        <v>53</v>
      </c>
      <c r="X717" t="s">
        <v>141</v>
      </c>
      <c r="Y717" t="s">
        <v>126</v>
      </c>
      <c r="Z717" t="s">
        <v>107</v>
      </c>
      <c r="AA717" t="s">
        <v>899</v>
      </c>
      <c r="AB717">
        <v>15</v>
      </c>
      <c r="AC717" t="str">
        <f t="shared" si="34"/>
        <v>Afternoon</v>
      </c>
      <c r="AD717">
        <v>3</v>
      </c>
      <c r="AE717" t="s">
        <v>58</v>
      </c>
      <c r="AF717">
        <v>2</v>
      </c>
      <c r="AG717">
        <v>3</v>
      </c>
      <c r="AH717" t="s">
        <v>58</v>
      </c>
      <c r="AI717">
        <v>55400</v>
      </c>
      <c r="AJ717">
        <v>5540</v>
      </c>
      <c r="AK717">
        <v>11080</v>
      </c>
      <c r="AL717">
        <v>38780</v>
      </c>
      <c r="AM717" t="s">
        <v>94</v>
      </c>
      <c r="AN717" t="s">
        <v>228</v>
      </c>
      <c r="AO717">
        <v>2015</v>
      </c>
      <c r="AP717">
        <v>2004</v>
      </c>
      <c r="AQ717">
        <f t="shared" si="35"/>
        <v>11</v>
      </c>
      <c r="AR717" t="s">
        <v>61</v>
      </c>
    </row>
    <row r="718" spans="1:44" x14ac:dyDescent="0.25">
      <c r="A718">
        <v>99</v>
      </c>
      <c r="B718" t="str">
        <f t="shared" si="33"/>
        <v>5-10 years</v>
      </c>
      <c r="C718">
        <v>28</v>
      </c>
      <c r="D718" t="str" cm="1">
        <f t="array" ref="D718">_xlfn.IFS(C718&lt;26, "19-25", C718&lt;33, "26-32", C718&lt;40, "33-39", C718&lt;47, "40-46",C718&lt;54, "47-53", TRUE, "54+")</f>
        <v>26-32</v>
      </c>
      <c r="E718">
        <v>369941</v>
      </c>
      <c r="F718" s="1">
        <v>39287</v>
      </c>
      <c r="G718" t="s">
        <v>44</v>
      </c>
      <c r="H718" t="s">
        <v>74</v>
      </c>
      <c r="I718">
        <v>500</v>
      </c>
      <c r="J718">
        <v>1330.39</v>
      </c>
      <c r="K718">
        <v>0</v>
      </c>
      <c r="L718">
        <v>612664</v>
      </c>
      <c r="M718" t="s">
        <v>46</v>
      </c>
      <c r="N718" t="s">
        <v>47</v>
      </c>
      <c r="O718" t="s">
        <v>106</v>
      </c>
      <c r="P718" t="s">
        <v>184</v>
      </c>
      <c r="Q718" t="s">
        <v>124</v>
      </c>
      <c r="R718">
        <v>0</v>
      </c>
      <c r="S718">
        <v>0</v>
      </c>
      <c r="T718" s="1">
        <v>42026</v>
      </c>
      <c r="U718" t="s">
        <v>51</v>
      </c>
      <c r="V718" t="s">
        <v>91</v>
      </c>
      <c r="W718" t="s">
        <v>112</v>
      </c>
      <c r="X718" t="s">
        <v>125</v>
      </c>
      <c r="Y718" t="s">
        <v>82</v>
      </c>
      <c r="Z718" t="s">
        <v>56</v>
      </c>
      <c r="AA718" t="s">
        <v>900</v>
      </c>
      <c r="AB718">
        <v>3</v>
      </c>
      <c r="AC718" t="str">
        <f t="shared" si="34"/>
        <v>Night</v>
      </c>
      <c r="AD718">
        <v>1</v>
      </c>
      <c r="AE718" t="s">
        <v>84</v>
      </c>
      <c r="AF718">
        <v>2</v>
      </c>
      <c r="AG718">
        <v>2</v>
      </c>
      <c r="AH718" t="s">
        <v>58</v>
      </c>
      <c r="AI718">
        <v>49900</v>
      </c>
      <c r="AJ718">
        <v>4990</v>
      </c>
      <c r="AK718">
        <v>9980</v>
      </c>
      <c r="AL718">
        <v>34930</v>
      </c>
      <c r="AM718" t="s">
        <v>85</v>
      </c>
      <c r="AN718" t="s">
        <v>149</v>
      </c>
      <c r="AO718">
        <v>2015</v>
      </c>
      <c r="AP718">
        <v>1998</v>
      </c>
      <c r="AQ718">
        <f t="shared" si="35"/>
        <v>17</v>
      </c>
      <c r="AR718" t="s">
        <v>87</v>
      </c>
    </row>
    <row r="719" spans="1:44" x14ac:dyDescent="0.25">
      <c r="A719">
        <v>38</v>
      </c>
      <c r="B719" t="str">
        <f t="shared" si="33"/>
        <v>2-5 years</v>
      </c>
      <c r="C719">
        <v>28</v>
      </c>
      <c r="D719" t="str" cm="1">
        <f t="array" ref="D719">_xlfn.IFS(C719&lt;26, "19-25", C719&lt;33, "26-32", C719&lt;40, "33-39", C719&lt;47, "40-46",C719&lt;54, "47-53", TRUE, "54+")</f>
        <v>26-32</v>
      </c>
      <c r="E719">
        <v>447226</v>
      </c>
      <c r="F719" s="1">
        <v>34563</v>
      </c>
      <c r="G719" t="s">
        <v>44</v>
      </c>
      <c r="H719" t="s">
        <v>96</v>
      </c>
      <c r="I719">
        <v>500</v>
      </c>
      <c r="J719">
        <v>1122.95</v>
      </c>
      <c r="K719">
        <v>4000000</v>
      </c>
      <c r="L719">
        <v>473653</v>
      </c>
      <c r="M719" t="s">
        <v>46</v>
      </c>
      <c r="N719" t="s">
        <v>129</v>
      </c>
      <c r="O719" t="s">
        <v>122</v>
      </c>
      <c r="P719" t="s">
        <v>117</v>
      </c>
      <c r="Q719" t="s">
        <v>65</v>
      </c>
      <c r="R719">
        <v>78000</v>
      </c>
      <c r="S719">
        <v>0</v>
      </c>
      <c r="T719" s="1">
        <v>42058</v>
      </c>
      <c r="U719" t="s">
        <v>80</v>
      </c>
      <c r="V719" t="s">
        <v>52</v>
      </c>
      <c r="W719" t="s">
        <v>68</v>
      </c>
      <c r="X719" t="s">
        <v>141</v>
      </c>
      <c r="Y719" t="s">
        <v>118</v>
      </c>
      <c r="Z719" t="s">
        <v>161</v>
      </c>
      <c r="AA719" t="s">
        <v>901</v>
      </c>
      <c r="AB719">
        <v>4</v>
      </c>
      <c r="AC719" t="str">
        <f t="shared" si="34"/>
        <v>Night</v>
      </c>
      <c r="AD719">
        <v>3</v>
      </c>
      <c r="AE719" t="s">
        <v>84</v>
      </c>
      <c r="AF719">
        <v>0</v>
      </c>
      <c r="AG719">
        <v>3</v>
      </c>
      <c r="AH719" t="s">
        <v>58</v>
      </c>
      <c r="AI719">
        <v>74880</v>
      </c>
      <c r="AJ719">
        <v>12480</v>
      </c>
      <c r="AK719">
        <v>12480</v>
      </c>
      <c r="AL719">
        <v>49920</v>
      </c>
      <c r="AM719" t="s">
        <v>100</v>
      </c>
      <c r="AN719" t="s">
        <v>163</v>
      </c>
      <c r="AO719">
        <v>2015</v>
      </c>
      <c r="AP719">
        <v>2000</v>
      </c>
      <c r="AQ719">
        <f t="shared" si="35"/>
        <v>15</v>
      </c>
      <c r="AR719" t="s">
        <v>87</v>
      </c>
    </row>
    <row r="720" spans="1:44" x14ac:dyDescent="0.25">
      <c r="A720">
        <v>259</v>
      </c>
      <c r="B720" t="str">
        <f t="shared" si="33"/>
        <v>10+ years</v>
      </c>
      <c r="C720">
        <v>44</v>
      </c>
      <c r="D720" t="str" cm="1">
        <f t="array" ref="D720">_xlfn.IFS(C720&lt;26, "19-25", C720&lt;33, "26-32", C720&lt;40, "33-39", C720&lt;47, "40-46",C720&lt;54, "47-53", TRUE, "54+")</f>
        <v>40-46</v>
      </c>
      <c r="E720">
        <v>831668</v>
      </c>
      <c r="F720" s="1">
        <v>35165</v>
      </c>
      <c r="G720" t="s">
        <v>44</v>
      </c>
      <c r="H720" t="s">
        <v>45</v>
      </c>
      <c r="I720">
        <v>2000</v>
      </c>
      <c r="J720">
        <v>1655.79</v>
      </c>
      <c r="K720">
        <v>0</v>
      </c>
      <c r="L720">
        <v>454529</v>
      </c>
      <c r="M720" t="s">
        <v>75</v>
      </c>
      <c r="N720" t="s">
        <v>129</v>
      </c>
      <c r="O720" t="s">
        <v>130</v>
      </c>
      <c r="P720" t="s">
        <v>269</v>
      </c>
      <c r="Q720" t="s">
        <v>50</v>
      </c>
      <c r="R720">
        <v>0</v>
      </c>
      <c r="S720">
        <v>0</v>
      </c>
      <c r="T720" s="1">
        <v>42019</v>
      </c>
      <c r="U720" t="s">
        <v>51</v>
      </c>
      <c r="V720" t="s">
        <v>91</v>
      </c>
      <c r="W720" t="s">
        <v>68</v>
      </c>
      <c r="X720" t="s">
        <v>125</v>
      </c>
      <c r="Y720" t="s">
        <v>82</v>
      </c>
      <c r="Z720" t="s">
        <v>132</v>
      </c>
      <c r="AA720" t="s">
        <v>902</v>
      </c>
      <c r="AB720">
        <v>8</v>
      </c>
      <c r="AC720" t="str">
        <f t="shared" si="34"/>
        <v>Morning</v>
      </c>
      <c r="AD720">
        <v>1</v>
      </c>
      <c r="AE720" t="s">
        <v>58</v>
      </c>
      <c r="AF720">
        <v>0</v>
      </c>
      <c r="AG720">
        <v>0</v>
      </c>
      <c r="AH720" t="s">
        <v>58</v>
      </c>
      <c r="AI720">
        <v>105820</v>
      </c>
      <c r="AJ720">
        <v>16280</v>
      </c>
      <c r="AK720">
        <v>16280</v>
      </c>
      <c r="AL720">
        <v>73260</v>
      </c>
      <c r="AM720" t="s">
        <v>114</v>
      </c>
      <c r="AN720" t="s">
        <v>139</v>
      </c>
      <c r="AO720">
        <v>2015</v>
      </c>
      <c r="AP720">
        <v>2002</v>
      </c>
      <c r="AQ720">
        <f t="shared" si="35"/>
        <v>13</v>
      </c>
      <c r="AR720" t="s">
        <v>87</v>
      </c>
    </row>
    <row r="721" spans="1:44" x14ac:dyDescent="0.25">
      <c r="A721">
        <v>241</v>
      </c>
      <c r="B721" t="str">
        <f t="shared" si="33"/>
        <v>10+ years</v>
      </c>
      <c r="C721">
        <v>43</v>
      </c>
      <c r="D721" t="str" cm="1">
        <f t="array" ref="D721">_xlfn.IFS(C721&lt;26, "19-25", C721&lt;33, "26-32", C721&lt;40, "33-39", C721&lt;47, "40-46",C721&lt;54, "47-53", TRUE, "54+")</f>
        <v>40-46</v>
      </c>
      <c r="E721">
        <v>922937</v>
      </c>
      <c r="F721" s="1">
        <v>33949</v>
      </c>
      <c r="G721" t="s">
        <v>62</v>
      </c>
      <c r="H721" t="s">
        <v>45</v>
      </c>
      <c r="I721">
        <v>1000</v>
      </c>
      <c r="J721">
        <v>935.77</v>
      </c>
      <c r="K721">
        <v>0</v>
      </c>
      <c r="L721">
        <v>437422</v>
      </c>
      <c r="M721" t="s">
        <v>46</v>
      </c>
      <c r="N721" t="s">
        <v>97</v>
      </c>
      <c r="O721" t="s">
        <v>106</v>
      </c>
      <c r="P721" t="s">
        <v>117</v>
      </c>
      <c r="Q721" t="s">
        <v>79</v>
      </c>
      <c r="R721">
        <v>0</v>
      </c>
      <c r="S721">
        <v>-36000</v>
      </c>
      <c r="T721" s="1">
        <v>42055</v>
      </c>
      <c r="U721" t="s">
        <v>66</v>
      </c>
      <c r="V721" t="s">
        <v>67</v>
      </c>
      <c r="W721" t="s">
        <v>217</v>
      </c>
      <c r="X721" t="s">
        <v>54</v>
      </c>
      <c r="Y721" t="s">
        <v>180</v>
      </c>
      <c r="Z721" t="s">
        <v>132</v>
      </c>
      <c r="AA721" t="s">
        <v>903</v>
      </c>
      <c r="AB721">
        <v>21</v>
      </c>
      <c r="AC721" t="str">
        <f t="shared" si="34"/>
        <v>Evening</v>
      </c>
      <c r="AD721">
        <v>1</v>
      </c>
      <c r="AE721" t="s">
        <v>84</v>
      </c>
      <c r="AF721">
        <v>1</v>
      </c>
      <c r="AG721">
        <v>0</v>
      </c>
      <c r="AH721" t="s">
        <v>58</v>
      </c>
      <c r="AI721">
        <v>7150</v>
      </c>
      <c r="AJ721">
        <v>1300</v>
      </c>
      <c r="AK721">
        <v>650</v>
      </c>
      <c r="AL721">
        <v>5200</v>
      </c>
      <c r="AM721" t="s">
        <v>219</v>
      </c>
      <c r="AN721" t="s">
        <v>263</v>
      </c>
      <c r="AO721">
        <v>2015</v>
      </c>
      <c r="AP721">
        <v>2003</v>
      </c>
      <c r="AQ721">
        <f t="shared" si="35"/>
        <v>12</v>
      </c>
      <c r="AR721" t="s">
        <v>87</v>
      </c>
    </row>
    <row r="722" spans="1:44" x14ac:dyDescent="0.25">
      <c r="A722">
        <v>437</v>
      </c>
      <c r="B722" t="str">
        <f t="shared" si="33"/>
        <v>10+ years</v>
      </c>
      <c r="C722">
        <v>58</v>
      </c>
      <c r="D722" t="str" cm="1">
        <f t="array" ref="D722">_xlfn.IFS(C722&lt;26, "19-25", C722&lt;33, "26-32", C722&lt;40, "33-39", C722&lt;47, "40-46",C722&lt;54, "47-53", TRUE, "54+")</f>
        <v>54+</v>
      </c>
      <c r="E722">
        <v>640474</v>
      </c>
      <c r="F722" s="1">
        <v>40391</v>
      </c>
      <c r="G722" t="s">
        <v>62</v>
      </c>
      <c r="H722" t="s">
        <v>96</v>
      </c>
      <c r="I722">
        <v>2000</v>
      </c>
      <c r="J722">
        <v>1192.04</v>
      </c>
      <c r="K722">
        <v>0</v>
      </c>
      <c r="L722">
        <v>619470</v>
      </c>
      <c r="M722" t="s">
        <v>46</v>
      </c>
      <c r="N722" t="s">
        <v>97</v>
      </c>
      <c r="O722" t="s">
        <v>48</v>
      </c>
      <c r="P722" t="s">
        <v>131</v>
      </c>
      <c r="Q722" t="s">
        <v>79</v>
      </c>
      <c r="R722">
        <v>66100</v>
      </c>
      <c r="S722">
        <v>-31400</v>
      </c>
      <c r="T722" s="1">
        <v>42023</v>
      </c>
      <c r="U722" t="s">
        <v>51</v>
      </c>
      <c r="V722" t="s">
        <v>91</v>
      </c>
      <c r="W722" t="s">
        <v>112</v>
      </c>
      <c r="X722" t="s">
        <v>141</v>
      </c>
      <c r="Y722" t="s">
        <v>55</v>
      </c>
      <c r="Z722" t="s">
        <v>161</v>
      </c>
      <c r="AA722" t="s">
        <v>904</v>
      </c>
      <c r="AB722">
        <v>23</v>
      </c>
      <c r="AC722" t="str">
        <f t="shared" si="34"/>
        <v>Evening</v>
      </c>
      <c r="AD722">
        <v>1</v>
      </c>
      <c r="AE722" t="s">
        <v>58</v>
      </c>
      <c r="AF722">
        <v>0</v>
      </c>
      <c r="AG722">
        <v>0</v>
      </c>
      <c r="AH722" t="s">
        <v>84</v>
      </c>
      <c r="AI722">
        <v>55800</v>
      </c>
      <c r="AJ722">
        <v>11160</v>
      </c>
      <c r="AK722">
        <v>11160</v>
      </c>
      <c r="AL722">
        <v>33480</v>
      </c>
      <c r="AM722" t="s">
        <v>85</v>
      </c>
      <c r="AN722" t="s">
        <v>86</v>
      </c>
      <c r="AO722">
        <v>2015</v>
      </c>
      <c r="AP722">
        <v>2004</v>
      </c>
      <c r="AQ722">
        <f t="shared" si="35"/>
        <v>11</v>
      </c>
      <c r="AR722" t="s">
        <v>87</v>
      </c>
    </row>
    <row r="723" spans="1:44" x14ac:dyDescent="0.25">
      <c r="A723">
        <v>130</v>
      </c>
      <c r="B723" t="str">
        <f t="shared" si="33"/>
        <v>10+ years</v>
      </c>
      <c r="C723">
        <v>34</v>
      </c>
      <c r="D723" t="str" cm="1">
        <f t="array" ref="D723">_xlfn.IFS(C723&lt;26, "19-25", C723&lt;33, "26-32", C723&lt;40, "33-39", C723&lt;47, "40-46",C723&lt;54, "47-53", TRUE, "54+")</f>
        <v>33-39</v>
      </c>
      <c r="E723">
        <v>153298</v>
      </c>
      <c r="F723" s="1">
        <v>39895</v>
      </c>
      <c r="G723" t="s">
        <v>44</v>
      </c>
      <c r="H723" t="s">
        <v>74</v>
      </c>
      <c r="I723">
        <v>500</v>
      </c>
      <c r="J723">
        <v>990.11</v>
      </c>
      <c r="K723">
        <v>0</v>
      </c>
      <c r="L723">
        <v>442666</v>
      </c>
      <c r="M723" t="s">
        <v>46</v>
      </c>
      <c r="N723" t="s">
        <v>129</v>
      </c>
      <c r="O723" t="s">
        <v>77</v>
      </c>
      <c r="P723" t="s">
        <v>175</v>
      </c>
      <c r="Q723" t="s">
        <v>65</v>
      </c>
      <c r="R723">
        <v>0</v>
      </c>
      <c r="S723">
        <v>-41200</v>
      </c>
      <c r="T723" s="1">
        <v>42014</v>
      </c>
      <c r="U723" t="s">
        <v>143</v>
      </c>
      <c r="V723" t="s">
        <v>67</v>
      </c>
      <c r="W723" t="s">
        <v>217</v>
      </c>
      <c r="X723" t="s">
        <v>98</v>
      </c>
      <c r="Y723" t="s">
        <v>82</v>
      </c>
      <c r="Z723" t="s">
        <v>70</v>
      </c>
      <c r="AA723" t="s">
        <v>905</v>
      </c>
      <c r="AB723">
        <v>8</v>
      </c>
      <c r="AC723" t="str">
        <f t="shared" si="34"/>
        <v>Morning</v>
      </c>
      <c r="AD723">
        <v>1</v>
      </c>
      <c r="AE723" t="s">
        <v>67</v>
      </c>
      <c r="AF723">
        <v>1</v>
      </c>
      <c r="AG723">
        <v>3</v>
      </c>
      <c r="AH723" t="s">
        <v>58</v>
      </c>
      <c r="AI723">
        <v>5830</v>
      </c>
      <c r="AJ723">
        <v>1060</v>
      </c>
      <c r="AK723">
        <v>1060</v>
      </c>
      <c r="AL723">
        <v>3710</v>
      </c>
      <c r="AM723" t="s">
        <v>85</v>
      </c>
      <c r="AN723" t="s">
        <v>86</v>
      </c>
      <c r="AO723">
        <v>2015</v>
      </c>
      <c r="AP723">
        <v>2015</v>
      </c>
      <c r="AQ723">
        <f t="shared" si="35"/>
        <v>0</v>
      </c>
      <c r="AR723" t="s">
        <v>87</v>
      </c>
    </row>
    <row r="724" spans="1:44" x14ac:dyDescent="0.25">
      <c r="A724">
        <v>269</v>
      </c>
      <c r="B724" t="str">
        <f t="shared" si="33"/>
        <v>10+ years</v>
      </c>
      <c r="C724">
        <v>41</v>
      </c>
      <c r="D724" t="str" cm="1">
        <f t="array" ref="D724">_xlfn.IFS(C724&lt;26, "19-25", C724&lt;33, "26-32", C724&lt;40, "33-39", C724&lt;47, "40-46",C724&lt;54, "47-53", TRUE, "54+")</f>
        <v>40-46</v>
      </c>
      <c r="E724">
        <v>334749</v>
      </c>
      <c r="F724" s="1">
        <v>35275</v>
      </c>
      <c r="G724" t="s">
        <v>44</v>
      </c>
      <c r="H724" t="s">
        <v>74</v>
      </c>
      <c r="I724">
        <v>2000</v>
      </c>
      <c r="J724">
        <v>1422.21</v>
      </c>
      <c r="K724">
        <v>0</v>
      </c>
      <c r="L724">
        <v>620507</v>
      </c>
      <c r="M724" t="s">
        <v>75</v>
      </c>
      <c r="N724" t="s">
        <v>97</v>
      </c>
      <c r="O724" t="s">
        <v>164</v>
      </c>
      <c r="P724" t="s">
        <v>178</v>
      </c>
      <c r="Q724" t="s">
        <v>90</v>
      </c>
      <c r="R724">
        <v>0</v>
      </c>
      <c r="S724">
        <v>-46400</v>
      </c>
      <c r="T724" s="1">
        <v>42020</v>
      </c>
      <c r="U724" t="s">
        <v>51</v>
      </c>
      <c r="V724" t="s">
        <v>52</v>
      </c>
      <c r="W724" t="s">
        <v>53</v>
      </c>
      <c r="X724" t="s">
        <v>141</v>
      </c>
      <c r="Y724" t="s">
        <v>118</v>
      </c>
      <c r="Z724" t="s">
        <v>70</v>
      </c>
      <c r="AA724" t="s">
        <v>906</v>
      </c>
      <c r="AB724">
        <v>21</v>
      </c>
      <c r="AC724" t="str">
        <f t="shared" si="34"/>
        <v>Evening</v>
      </c>
      <c r="AD724">
        <v>1</v>
      </c>
      <c r="AE724" t="s">
        <v>58</v>
      </c>
      <c r="AF724">
        <v>2</v>
      </c>
      <c r="AG724">
        <v>1</v>
      </c>
      <c r="AH724" t="s">
        <v>84</v>
      </c>
      <c r="AI724">
        <v>85900</v>
      </c>
      <c r="AJ724">
        <v>17180</v>
      </c>
      <c r="AK724">
        <v>17180</v>
      </c>
      <c r="AL724">
        <v>51540</v>
      </c>
      <c r="AM724" t="s">
        <v>158</v>
      </c>
      <c r="AN724" t="s">
        <v>172</v>
      </c>
      <c r="AO724">
        <v>2015</v>
      </c>
      <c r="AP724">
        <v>2005</v>
      </c>
      <c r="AQ724">
        <f t="shared" si="35"/>
        <v>10</v>
      </c>
      <c r="AR724" t="s">
        <v>61</v>
      </c>
    </row>
    <row r="725" spans="1:44" x14ac:dyDescent="0.25">
      <c r="A725">
        <v>103</v>
      </c>
      <c r="B725" t="str">
        <f t="shared" si="33"/>
        <v>5-10 years</v>
      </c>
      <c r="C725">
        <v>29</v>
      </c>
      <c r="D725" t="str" cm="1">
        <f t="array" ref="D725">_xlfn.IFS(C725&lt;26, "19-25", C725&lt;33, "26-32", C725&lt;40, "33-39", C725&lt;47, "40-46",C725&lt;54, "47-53", TRUE, "54+")</f>
        <v>26-32</v>
      </c>
      <c r="E725">
        <v>221283</v>
      </c>
      <c r="F725" s="1">
        <v>34569</v>
      </c>
      <c r="G725" t="s">
        <v>44</v>
      </c>
      <c r="H725" t="s">
        <v>96</v>
      </c>
      <c r="I725">
        <v>500</v>
      </c>
      <c r="J725">
        <v>914.85</v>
      </c>
      <c r="K725">
        <v>0</v>
      </c>
      <c r="L725">
        <v>614867</v>
      </c>
      <c r="M725" t="s">
        <v>46</v>
      </c>
      <c r="N725" t="s">
        <v>97</v>
      </c>
      <c r="O725" t="s">
        <v>106</v>
      </c>
      <c r="P725" t="s">
        <v>111</v>
      </c>
      <c r="Q725" t="s">
        <v>65</v>
      </c>
      <c r="R725">
        <v>72100</v>
      </c>
      <c r="S725">
        <v>0</v>
      </c>
      <c r="T725" s="1">
        <v>42047</v>
      </c>
      <c r="U725" t="s">
        <v>143</v>
      </c>
      <c r="V725" t="s">
        <v>67</v>
      </c>
      <c r="W725" t="s">
        <v>68</v>
      </c>
      <c r="X725" t="s">
        <v>54</v>
      </c>
      <c r="Y725" t="s">
        <v>44</v>
      </c>
      <c r="Z725" t="s">
        <v>56</v>
      </c>
      <c r="AA725" t="s">
        <v>907</v>
      </c>
      <c r="AB725">
        <v>5</v>
      </c>
      <c r="AC725" t="str">
        <f t="shared" si="34"/>
        <v>Night</v>
      </c>
      <c r="AD725">
        <v>1</v>
      </c>
      <c r="AE725" t="s">
        <v>84</v>
      </c>
      <c r="AF725">
        <v>2</v>
      </c>
      <c r="AG725">
        <v>3</v>
      </c>
      <c r="AH725" t="s">
        <v>84</v>
      </c>
      <c r="AI725">
        <v>7110</v>
      </c>
      <c r="AJ725">
        <v>790</v>
      </c>
      <c r="AK725">
        <v>1580</v>
      </c>
      <c r="AL725">
        <v>4740</v>
      </c>
      <c r="AM725" t="s">
        <v>100</v>
      </c>
      <c r="AN725" t="s">
        <v>153</v>
      </c>
      <c r="AO725">
        <v>2015</v>
      </c>
      <c r="AP725">
        <v>2005</v>
      </c>
      <c r="AQ725">
        <f t="shared" si="35"/>
        <v>10</v>
      </c>
      <c r="AR725" t="s">
        <v>87</v>
      </c>
    </row>
    <row r="726" spans="1:44" x14ac:dyDescent="0.25">
      <c r="A726">
        <v>284</v>
      </c>
      <c r="B726" t="str">
        <f t="shared" si="33"/>
        <v>10+ years</v>
      </c>
      <c r="C726">
        <v>43</v>
      </c>
      <c r="D726" t="str" cm="1">
        <f t="array" ref="D726">_xlfn.IFS(C726&lt;26, "19-25", C726&lt;33, "26-32", C726&lt;40, "33-39", C726&lt;47, "40-46",C726&lt;54, "47-53", TRUE, "54+")</f>
        <v>40-46</v>
      </c>
      <c r="E726">
        <v>961496</v>
      </c>
      <c r="F726" s="1">
        <v>33608</v>
      </c>
      <c r="G726" t="s">
        <v>88</v>
      </c>
      <c r="H726" t="s">
        <v>45</v>
      </c>
      <c r="I726">
        <v>500</v>
      </c>
      <c r="J726">
        <v>1123.8399999999999</v>
      </c>
      <c r="K726">
        <v>0</v>
      </c>
      <c r="L726">
        <v>609898</v>
      </c>
      <c r="M726" t="s">
        <v>46</v>
      </c>
      <c r="N726" t="s">
        <v>76</v>
      </c>
      <c r="O726" t="s">
        <v>106</v>
      </c>
      <c r="P726" t="s">
        <v>175</v>
      </c>
      <c r="Q726" t="s">
        <v>65</v>
      </c>
      <c r="R726">
        <v>48200</v>
      </c>
      <c r="S726">
        <v>0</v>
      </c>
      <c r="T726" s="1">
        <v>42027</v>
      </c>
      <c r="U726" t="s">
        <v>80</v>
      </c>
      <c r="V726" t="s">
        <v>52</v>
      </c>
      <c r="W726" t="s">
        <v>112</v>
      </c>
      <c r="X726" t="s">
        <v>104</v>
      </c>
      <c r="Y726" t="s">
        <v>118</v>
      </c>
      <c r="Z726" t="s">
        <v>56</v>
      </c>
      <c r="AA726" t="s">
        <v>908</v>
      </c>
      <c r="AB726">
        <v>12</v>
      </c>
      <c r="AC726" t="str">
        <f t="shared" si="34"/>
        <v>Afternoon</v>
      </c>
      <c r="AD726">
        <v>3</v>
      </c>
      <c r="AE726" t="s">
        <v>84</v>
      </c>
      <c r="AF726">
        <v>0</v>
      </c>
      <c r="AG726">
        <v>0</v>
      </c>
      <c r="AH726" t="s">
        <v>58</v>
      </c>
      <c r="AI726">
        <v>36960</v>
      </c>
      <c r="AJ726">
        <v>6720</v>
      </c>
      <c r="AK726">
        <v>3360</v>
      </c>
      <c r="AL726">
        <v>26880</v>
      </c>
      <c r="AM726" t="s">
        <v>94</v>
      </c>
      <c r="AN726" t="s">
        <v>95</v>
      </c>
      <c r="AO726">
        <v>2015</v>
      </c>
      <c r="AP726">
        <v>2007</v>
      </c>
      <c r="AQ726">
        <f t="shared" si="35"/>
        <v>8</v>
      </c>
      <c r="AR726" t="s">
        <v>87</v>
      </c>
    </row>
    <row r="727" spans="1:44" x14ac:dyDescent="0.25">
      <c r="A727">
        <v>189</v>
      </c>
      <c r="B727" t="str">
        <f t="shared" si="33"/>
        <v>10+ years</v>
      </c>
      <c r="C727">
        <v>39</v>
      </c>
      <c r="D727" t="str" cm="1">
        <f t="array" ref="D727">_xlfn.IFS(C727&lt;26, "19-25", C727&lt;33, "26-32", C727&lt;40, "33-39", C727&lt;47, "40-46",C727&lt;54, "47-53", TRUE, "54+")</f>
        <v>33-39</v>
      </c>
      <c r="E727">
        <v>804751</v>
      </c>
      <c r="F727" s="1">
        <v>35684</v>
      </c>
      <c r="G727" t="s">
        <v>44</v>
      </c>
      <c r="H727" t="s">
        <v>45</v>
      </c>
      <c r="I727">
        <v>2000</v>
      </c>
      <c r="J727">
        <v>838.02</v>
      </c>
      <c r="K727">
        <v>0</v>
      </c>
      <c r="L727">
        <v>450702</v>
      </c>
      <c r="M727" t="s">
        <v>75</v>
      </c>
      <c r="N727" t="s">
        <v>146</v>
      </c>
      <c r="O727" t="s">
        <v>102</v>
      </c>
      <c r="P727" t="s">
        <v>151</v>
      </c>
      <c r="Q727" t="s">
        <v>79</v>
      </c>
      <c r="R727">
        <v>0</v>
      </c>
      <c r="S727">
        <v>0</v>
      </c>
      <c r="T727" s="1">
        <v>42048</v>
      </c>
      <c r="U727" t="s">
        <v>80</v>
      </c>
      <c r="V727" t="s">
        <v>81</v>
      </c>
      <c r="W727" t="s">
        <v>68</v>
      </c>
      <c r="X727" t="s">
        <v>54</v>
      </c>
      <c r="Y727" t="s">
        <v>69</v>
      </c>
      <c r="Z727" t="s">
        <v>161</v>
      </c>
      <c r="AA727" t="s">
        <v>909</v>
      </c>
      <c r="AB727">
        <v>7</v>
      </c>
      <c r="AC727" t="str">
        <f t="shared" si="34"/>
        <v>Morning</v>
      </c>
      <c r="AD727">
        <v>3</v>
      </c>
      <c r="AE727" t="s">
        <v>67</v>
      </c>
      <c r="AF727">
        <v>2</v>
      </c>
      <c r="AG727">
        <v>0</v>
      </c>
      <c r="AH727" t="s">
        <v>58</v>
      </c>
      <c r="AI727">
        <v>64400</v>
      </c>
      <c r="AJ727">
        <v>6440</v>
      </c>
      <c r="AK727">
        <v>6440</v>
      </c>
      <c r="AL727">
        <v>51520</v>
      </c>
      <c r="AM727" t="s">
        <v>85</v>
      </c>
      <c r="AN727" t="s">
        <v>149</v>
      </c>
      <c r="AO727">
        <v>2015</v>
      </c>
      <c r="AP727">
        <v>1997</v>
      </c>
      <c r="AQ727">
        <f t="shared" si="35"/>
        <v>18</v>
      </c>
      <c r="AR727" t="s">
        <v>87</v>
      </c>
    </row>
    <row r="728" spans="1:44" x14ac:dyDescent="0.25">
      <c r="A728">
        <v>267</v>
      </c>
      <c r="B728" t="str">
        <f t="shared" si="33"/>
        <v>10+ years</v>
      </c>
      <c r="C728">
        <v>43</v>
      </c>
      <c r="D728" t="str" cm="1">
        <f t="array" ref="D728">_xlfn.IFS(C728&lt;26, "19-25", C728&lt;33, "26-32", C728&lt;40, "33-39", C728&lt;47, "40-46",C728&lt;54, "47-53", TRUE, "54+")</f>
        <v>40-46</v>
      </c>
      <c r="E728">
        <v>369226</v>
      </c>
      <c r="F728" s="1">
        <v>37297</v>
      </c>
      <c r="G728" t="s">
        <v>44</v>
      </c>
      <c r="H728" t="s">
        <v>45</v>
      </c>
      <c r="I728">
        <v>500</v>
      </c>
      <c r="J728">
        <v>1300.68</v>
      </c>
      <c r="K728">
        <v>0</v>
      </c>
      <c r="L728">
        <v>600418</v>
      </c>
      <c r="M728" t="s">
        <v>46</v>
      </c>
      <c r="N728" t="s">
        <v>76</v>
      </c>
      <c r="O728" t="s">
        <v>190</v>
      </c>
      <c r="P728" t="s">
        <v>49</v>
      </c>
      <c r="Q728" t="s">
        <v>90</v>
      </c>
      <c r="R728">
        <v>49000</v>
      </c>
      <c r="S728">
        <v>0</v>
      </c>
      <c r="T728" s="1">
        <v>42031</v>
      </c>
      <c r="U728" t="s">
        <v>143</v>
      </c>
      <c r="V728" t="s">
        <v>67</v>
      </c>
      <c r="W728" t="s">
        <v>68</v>
      </c>
      <c r="X728" t="s">
        <v>98</v>
      </c>
      <c r="Y728" t="s">
        <v>126</v>
      </c>
      <c r="Z728" t="s">
        <v>132</v>
      </c>
      <c r="AA728" t="s">
        <v>910</v>
      </c>
      <c r="AB728">
        <v>0</v>
      </c>
      <c r="AC728" t="str">
        <f t="shared" si="34"/>
        <v>Night</v>
      </c>
      <c r="AD728">
        <v>1</v>
      </c>
      <c r="AE728" t="s">
        <v>84</v>
      </c>
      <c r="AF728">
        <v>1</v>
      </c>
      <c r="AG728">
        <v>3</v>
      </c>
      <c r="AH728" t="s">
        <v>58</v>
      </c>
      <c r="AI728">
        <v>1920</v>
      </c>
      <c r="AJ728">
        <v>480</v>
      </c>
      <c r="AK728">
        <v>0</v>
      </c>
      <c r="AL728">
        <v>1440</v>
      </c>
      <c r="AM728" t="s">
        <v>94</v>
      </c>
      <c r="AN728" t="s">
        <v>95</v>
      </c>
      <c r="AO728">
        <v>2015</v>
      </c>
      <c r="AP728">
        <v>2011</v>
      </c>
      <c r="AQ728">
        <f t="shared" si="35"/>
        <v>4</v>
      </c>
      <c r="AR728" t="s">
        <v>87</v>
      </c>
    </row>
    <row r="729" spans="1:44" x14ac:dyDescent="0.25">
      <c r="A729">
        <v>39</v>
      </c>
      <c r="B729" t="str">
        <f t="shared" si="33"/>
        <v>2-5 years</v>
      </c>
      <c r="C729">
        <v>22</v>
      </c>
      <c r="D729" t="str" cm="1">
        <f t="array" ref="D729">_xlfn.IFS(C729&lt;26, "19-25", C729&lt;33, "26-32", C729&lt;40, "33-39", C729&lt;47, "40-46",C729&lt;54, "47-53", TRUE, "54+")</f>
        <v>19-25</v>
      </c>
      <c r="E729">
        <v>691115</v>
      </c>
      <c r="F729" s="1">
        <v>33997</v>
      </c>
      <c r="G729" t="s">
        <v>62</v>
      </c>
      <c r="H729" t="s">
        <v>96</v>
      </c>
      <c r="I729">
        <v>500</v>
      </c>
      <c r="J729">
        <v>1173.21</v>
      </c>
      <c r="K729">
        <v>0</v>
      </c>
      <c r="L729">
        <v>431202</v>
      </c>
      <c r="M729" t="s">
        <v>46</v>
      </c>
      <c r="N729" t="s">
        <v>166</v>
      </c>
      <c r="O729" t="s">
        <v>194</v>
      </c>
      <c r="P729" t="s">
        <v>178</v>
      </c>
      <c r="Q729" t="s">
        <v>147</v>
      </c>
      <c r="R729">
        <v>0</v>
      </c>
      <c r="S729">
        <v>0</v>
      </c>
      <c r="T729" s="1">
        <v>42049</v>
      </c>
      <c r="U729" t="s">
        <v>51</v>
      </c>
      <c r="V729" t="s">
        <v>81</v>
      </c>
      <c r="W729" t="s">
        <v>53</v>
      </c>
      <c r="X729" t="s">
        <v>54</v>
      </c>
      <c r="Y729" t="s">
        <v>55</v>
      </c>
      <c r="Z729" t="s">
        <v>132</v>
      </c>
      <c r="AA729" t="s">
        <v>911</v>
      </c>
      <c r="AB729">
        <v>14</v>
      </c>
      <c r="AC729" t="str">
        <f t="shared" si="34"/>
        <v>Afternoon</v>
      </c>
      <c r="AD729">
        <v>1</v>
      </c>
      <c r="AE729" t="s">
        <v>58</v>
      </c>
      <c r="AF729">
        <v>0</v>
      </c>
      <c r="AG729">
        <v>1</v>
      </c>
      <c r="AH729" t="s">
        <v>58</v>
      </c>
      <c r="AI729">
        <v>86130</v>
      </c>
      <c r="AJ729">
        <v>15660</v>
      </c>
      <c r="AK729">
        <v>7830</v>
      </c>
      <c r="AL729">
        <v>62640</v>
      </c>
      <c r="AM729" t="s">
        <v>158</v>
      </c>
      <c r="AN729" t="s">
        <v>159</v>
      </c>
      <c r="AO729">
        <v>2015</v>
      </c>
      <c r="AP729">
        <v>2009</v>
      </c>
      <c r="AQ729">
        <f t="shared" si="35"/>
        <v>6</v>
      </c>
      <c r="AR729" t="s">
        <v>61</v>
      </c>
    </row>
    <row r="730" spans="1:44" x14ac:dyDescent="0.25">
      <c r="A730">
        <v>140</v>
      </c>
      <c r="B730" t="str">
        <f t="shared" si="33"/>
        <v>10+ years</v>
      </c>
      <c r="C730">
        <v>32</v>
      </c>
      <c r="D730" t="str" cm="1">
        <f t="array" ref="D730">_xlfn.IFS(C730&lt;26, "19-25", C730&lt;33, "26-32", C730&lt;40, "33-39", C730&lt;47, "40-46",C730&lt;54, "47-53", TRUE, "54+")</f>
        <v>26-32</v>
      </c>
      <c r="E730">
        <v>713172</v>
      </c>
      <c r="F730" s="1">
        <v>35361</v>
      </c>
      <c r="G730" t="s">
        <v>88</v>
      </c>
      <c r="H730" t="s">
        <v>45</v>
      </c>
      <c r="I730">
        <v>1000</v>
      </c>
      <c r="J730">
        <v>985.97</v>
      </c>
      <c r="K730">
        <v>5000000</v>
      </c>
      <c r="L730">
        <v>457793</v>
      </c>
      <c r="M730" t="s">
        <v>75</v>
      </c>
      <c r="N730" t="s">
        <v>146</v>
      </c>
      <c r="O730" t="s">
        <v>140</v>
      </c>
      <c r="P730" t="s">
        <v>247</v>
      </c>
      <c r="Q730" t="s">
        <v>65</v>
      </c>
      <c r="R730">
        <v>0</v>
      </c>
      <c r="S730">
        <v>0</v>
      </c>
      <c r="T730" s="1">
        <v>42036</v>
      </c>
      <c r="U730" t="s">
        <v>51</v>
      </c>
      <c r="V730" t="s">
        <v>52</v>
      </c>
      <c r="W730" t="s">
        <v>53</v>
      </c>
      <c r="X730" t="s">
        <v>104</v>
      </c>
      <c r="Y730" t="s">
        <v>69</v>
      </c>
      <c r="Z730" t="s">
        <v>161</v>
      </c>
      <c r="AA730" t="s">
        <v>912</v>
      </c>
      <c r="AB730">
        <v>13</v>
      </c>
      <c r="AC730" t="str">
        <f t="shared" si="34"/>
        <v>Afternoon</v>
      </c>
      <c r="AD730">
        <v>1</v>
      </c>
      <c r="AE730" t="s">
        <v>67</v>
      </c>
      <c r="AF730">
        <v>2</v>
      </c>
      <c r="AG730">
        <v>3</v>
      </c>
      <c r="AH730" t="s">
        <v>67</v>
      </c>
      <c r="AI730">
        <v>82170</v>
      </c>
      <c r="AJ730">
        <v>14940</v>
      </c>
      <c r="AK730">
        <v>7470</v>
      </c>
      <c r="AL730">
        <v>59760</v>
      </c>
      <c r="AM730" t="s">
        <v>94</v>
      </c>
      <c r="AN730" t="s">
        <v>228</v>
      </c>
      <c r="AO730">
        <v>2015</v>
      </c>
      <c r="AP730">
        <v>1995</v>
      </c>
      <c r="AQ730">
        <f t="shared" si="35"/>
        <v>20</v>
      </c>
      <c r="AR730" t="s">
        <v>61</v>
      </c>
    </row>
    <row r="731" spans="1:44" x14ac:dyDescent="0.25">
      <c r="A731">
        <v>243</v>
      </c>
      <c r="B731" t="str">
        <f t="shared" si="33"/>
        <v>10+ years</v>
      </c>
      <c r="C731">
        <v>41</v>
      </c>
      <c r="D731" t="str" cm="1">
        <f t="array" ref="D731">_xlfn.IFS(C731&lt;26, "19-25", C731&lt;33, "26-32", C731&lt;40, "33-39", C731&lt;47, "40-46",C731&lt;54, "47-53", TRUE, "54+")</f>
        <v>40-46</v>
      </c>
      <c r="E731">
        <v>621756</v>
      </c>
      <c r="F731" s="1">
        <v>35541</v>
      </c>
      <c r="G731" t="s">
        <v>62</v>
      </c>
      <c r="H731" t="s">
        <v>74</v>
      </c>
      <c r="I731">
        <v>1000</v>
      </c>
      <c r="J731">
        <v>1129.23</v>
      </c>
      <c r="K731">
        <v>0</v>
      </c>
      <c r="L731">
        <v>470190</v>
      </c>
      <c r="M731" t="s">
        <v>75</v>
      </c>
      <c r="N731" t="s">
        <v>146</v>
      </c>
      <c r="O731" t="s">
        <v>194</v>
      </c>
      <c r="P731" t="s">
        <v>123</v>
      </c>
      <c r="Q731" t="s">
        <v>79</v>
      </c>
      <c r="R731">
        <v>17300</v>
      </c>
      <c r="S731">
        <v>-60400</v>
      </c>
      <c r="T731" s="1">
        <v>42058</v>
      </c>
      <c r="U731" t="s">
        <v>51</v>
      </c>
      <c r="V731" t="s">
        <v>91</v>
      </c>
      <c r="W731" t="s">
        <v>53</v>
      </c>
      <c r="X731" t="s">
        <v>104</v>
      </c>
      <c r="Y731" t="s">
        <v>118</v>
      </c>
      <c r="Z731" t="s">
        <v>127</v>
      </c>
      <c r="AA731" t="s">
        <v>913</v>
      </c>
      <c r="AB731">
        <v>1</v>
      </c>
      <c r="AC731" t="str">
        <f t="shared" si="34"/>
        <v>Night</v>
      </c>
      <c r="AD731">
        <v>1</v>
      </c>
      <c r="AE731" t="s">
        <v>67</v>
      </c>
      <c r="AF731">
        <v>1</v>
      </c>
      <c r="AG731">
        <v>0</v>
      </c>
      <c r="AH731" t="s">
        <v>58</v>
      </c>
      <c r="AI731">
        <v>50300</v>
      </c>
      <c r="AJ731">
        <v>10060</v>
      </c>
      <c r="AK731">
        <v>5030</v>
      </c>
      <c r="AL731">
        <v>35210</v>
      </c>
      <c r="AM731" t="s">
        <v>158</v>
      </c>
      <c r="AN731" t="s">
        <v>159</v>
      </c>
      <c r="AO731">
        <v>2015</v>
      </c>
      <c r="AP731">
        <v>1999</v>
      </c>
      <c r="AQ731">
        <f t="shared" si="35"/>
        <v>16</v>
      </c>
      <c r="AR731" t="s">
        <v>61</v>
      </c>
    </row>
    <row r="732" spans="1:44" x14ac:dyDescent="0.25">
      <c r="A732">
        <v>116</v>
      </c>
      <c r="B732" t="str">
        <f t="shared" si="33"/>
        <v>5-10 years</v>
      </c>
      <c r="C732">
        <v>31</v>
      </c>
      <c r="D732" t="str" cm="1">
        <f t="array" ref="D732">_xlfn.IFS(C732&lt;26, "19-25", C732&lt;33, "26-32", C732&lt;40, "33-39", C732&lt;47, "40-46",C732&lt;54, "47-53", TRUE, "54+")</f>
        <v>26-32</v>
      </c>
      <c r="E732">
        <v>615116</v>
      </c>
      <c r="F732" s="1">
        <v>39761</v>
      </c>
      <c r="G732" t="s">
        <v>62</v>
      </c>
      <c r="H732" t="s">
        <v>45</v>
      </c>
      <c r="I732">
        <v>500</v>
      </c>
      <c r="J732">
        <v>1194.83</v>
      </c>
      <c r="K732">
        <v>0</v>
      </c>
      <c r="L732">
        <v>603733</v>
      </c>
      <c r="M732" t="s">
        <v>75</v>
      </c>
      <c r="N732" t="s">
        <v>47</v>
      </c>
      <c r="O732" t="s">
        <v>106</v>
      </c>
      <c r="P732" t="s">
        <v>123</v>
      </c>
      <c r="Q732" t="s">
        <v>50</v>
      </c>
      <c r="R732">
        <v>28600</v>
      </c>
      <c r="S732">
        <v>0</v>
      </c>
      <c r="T732" s="1">
        <v>42024</v>
      </c>
      <c r="U732" t="s">
        <v>51</v>
      </c>
      <c r="V732" t="s">
        <v>52</v>
      </c>
      <c r="W732" t="s">
        <v>53</v>
      </c>
      <c r="X732" t="s">
        <v>54</v>
      </c>
      <c r="Y732" t="s">
        <v>55</v>
      </c>
      <c r="Z732" t="s">
        <v>70</v>
      </c>
      <c r="AA732" t="s">
        <v>914</v>
      </c>
      <c r="AB732">
        <v>23</v>
      </c>
      <c r="AC732" t="str">
        <f t="shared" si="34"/>
        <v>Evening</v>
      </c>
      <c r="AD732">
        <v>1</v>
      </c>
      <c r="AE732" t="s">
        <v>84</v>
      </c>
      <c r="AF732">
        <v>0</v>
      </c>
      <c r="AG732">
        <v>0</v>
      </c>
      <c r="AH732" t="s">
        <v>84</v>
      </c>
      <c r="AI732">
        <v>44200</v>
      </c>
      <c r="AJ732">
        <v>4420</v>
      </c>
      <c r="AK732">
        <v>8840</v>
      </c>
      <c r="AL732">
        <v>30940</v>
      </c>
      <c r="AM732" t="s">
        <v>158</v>
      </c>
      <c r="AN732" t="s">
        <v>172</v>
      </c>
      <c r="AO732">
        <v>2015</v>
      </c>
      <c r="AP732">
        <v>1997</v>
      </c>
      <c r="AQ732">
        <f t="shared" si="35"/>
        <v>18</v>
      </c>
      <c r="AR732" t="s">
        <v>87</v>
      </c>
    </row>
    <row r="733" spans="1:44" x14ac:dyDescent="0.25">
      <c r="A733">
        <v>219</v>
      </c>
      <c r="B733" t="str">
        <f t="shared" si="33"/>
        <v>10+ years</v>
      </c>
      <c r="C733">
        <v>43</v>
      </c>
      <c r="D733" t="str" cm="1">
        <f t="array" ref="D733">_xlfn.IFS(C733&lt;26, "19-25", C733&lt;33, "26-32", C733&lt;40, "33-39", C733&lt;47, "40-46",C733&lt;54, "47-53", TRUE, "54+")</f>
        <v>40-46</v>
      </c>
      <c r="E733">
        <v>947598</v>
      </c>
      <c r="F733" s="1">
        <v>37427</v>
      </c>
      <c r="G733" t="s">
        <v>62</v>
      </c>
      <c r="H733" t="s">
        <v>74</v>
      </c>
      <c r="I733">
        <v>1000</v>
      </c>
      <c r="J733">
        <v>1114.29</v>
      </c>
      <c r="K733">
        <v>0</v>
      </c>
      <c r="L733">
        <v>465136</v>
      </c>
      <c r="M733" t="s">
        <v>75</v>
      </c>
      <c r="N733" t="s">
        <v>136</v>
      </c>
      <c r="O733" t="s">
        <v>150</v>
      </c>
      <c r="P733" t="s">
        <v>178</v>
      </c>
      <c r="Q733" t="s">
        <v>65</v>
      </c>
      <c r="R733">
        <v>51300</v>
      </c>
      <c r="S733">
        <v>0</v>
      </c>
      <c r="T733" s="1">
        <v>42012</v>
      </c>
      <c r="U733" t="s">
        <v>51</v>
      </c>
      <c r="V733" t="s">
        <v>52</v>
      </c>
      <c r="W733" t="s">
        <v>53</v>
      </c>
      <c r="X733" t="s">
        <v>141</v>
      </c>
      <c r="Y733" t="s">
        <v>69</v>
      </c>
      <c r="Z733" t="s">
        <v>161</v>
      </c>
      <c r="AA733" t="s">
        <v>915</v>
      </c>
      <c r="AB733">
        <v>1</v>
      </c>
      <c r="AC733" t="str">
        <f t="shared" si="34"/>
        <v>Night</v>
      </c>
      <c r="AD733">
        <v>1</v>
      </c>
      <c r="AE733" t="s">
        <v>67</v>
      </c>
      <c r="AF733">
        <v>2</v>
      </c>
      <c r="AG733">
        <v>2</v>
      </c>
      <c r="AH733" t="s">
        <v>58</v>
      </c>
      <c r="AI733">
        <v>66660</v>
      </c>
      <c r="AJ733">
        <v>6060</v>
      </c>
      <c r="AK733">
        <v>6060</v>
      </c>
      <c r="AL733">
        <v>54540</v>
      </c>
      <c r="AM733" t="s">
        <v>120</v>
      </c>
      <c r="AN733" t="s">
        <v>145</v>
      </c>
      <c r="AO733">
        <v>2015</v>
      </c>
      <c r="AP733">
        <v>2006</v>
      </c>
      <c r="AQ733">
        <f t="shared" si="35"/>
        <v>9</v>
      </c>
      <c r="AR733" t="s">
        <v>87</v>
      </c>
    </row>
    <row r="734" spans="1:44" x14ac:dyDescent="0.25">
      <c r="A734">
        <v>96</v>
      </c>
      <c r="B734" t="str">
        <f t="shared" si="33"/>
        <v>5-10 years</v>
      </c>
      <c r="C734">
        <v>26</v>
      </c>
      <c r="D734" t="str" cm="1">
        <f t="array" ref="D734">_xlfn.IFS(C734&lt;26, "19-25", C734&lt;33, "26-32", C734&lt;40, "33-39", C734&lt;47, "40-46",C734&lt;54, "47-53", TRUE, "54+")</f>
        <v>26-32</v>
      </c>
      <c r="E734">
        <v>658002</v>
      </c>
      <c r="F734" s="1">
        <v>38646</v>
      </c>
      <c r="G734" t="s">
        <v>44</v>
      </c>
      <c r="H734" t="s">
        <v>45</v>
      </c>
      <c r="I734">
        <v>2000</v>
      </c>
      <c r="J734">
        <v>1509.04</v>
      </c>
      <c r="K734">
        <v>0</v>
      </c>
      <c r="L734">
        <v>611723</v>
      </c>
      <c r="M734" t="s">
        <v>75</v>
      </c>
      <c r="N734" t="s">
        <v>97</v>
      </c>
      <c r="O734" t="s">
        <v>106</v>
      </c>
      <c r="P734" t="s">
        <v>103</v>
      </c>
      <c r="Q734" t="s">
        <v>50</v>
      </c>
      <c r="R734">
        <v>10000</v>
      </c>
      <c r="S734">
        <v>0</v>
      </c>
      <c r="T734" s="1">
        <v>42058</v>
      </c>
      <c r="U734" t="s">
        <v>51</v>
      </c>
      <c r="V734" t="s">
        <v>91</v>
      </c>
      <c r="W734" t="s">
        <v>112</v>
      </c>
      <c r="X734" t="s">
        <v>141</v>
      </c>
      <c r="Y734" t="s">
        <v>55</v>
      </c>
      <c r="Z734" t="s">
        <v>70</v>
      </c>
      <c r="AA734" t="s">
        <v>916</v>
      </c>
      <c r="AB734">
        <v>9</v>
      </c>
      <c r="AC734" t="str">
        <f t="shared" si="34"/>
        <v>Morning</v>
      </c>
      <c r="AD734">
        <v>1</v>
      </c>
      <c r="AE734" t="s">
        <v>58</v>
      </c>
      <c r="AF734">
        <v>2</v>
      </c>
      <c r="AG734">
        <v>3</v>
      </c>
      <c r="AH734" t="s">
        <v>84</v>
      </c>
      <c r="AI734">
        <v>78320</v>
      </c>
      <c r="AJ734">
        <v>7120</v>
      </c>
      <c r="AK734">
        <v>14240</v>
      </c>
      <c r="AL734">
        <v>56960</v>
      </c>
      <c r="AM734" t="s">
        <v>59</v>
      </c>
      <c r="AN734" t="s">
        <v>60</v>
      </c>
      <c r="AO734">
        <v>2015</v>
      </c>
      <c r="AP734">
        <v>2007</v>
      </c>
      <c r="AQ734">
        <f t="shared" si="35"/>
        <v>8</v>
      </c>
      <c r="AR734" t="s">
        <v>87</v>
      </c>
    </row>
    <row r="735" spans="1:44" x14ac:dyDescent="0.25">
      <c r="A735">
        <v>149</v>
      </c>
      <c r="B735" t="str">
        <f t="shared" si="33"/>
        <v>10+ years</v>
      </c>
      <c r="C735">
        <v>34</v>
      </c>
      <c r="D735" t="str" cm="1">
        <f t="array" ref="D735">_xlfn.IFS(C735&lt;26, "19-25", C735&lt;33, "26-32", C735&lt;40, "33-39", C735&lt;47, "40-46",C735&lt;54, "47-53", TRUE, "54+")</f>
        <v>33-39</v>
      </c>
      <c r="E735">
        <v>374545</v>
      </c>
      <c r="F735" s="1">
        <v>38592</v>
      </c>
      <c r="G735" t="s">
        <v>62</v>
      </c>
      <c r="H735" t="s">
        <v>45</v>
      </c>
      <c r="I735">
        <v>500</v>
      </c>
      <c r="J735">
        <v>664.86</v>
      </c>
      <c r="K735">
        <v>0</v>
      </c>
      <c r="L735">
        <v>608963</v>
      </c>
      <c r="M735" t="s">
        <v>75</v>
      </c>
      <c r="N735" t="s">
        <v>76</v>
      </c>
      <c r="O735" t="s">
        <v>48</v>
      </c>
      <c r="P735" t="s">
        <v>137</v>
      </c>
      <c r="Q735" t="s">
        <v>124</v>
      </c>
      <c r="R735">
        <v>0</v>
      </c>
      <c r="S735">
        <v>-60000</v>
      </c>
      <c r="T735" s="1">
        <v>42039</v>
      </c>
      <c r="U735" t="s">
        <v>51</v>
      </c>
      <c r="V735" t="s">
        <v>81</v>
      </c>
      <c r="W735" t="s">
        <v>112</v>
      </c>
      <c r="X735" t="s">
        <v>104</v>
      </c>
      <c r="Y735" t="s">
        <v>118</v>
      </c>
      <c r="Z735" t="s">
        <v>56</v>
      </c>
      <c r="AA735" t="s">
        <v>917</v>
      </c>
      <c r="AB735">
        <v>3</v>
      </c>
      <c r="AC735" t="str">
        <f t="shared" si="34"/>
        <v>Night</v>
      </c>
      <c r="AD735">
        <v>1</v>
      </c>
      <c r="AE735" t="s">
        <v>67</v>
      </c>
      <c r="AF735">
        <v>0</v>
      </c>
      <c r="AG735">
        <v>1</v>
      </c>
      <c r="AH735" t="s">
        <v>84</v>
      </c>
      <c r="AI735">
        <v>105040</v>
      </c>
      <c r="AJ735">
        <v>16160</v>
      </c>
      <c r="AK735">
        <v>16160</v>
      </c>
      <c r="AL735">
        <v>72720</v>
      </c>
      <c r="AM735" t="s">
        <v>85</v>
      </c>
      <c r="AN735" t="s">
        <v>86</v>
      </c>
      <c r="AO735">
        <v>2015</v>
      </c>
      <c r="AP735">
        <v>1999</v>
      </c>
      <c r="AQ735">
        <f t="shared" si="35"/>
        <v>16</v>
      </c>
      <c r="AR735" t="s">
        <v>87</v>
      </c>
    </row>
    <row r="736" spans="1:44" x14ac:dyDescent="0.25">
      <c r="A736">
        <v>246</v>
      </c>
      <c r="B736" t="str">
        <f t="shared" si="33"/>
        <v>10+ years</v>
      </c>
      <c r="C736">
        <v>43</v>
      </c>
      <c r="D736" t="str" cm="1">
        <f t="array" ref="D736">_xlfn.IFS(C736&lt;26, "19-25", C736&lt;33, "26-32", C736&lt;40, "33-39", C736&lt;47, "40-46",C736&lt;54, "47-53", TRUE, "54+")</f>
        <v>40-46</v>
      </c>
      <c r="E736">
        <v>805806</v>
      </c>
      <c r="F736" s="1">
        <v>41290</v>
      </c>
      <c r="G736" t="s">
        <v>62</v>
      </c>
      <c r="H736" t="s">
        <v>45</v>
      </c>
      <c r="I736">
        <v>1000</v>
      </c>
      <c r="J736">
        <v>1267.4000000000001</v>
      </c>
      <c r="K736">
        <v>6000000</v>
      </c>
      <c r="L736">
        <v>454139</v>
      </c>
      <c r="M736" t="s">
        <v>46</v>
      </c>
      <c r="N736" t="s">
        <v>166</v>
      </c>
      <c r="O736" t="s">
        <v>190</v>
      </c>
      <c r="P736" t="s">
        <v>184</v>
      </c>
      <c r="Q736" t="s">
        <v>50</v>
      </c>
      <c r="R736">
        <v>0</v>
      </c>
      <c r="S736">
        <v>0</v>
      </c>
      <c r="T736" s="1">
        <v>42044</v>
      </c>
      <c r="U736" t="s">
        <v>51</v>
      </c>
      <c r="V736" t="s">
        <v>52</v>
      </c>
      <c r="W736" t="s">
        <v>68</v>
      </c>
      <c r="X736" t="s">
        <v>104</v>
      </c>
      <c r="Y736" t="s">
        <v>82</v>
      </c>
      <c r="Z736" t="s">
        <v>127</v>
      </c>
      <c r="AA736" t="s">
        <v>918</v>
      </c>
      <c r="AB736">
        <v>0</v>
      </c>
      <c r="AC736" t="str">
        <f t="shared" si="34"/>
        <v>Night</v>
      </c>
      <c r="AD736">
        <v>1</v>
      </c>
      <c r="AE736" t="s">
        <v>84</v>
      </c>
      <c r="AF736">
        <v>2</v>
      </c>
      <c r="AG736">
        <v>1</v>
      </c>
      <c r="AH736" t="s">
        <v>67</v>
      </c>
      <c r="AI736">
        <v>50700</v>
      </c>
      <c r="AJ736">
        <v>5070</v>
      </c>
      <c r="AK736">
        <v>5070</v>
      </c>
      <c r="AL736">
        <v>40560</v>
      </c>
      <c r="AM736" t="s">
        <v>100</v>
      </c>
      <c r="AN736" t="s">
        <v>101</v>
      </c>
      <c r="AO736">
        <v>2015</v>
      </c>
      <c r="AP736">
        <v>2006</v>
      </c>
      <c r="AQ736">
        <f t="shared" si="35"/>
        <v>9</v>
      </c>
      <c r="AR736" t="s">
        <v>87</v>
      </c>
    </row>
    <row r="737" spans="1:44" x14ac:dyDescent="0.25">
      <c r="A737">
        <v>293</v>
      </c>
      <c r="B737" t="str">
        <f t="shared" si="33"/>
        <v>10+ years</v>
      </c>
      <c r="C737">
        <v>45</v>
      </c>
      <c r="D737" t="str" cm="1">
        <f t="array" ref="D737">_xlfn.IFS(C737&lt;26, "19-25", C737&lt;33, "26-32", C737&lt;40, "33-39", C737&lt;47, "40-46",C737&lt;54, "47-53", TRUE, "54+")</f>
        <v>40-46</v>
      </c>
      <c r="E737">
        <v>235097</v>
      </c>
      <c r="F737" s="1">
        <v>33722</v>
      </c>
      <c r="G737" t="s">
        <v>88</v>
      </c>
      <c r="H737" t="s">
        <v>74</v>
      </c>
      <c r="I737">
        <v>1000</v>
      </c>
      <c r="J737">
        <v>1119.23</v>
      </c>
      <c r="K737">
        <v>0</v>
      </c>
      <c r="L737">
        <v>447560</v>
      </c>
      <c r="M737" t="s">
        <v>75</v>
      </c>
      <c r="N737" t="s">
        <v>47</v>
      </c>
      <c r="O737" t="s">
        <v>130</v>
      </c>
      <c r="P737" t="s">
        <v>269</v>
      </c>
      <c r="Q737" t="s">
        <v>90</v>
      </c>
      <c r="R737">
        <v>51500</v>
      </c>
      <c r="S737">
        <v>0</v>
      </c>
      <c r="T737" s="1">
        <v>42053</v>
      </c>
      <c r="U737" t="s">
        <v>80</v>
      </c>
      <c r="V737" t="s">
        <v>91</v>
      </c>
      <c r="W737" t="s">
        <v>112</v>
      </c>
      <c r="X737" t="s">
        <v>104</v>
      </c>
      <c r="Y737" t="s">
        <v>118</v>
      </c>
      <c r="Z737" t="s">
        <v>132</v>
      </c>
      <c r="AA737" t="s">
        <v>919</v>
      </c>
      <c r="AB737">
        <v>13</v>
      </c>
      <c r="AC737" t="str">
        <f t="shared" si="34"/>
        <v>Afternoon</v>
      </c>
      <c r="AD737">
        <v>3</v>
      </c>
      <c r="AE737" t="s">
        <v>84</v>
      </c>
      <c r="AF737">
        <v>1</v>
      </c>
      <c r="AG737">
        <v>1</v>
      </c>
      <c r="AH737" t="s">
        <v>84</v>
      </c>
      <c r="AI737">
        <v>51210</v>
      </c>
      <c r="AJ737">
        <v>11380</v>
      </c>
      <c r="AK737">
        <v>5690</v>
      </c>
      <c r="AL737">
        <v>34140</v>
      </c>
      <c r="AM737" t="s">
        <v>202</v>
      </c>
      <c r="AN737" t="s">
        <v>203</v>
      </c>
      <c r="AO737">
        <v>2015</v>
      </c>
      <c r="AP737">
        <v>2015</v>
      </c>
      <c r="AQ737">
        <f t="shared" si="35"/>
        <v>0</v>
      </c>
      <c r="AR737" t="s">
        <v>87</v>
      </c>
    </row>
    <row r="738" spans="1:44" x14ac:dyDescent="0.25">
      <c r="A738">
        <v>339</v>
      </c>
      <c r="B738" t="str">
        <f t="shared" si="33"/>
        <v>10+ years</v>
      </c>
      <c r="C738">
        <v>48</v>
      </c>
      <c r="D738" t="str" cm="1">
        <f t="array" ref="D738">_xlfn.IFS(C738&lt;26, "19-25", C738&lt;33, "26-32", C738&lt;40, "33-39", C738&lt;47, "40-46",C738&lt;54, "47-53", TRUE, "54+")</f>
        <v>47-53</v>
      </c>
      <c r="E738">
        <v>290971</v>
      </c>
      <c r="F738" s="1">
        <v>38635</v>
      </c>
      <c r="G738" t="s">
        <v>44</v>
      </c>
      <c r="H738" t="s">
        <v>74</v>
      </c>
      <c r="I738">
        <v>500</v>
      </c>
      <c r="J738">
        <v>1698.51</v>
      </c>
      <c r="K738">
        <v>0</v>
      </c>
      <c r="L738">
        <v>444378</v>
      </c>
      <c r="M738" t="s">
        <v>46</v>
      </c>
      <c r="N738" t="s">
        <v>166</v>
      </c>
      <c r="O738" t="s">
        <v>116</v>
      </c>
      <c r="P738" t="s">
        <v>131</v>
      </c>
      <c r="Q738" t="s">
        <v>90</v>
      </c>
      <c r="R738">
        <v>0</v>
      </c>
      <c r="S738">
        <v>0</v>
      </c>
      <c r="T738" s="1">
        <v>42045</v>
      </c>
      <c r="U738" t="s">
        <v>80</v>
      </c>
      <c r="V738" t="s">
        <v>81</v>
      </c>
      <c r="W738" t="s">
        <v>112</v>
      </c>
      <c r="X738" t="s">
        <v>104</v>
      </c>
      <c r="Y738" t="s">
        <v>55</v>
      </c>
      <c r="Z738" t="s">
        <v>127</v>
      </c>
      <c r="AA738" t="s">
        <v>920</v>
      </c>
      <c r="AB738">
        <v>18</v>
      </c>
      <c r="AC738" t="str">
        <f t="shared" si="34"/>
        <v>Evening</v>
      </c>
      <c r="AD738">
        <v>3</v>
      </c>
      <c r="AE738" t="s">
        <v>84</v>
      </c>
      <c r="AF738">
        <v>2</v>
      </c>
      <c r="AG738">
        <v>1</v>
      </c>
      <c r="AH738" t="s">
        <v>67</v>
      </c>
      <c r="AI738">
        <v>51840</v>
      </c>
      <c r="AJ738">
        <v>8640</v>
      </c>
      <c r="AK738">
        <v>8640</v>
      </c>
      <c r="AL738">
        <v>34560</v>
      </c>
      <c r="AM738" t="s">
        <v>219</v>
      </c>
      <c r="AN738" t="s">
        <v>263</v>
      </c>
      <c r="AO738">
        <v>2015</v>
      </c>
      <c r="AP738">
        <v>2001</v>
      </c>
      <c r="AQ738">
        <f t="shared" si="35"/>
        <v>14</v>
      </c>
      <c r="AR738" t="s">
        <v>87</v>
      </c>
    </row>
    <row r="739" spans="1:44" x14ac:dyDescent="0.25">
      <c r="A739">
        <v>160</v>
      </c>
      <c r="B739" t="str">
        <f t="shared" si="33"/>
        <v>10+ years</v>
      </c>
      <c r="C739">
        <v>33</v>
      </c>
      <c r="D739" t="str" cm="1">
        <f t="array" ref="D739">_xlfn.IFS(C739&lt;26, "19-25", C739&lt;33, "26-32", C739&lt;40, "33-39", C739&lt;47, "40-46",C739&lt;54, "47-53", TRUE, "54+")</f>
        <v>33-39</v>
      </c>
      <c r="E739">
        <v>180286</v>
      </c>
      <c r="F739" s="1">
        <v>39852</v>
      </c>
      <c r="G739" t="s">
        <v>88</v>
      </c>
      <c r="H739" t="s">
        <v>96</v>
      </c>
      <c r="I739">
        <v>1000</v>
      </c>
      <c r="J739">
        <v>1422.78</v>
      </c>
      <c r="K739">
        <v>0</v>
      </c>
      <c r="L739">
        <v>616583</v>
      </c>
      <c r="M739" t="s">
        <v>75</v>
      </c>
      <c r="N739" t="s">
        <v>136</v>
      </c>
      <c r="O739" t="s">
        <v>130</v>
      </c>
      <c r="P739" t="s">
        <v>269</v>
      </c>
      <c r="Q739" t="s">
        <v>50</v>
      </c>
      <c r="R739">
        <v>61600</v>
      </c>
      <c r="S739">
        <v>0</v>
      </c>
      <c r="T739" s="1">
        <v>42024</v>
      </c>
      <c r="U739" t="s">
        <v>80</v>
      </c>
      <c r="V739" t="s">
        <v>91</v>
      </c>
      <c r="W739" t="s">
        <v>112</v>
      </c>
      <c r="X739" t="s">
        <v>141</v>
      </c>
      <c r="Y739" t="s">
        <v>126</v>
      </c>
      <c r="Z739" t="s">
        <v>70</v>
      </c>
      <c r="AA739" t="s">
        <v>921</v>
      </c>
      <c r="AB739">
        <v>17</v>
      </c>
      <c r="AC739" t="str">
        <f t="shared" si="34"/>
        <v>Afternoon</v>
      </c>
      <c r="AD739">
        <v>3</v>
      </c>
      <c r="AE739" t="s">
        <v>67</v>
      </c>
      <c r="AF739">
        <v>2</v>
      </c>
      <c r="AG739">
        <v>3</v>
      </c>
      <c r="AH739" t="s">
        <v>58</v>
      </c>
      <c r="AI739">
        <v>52800</v>
      </c>
      <c r="AJ739">
        <v>5280</v>
      </c>
      <c r="AK739">
        <v>5280</v>
      </c>
      <c r="AL739">
        <v>42240</v>
      </c>
      <c r="AM739" t="s">
        <v>109</v>
      </c>
      <c r="AN739" t="s">
        <v>110</v>
      </c>
      <c r="AO739">
        <v>2015</v>
      </c>
      <c r="AP739">
        <v>2006</v>
      </c>
      <c r="AQ739">
        <f t="shared" si="35"/>
        <v>9</v>
      </c>
      <c r="AR739" t="s">
        <v>87</v>
      </c>
    </row>
    <row r="740" spans="1:44" x14ac:dyDescent="0.25">
      <c r="A740">
        <v>224</v>
      </c>
      <c r="B740" t="str">
        <f t="shared" si="33"/>
        <v>10+ years</v>
      </c>
      <c r="C740">
        <v>42</v>
      </c>
      <c r="D740" t="str" cm="1">
        <f t="array" ref="D740">_xlfn.IFS(C740&lt;26, "19-25", C740&lt;33, "26-32", C740&lt;40, "33-39", C740&lt;47, "40-46",C740&lt;54, "47-53", TRUE, "54+")</f>
        <v>40-46</v>
      </c>
      <c r="E740">
        <v>662088</v>
      </c>
      <c r="F740" s="1">
        <v>38417</v>
      </c>
      <c r="G740" t="s">
        <v>44</v>
      </c>
      <c r="H740" t="s">
        <v>96</v>
      </c>
      <c r="I740">
        <v>500</v>
      </c>
      <c r="J740">
        <v>1212.75</v>
      </c>
      <c r="K740">
        <v>0</v>
      </c>
      <c r="L740">
        <v>455913</v>
      </c>
      <c r="M740" t="s">
        <v>75</v>
      </c>
      <c r="N740" t="s">
        <v>146</v>
      </c>
      <c r="O740" t="s">
        <v>106</v>
      </c>
      <c r="P740" t="s">
        <v>175</v>
      </c>
      <c r="Q740" t="s">
        <v>79</v>
      </c>
      <c r="R740">
        <v>0</v>
      </c>
      <c r="S740">
        <v>-51400</v>
      </c>
      <c r="T740" s="1">
        <v>42031</v>
      </c>
      <c r="U740" t="s">
        <v>51</v>
      </c>
      <c r="V740" t="s">
        <v>91</v>
      </c>
      <c r="W740" t="s">
        <v>68</v>
      </c>
      <c r="X740" t="s">
        <v>104</v>
      </c>
      <c r="Y740" t="s">
        <v>118</v>
      </c>
      <c r="Z740" t="s">
        <v>107</v>
      </c>
      <c r="AA740" t="s">
        <v>922</v>
      </c>
      <c r="AB740">
        <v>11</v>
      </c>
      <c r="AC740" t="str">
        <f t="shared" si="34"/>
        <v>Morning</v>
      </c>
      <c r="AD740">
        <v>1</v>
      </c>
      <c r="AE740" t="s">
        <v>67</v>
      </c>
      <c r="AF740">
        <v>0</v>
      </c>
      <c r="AG740">
        <v>0</v>
      </c>
      <c r="AH740" t="s">
        <v>58</v>
      </c>
      <c r="AI740">
        <v>55200</v>
      </c>
      <c r="AJ740">
        <v>9200</v>
      </c>
      <c r="AK740">
        <v>13800</v>
      </c>
      <c r="AL740">
        <v>32200</v>
      </c>
      <c r="AM740" t="s">
        <v>214</v>
      </c>
      <c r="AN740" t="s">
        <v>215</v>
      </c>
      <c r="AO740">
        <v>2015</v>
      </c>
      <c r="AP740">
        <v>1998</v>
      </c>
      <c r="AQ740">
        <f t="shared" si="35"/>
        <v>17</v>
      </c>
      <c r="AR740" t="s">
        <v>87</v>
      </c>
    </row>
    <row r="741" spans="1:44" x14ac:dyDescent="0.25">
      <c r="A741">
        <v>194</v>
      </c>
      <c r="B741" t="str">
        <f t="shared" si="33"/>
        <v>10+ years</v>
      </c>
      <c r="C741">
        <v>34</v>
      </c>
      <c r="D741" t="str" cm="1">
        <f t="array" ref="D741">_xlfn.IFS(C741&lt;26, "19-25", C741&lt;33, "26-32", C741&lt;40, "33-39", C741&lt;47, "40-46",C741&lt;54, "47-53", TRUE, "54+")</f>
        <v>33-39</v>
      </c>
      <c r="E741">
        <v>884365</v>
      </c>
      <c r="F741" s="1">
        <v>34471</v>
      </c>
      <c r="G741" t="s">
        <v>62</v>
      </c>
      <c r="H741" t="s">
        <v>74</v>
      </c>
      <c r="I741">
        <v>1000</v>
      </c>
      <c r="J741">
        <v>1423.34</v>
      </c>
      <c r="K741">
        <v>0</v>
      </c>
      <c r="L741">
        <v>454399</v>
      </c>
      <c r="M741" t="s">
        <v>46</v>
      </c>
      <c r="N741" t="s">
        <v>97</v>
      </c>
      <c r="O741" t="s">
        <v>77</v>
      </c>
      <c r="P741" t="s">
        <v>123</v>
      </c>
      <c r="Q741" t="s">
        <v>147</v>
      </c>
      <c r="R741">
        <v>55300</v>
      </c>
      <c r="S741">
        <v>-37900</v>
      </c>
      <c r="T741" s="1">
        <v>42025</v>
      </c>
      <c r="U741" t="s">
        <v>66</v>
      </c>
      <c r="V741" t="s">
        <v>67</v>
      </c>
      <c r="W741" t="s">
        <v>68</v>
      </c>
      <c r="X741" t="s">
        <v>98</v>
      </c>
      <c r="Y741" t="s">
        <v>118</v>
      </c>
      <c r="Z741" t="s">
        <v>70</v>
      </c>
      <c r="AA741" t="s">
        <v>923</v>
      </c>
      <c r="AB741">
        <v>0</v>
      </c>
      <c r="AC741" t="str">
        <f t="shared" si="34"/>
        <v>Night</v>
      </c>
      <c r="AD741">
        <v>1</v>
      </c>
      <c r="AE741" t="s">
        <v>58</v>
      </c>
      <c r="AF741">
        <v>0</v>
      </c>
      <c r="AG741">
        <v>3</v>
      </c>
      <c r="AH741" t="s">
        <v>84</v>
      </c>
      <c r="AI741">
        <v>9100</v>
      </c>
      <c r="AJ741">
        <v>1400</v>
      </c>
      <c r="AK741">
        <v>1400</v>
      </c>
      <c r="AL741">
        <v>6300</v>
      </c>
      <c r="AM741" t="s">
        <v>94</v>
      </c>
      <c r="AN741" t="s">
        <v>250</v>
      </c>
      <c r="AO741">
        <v>2015</v>
      </c>
      <c r="AP741">
        <v>2003</v>
      </c>
      <c r="AQ741">
        <f t="shared" si="35"/>
        <v>12</v>
      </c>
      <c r="AR741" t="s">
        <v>87</v>
      </c>
    </row>
    <row r="742" spans="1:44" x14ac:dyDescent="0.25">
      <c r="A742">
        <v>385</v>
      </c>
      <c r="B742" t="str">
        <f t="shared" si="33"/>
        <v>10+ years</v>
      </c>
      <c r="C742">
        <v>51</v>
      </c>
      <c r="D742" t="str" cm="1">
        <f t="array" ref="D742">_xlfn.IFS(C742&lt;26, "19-25", C742&lt;33, "26-32", C742&lt;40, "33-39", C742&lt;47, "40-46",C742&lt;54, "47-53", TRUE, "54+")</f>
        <v>47-53</v>
      </c>
      <c r="E742">
        <v>178081</v>
      </c>
      <c r="F742" s="1">
        <v>33074</v>
      </c>
      <c r="G742" t="s">
        <v>62</v>
      </c>
      <c r="H742" t="s">
        <v>45</v>
      </c>
      <c r="I742">
        <v>1000</v>
      </c>
      <c r="J742">
        <v>976.37</v>
      </c>
      <c r="K742">
        <v>0</v>
      </c>
      <c r="L742">
        <v>602842</v>
      </c>
      <c r="M742" t="s">
        <v>75</v>
      </c>
      <c r="N742" t="s">
        <v>47</v>
      </c>
      <c r="O742" t="s">
        <v>48</v>
      </c>
      <c r="P742" t="s">
        <v>64</v>
      </c>
      <c r="Q742" t="s">
        <v>50</v>
      </c>
      <c r="R742">
        <v>0</v>
      </c>
      <c r="S742">
        <v>-61000</v>
      </c>
      <c r="T742" s="1">
        <v>42053</v>
      </c>
      <c r="U742" t="s">
        <v>80</v>
      </c>
      <c r="V742" t="s">
        <v>81</v>
      </c>
      <c r="W742" t="s">
        <v>68</v>
      </c>
      <c r="X742" t="s">
        <v>125</v>
      </c>
      <c r="Y742" t="s">
        <v>118</v>
      </c>
      <c r="Z742" t="s">
        <v>70</v>
      </c>
      <c r="AA742" t="s">
        <v>924</v>
      </c>
      <c r="AB742">
        <v>14</v>
      </c>
      <c r="AC742" t="str">
        <f t="shared" si="34"/>
        <v>Afternoon</v>
      </c>
      <c r="AD742">
        <v>3</v>
      </c>
      <c r="AE742" t="s">
        <v>67</v>
      </c>
      <c r="AF742">
        <v>1</v>
      </c>
      <c r="AG742">
        <v>3</v>
      </c>
      <c r="AH742" t="s">
        <v>67</v>
      </c>
      <c r="AI742">
        <v>67600</v>
      </c>
      <c r="AJ742">
        <v>13520</v>
      </c>
      <c r="AK742">
        <v>6760</v>
      </c>
      <c r="AL742">
        <v>47320</v>
      </c>
      <c r="AM742" t="s">
        <v>158</v>
      </c>
      <c r="AN742" t="s">
        <v>159</v>
      </c>
      <c r="AO742">
        <v>2015</v>
      </c>
      <c r="AP742">
        <v>2007</v>
      </c>
      <c r="AQ742">
        <f t="shared" si="35"/>
        <v>8</v>
      </c>
      <c r="AR742" t="s">
        <v>87</v>
      </c>
    </row>
    <row r="743" spans="1:44" x14ac:dyDescent="0.25">
      <c r="A743">
        <v>100</v>
      </c>
      <c r="B743" t="str">
        <f t="shared" si="33"/>
        <v>5-10 years</v>
      </c>
      <c r="C743">
        <v>33</v>
      </c>
      <c r="D743" t="str" cm="1">
        <f t="array" ref="D743">_xlfn.IFS(C743&lt;26, "19-25", C743&lt;33, "26-32", C743&lt;40, "33-39", C743&lt;47, "40-46",C743&lt;54, "47-53", TRUE, "54+")</f>
        <v>33-39</v>
      </c>
      <c r="E743">
        <v>507452</v>
      </c>
      <c r="F743" s="1">
        <v>38459</v>
      </c>
      <c r="G743" t="s">
        <v>44</v>
      </c>
      <c r="H743" t="s">
        <v>45</v>
      </c>
      <c r="I743">
        <v>500</v>
      </c>
      <c r="J743">
        <v>1124.5899999999999</v>
      </c>
      <c r="K743">
        <v>6000000</v>
      </c>
      <c r="L743">
        <v>459428</v>
      </c>
      <c r="M743" t="s">
        <v>46</v>
      </c>
      <c r="N743" t="s">
        <v>146</v>
      </c>
      <c r="O743" t="s">
        <v>190</v>
      </c>
      <c r="P743" t="s">
        <v>117</v>
      </c>
      <c r="Q743" t="s">
        <v>147</v>
      </c>
      <c r="R743">
        <v>67300</v>
      </c>
      <c r="S743">
        <v>0</v>
      </c>
      <c r="T743" s="1">
        <v>42061</v>
      </c>
      <c r="U743" t="s">
        <v>51</v>
      </c>
      <c r="V743" t="s">
        <v>81</v>
      </c>
      <c r="W743" t="s">
        <v>68</v>
      </c>
      <c r="X743" t="s">
        <v>125</v>
      </c>
      <c r="Y743" t="s">
        <v>126</v>
      </c>
      <c r="Z743" t="s">
        <v>56</v>
      </c>
      <c r="AA743" t="s">
        <v>925</v>
      </c>
      <c r="AB743">
        <v>4</v>
      </c>
      <c r="AC743" t="str">
        <f t="shared" si="34"/>
        <v>Night</v>
      </c>
      <c r="AD743">
        <v>1</v>
      </c>
      <c r="AE743" t="s">
        <v>84</v>
      </c>
      <c r="AF743">
        <v>1</v>
      </c>
      <c r="AG743">
        <v>2</v>
      </c>
      <c r="AH743" t="s">
        <v>84</v>
      </c>
      <c r="AI743">
        <v>40800</v>
      </c>
      <c r="AJ743">
        <v>6800</v>
      </c>
      <c r="AK743">
        <v>6800</v>
      </c>
      <c r="AL743">
        <v>27200</v>
      </c>
      <c r="AM743" t="s">
        <v>192</v>
      </c>
      <c r="AN743" t="s">
        <v>208</v>
      </c>
      <c r="AO743">
        <v>2015</v>
      </c>
      <c r="AP743">
        <v>2004</v>
      </c>
      <c r="AQ743">
        <f t="shared" si="35"/>
        <v>11</v>
      </c>
      <c r="AR743" t="s">
        <v>87</v>
      </c>
    </row>
    <row r="744" spans="1:44" x14ac:dyDescent="0.25">
      <c r="A744">
        <v>371</v>
      </c>
      <c r="B744" t="str">
        <f t="shared" si="33"/>
        <v>10+ years</v>
      </c>
      <c r="C744">
        <v>50</v>
      </c>
      <c r="D744" t="str" cm="1">
        <f t="array" ref="D744">_xlfn.IFS(C744&lt;26, "19-25", C744&lt;33, "26-32", C744&lt;40, "33-39", C744&lt;47, "40-46",C744&lt;54, "47-53", TRUE, "54+")</f>
        <v>47-53</v>
      </c>
      <c r="E744">
        <v>990624</v>
      </c>
      <c r="F744" s="1">
        <v>34375</v>
      </c>
      <c r="G744" t="s">
        <v>62</v>
      </c>
      <c r="H744" t="s">
        <v>45</v>
      </c>
      <c r="I744">
        <v>1000</v>
      </c>
      <c r="J744">
        <v>1569.33</v>
      </c>
      <c r="K744">
        <v>0</v>
      </c>
      <c r="L744">
        <v>613114</v>
      </c>
      <c r="M744" t="s">
        <v>46</v>
      </c>
      <c r="N744" t="s">
        <v>76</v>
      </c>
      <c r="O744" t="s">
        <v>63</v>
      </c>
      <c r="P744" t="s">
        <v>78</v>
      </c>
      <c r="Q744" t="s">
        <v>147</v>
      </c>
      <c r="R744">
        <v>79600</v>
      </c>
      <c r="S744">
        <v>0</v>
      </c>
      <c r="T744" s="1">
        <v>42033</v>
      </c>
      <c r="U744" t="s">
        <v>80</v>
      </c>
      <c r="V744" t="s">
        <v>52</v>
      </c>
      <c r="W744" t="s">
        <v>53</v>
      </c>
      <c r="X744" t="s">
        <v>125</v>
      </c>
      <c r="Y744" t="s">
        <v>118</v>
      </c>
      <c r="Z744" t="s">
        <v>107</v>
      </c>
      <c r="AA744" t="s">
        <v>926</v>
      </c>
      <c r="AB744">
        <v>2</v>
      </c>
      <c r="AC744" t="str">
        <f t="shared" si="34"/>
        <v>Night</v>
      </c>
      <c r="AD744">
        <v>3</v>
      </c>
      <c r="AE744" t="s">
        <v>84</v>
      </c>
      <c r="AF744">
        <v>2</v>
      </c>
      <c r="AG744">
        <v>1</v>
      </c>
      <c r="AH744" t="s">
        <v>58</v>
      </c>
      <c r="AI744">
        <v>84500</v>
      </c>
      <c r="AJ744">
        <v>13000</v>
      </c>
      <c r="AK744">
        <v>13000</v>
      </c>
      <c r="AL744">
        <v>58500</v>
      </c>
      <c r="AM744" t="s">
        <v>219</v>
      </c>
      <c r="AN744" t="s">
        <v>220</v>
      </c>
      <c r="AO744">
        <v>2015</v>
      </c>
      <c r="AP744">
        <v>2011</v>
      </c>
      <c r="AQ744">
        <f t="shared" si="35"/>
        <v>4</v>
      </c>
      <c r="AR744" t="s">
        <v>61</v>
      </c>
    </row>
    <row r="745" spans="1:44" x14ac:dyDescent="0.25">
      <c r="A745">
        <v>175</v>
      </c>
      <c r="B745" t="str">
        <f t="shared" si="33"/>
        <v>10+ years</v>
      </c>
      <c r="C745">
        <v>39</v>
      </c>
      <c r="D745" t="str" cm="1">
        <f t="array" ref="D745">_xlfn.IFS(C745&lt;26, "19-25", C745&lt;33, "26-32", C745&lt;40, "33-39", C745&lt;47, "40-46",C745&lt;54, "47-53", TRUE, "54+")</f>
        <v>33-39</v>
      </c>
      <c r="E745">
        <v>892148</v>
      </c>
      <c r="F745" s="1">
        <v>34787</v>
      </c>
      <c r="G745" t="s">
        <v>62</v>
      </c>
      <c r="H745" t="s">
        <v>96</v>
      </c>
      <c r="I745">
        <v>500</v>
      </c>
      <c r="J745">
        <v>1359.36</v>
      </c>
      <c r="K745">
        <v>5000000</v>
      </c>
      <c r="L745">
        <v>450709</v>
      </c>
      <c r="M745" t="s">
        <v>46</v>
      </c>
      <c r="N745" t="s">
        <v>76</v>
      </c>
      <c r="O745" t="s">
        <v>130</v>
      </c>
      <c r="P745" t="s">
        <v>154</v>
      </c>
      <c r="Q745" t="s">
        <v>50</v>
      </c>
      <c r="R745">
        <v>0</v>
      </c>
      <c r="S745">
        <v>-43600</v>
      </c>
      <c r="T745" s="1">
        <v>42043</v>
      </c>
      <c r="U745" t="s">
        <v>80</v>
      </c>
      <c r="V745" t="s">
        <v>91</v>
      </c>
      <c r="W745" t="s">
        <v>53</v>
      </c>
      <c r="X745" t="s">
        <v>125</v>
      </c>
      <c r="Y745" t="s">
        <v>55</v>
      </c>
      <c r="Z745" t="s">
        <v>92</v>
      </c>
      <c r="AA745" t="s">
        <v>927</v>
      </c>
      <c r="AB745">
        <v>9</v>
      </c>
      <c r="AC745" t="str">
        <f t="shared" si="34"/>
        <v>Morning</v>
      </c>
      <c r="AD745">
        <v>3</v>
      </c>
      <c r="AE745" t="s">
        <v>58</v>
      </c>
      <c r="AF745">
        <v>2</v>
      </c>
      <c r="AG745">
        <v>2</v>
      </c>
      <c r="AH745" t="s">
        <v>58</v>
      </c>
      <c r="AI745">
        <v>71610</v>
      </c>
      <c r="AJ745">
        <v>13020</v>
      </c>
      <c r="AK745">
        <v>6510</v>
      </c>
      <c r="AL745">
        <v>52080</v>
      </c>
      <c r="AM745" t="s">
        <v>120</v>
      </c>
      <c r="AN745" t="s">
        <v>145</v>
      </c>
      <c r="AO745">
        <v>2015</v>
      </c>
      <c r="AP745">
        <v>2012</v>
      </c>
      <c r="AQ745">
        <f t="shared" si="35"/>
        <v>3</v>
      </c>
      <c r="AR745" t="s">
        <v>61</v>
      </c>
    </row>
    <row r="746" spans="1:44" x14ac:dyDescent="0.25">
      <c r="A746">
        <v>373</v>
      </c>
      <c r="B746" t="str">
        <f t="shared" si="33"/>
        <v>10+ years</v>
      </c>
      <c r="C746">
        <v>55</v>
      </c>
      <c r="D746" t="str" cm="1">
        <f t="array" ref="D746">_xlfn.IFS(C746&lt;26, "19-25", C746&lt;33, "26-32", C746&lt;40, "33-39", C746&lt;47, "40-46",C746&lt;54, "47-53", TRUE, "54+")</f>
        <v>54+</v>
      </c>
      <c r="E746">
        <v>398683</v>
      </c>
      <c r="F746" s="1">
        <v>39202</v>
      </c>
      <c r="G746" t="s">
        <v>62</v>
      </c>
      <c r="H746" t="s">
        <v>45</v>
      </c>
      <c r="I746">
        <v>500</v>
      </c>
      <c r="J746">
        <v>1607.36</v>
      </c>
      <c r="K746">
        <v>0</v>
      </c>
      <c r="L746">
        <v>444626</v>
      </c>
      <c r="M746" t="s">
        <v>46</v>
      </c>
      <c r="N746" t="s">
        <v>47</v>
      </c>
      <c r="O746" t="s">
        <v>77</v>
      </c>
      <c r="P746" t="s">
        <v>160</v>
      </c>
      <c r="Q746" t="s">
        <v>79</v>
      </c>
      <c r="R746">
        <v>0</v>
      </c>
      <c r="S746">
        <v>0</v>
      </c>
      <c r="T746" s="1">
        <v>42023</v>
      </c>
      <c r="U746" t="s">
        <v>80</v>
      </c>
      <c r="V746" t="s">
        <v>81</v>
      </c>
      <c r="W746" t="s">
        <v>53</v>
      </c>
      <c r="X746" t="s">
        <v>125</v>
      </c>
      <c r="Y746" t="s">
        <v>55</v>
      </c>
      <c r="Z746" t="s">
        <v>92</v>
      </c>
      <c r="AA746" t="s">
        <v>928</v>
      </c>
      <c r="AB746">
        <v>21</v>
      </c>
      <c r="AC746" t="str">
        <f t="shared" si="34"/>
        <v>Evening</v>
      </c>
      <c r="AD746">
        <v>4</v>
      </c>
      <c r="AE746" t="s">
        <v>67</v>
      </c>
      <c r="AF746">
        <v>0</v>
      </c>
      <c r="AG746">
        <v>2</v>
      </c>
      <c r="AH746" t="s">
        <v>84</v>
      </c>
      <c r="AI746">
        <v>60600</v>
      </c>
      <c r="AJ746">
        <v>6060</v>
      </c>
      <c r="AK746">
        <v>12120</v>
      </c>
      <c r="AL746">
        <v>42420</v>
      </c>
      <c r="AM746" t="s">
        <v>85</v>
      </c>
      <c r="AN746" t="s">
        <v>86</v>
      </c>
      <c r="AO746">
        <v>2015</v>
      </c>
      <c r="AP746">
        <v>2007</v>
      </c>
      <c r="AQ746">
        <f t="shared" si="35"/>
        <v>8</v>
      </c>
      <c r="AR746" t="s">
        <v>61</v>
      </c>
    </row>
    <row r="747" spans="1:44" x14ac:dyDescent="0.25">
      <c r="A747">
        <v>258</v>
      </c>
      <c r="B747" t="str">
        <f t="shared" si="33"/>
        <v>10+ years</v>
      </c>
      <c r="C747">
        <v>41</v>
      </c>
      <c r="D747" t="str" cm="1">
        <f t="array" ref="D747">_xlfn.IFS(C747&lt;26, "19-25", C747&lt;33, "26-32", C747&lt;40, "33-39", C747&lt;47, "40-46",C747&lt;54, "47-53", TRUE, "54+")</f>
        <v>40-46</v>
      </c>
      <c r="E747">
        <v>605100</v>
      </c>
      <c r="F747" s="1">
        <v>36937</v>
      </c>
      <c r="G747" t="s">
        <v>88</v>
      </c>
      <c r="H747" t="s">
        <v>74</v>
      </c>
      <c r="I747">
        <v>500</v>
      </c>
      <c r="J747">
        <v>1042.25</v>
      </c>
      <c r="K747">
        <v>0</v>
      </c>
      <c r="L747">
        <v>601206</v>
      </c>
      <c r="M747" t="s">
        <v>46</v>
      </c>
      <c r="N747" t="s">
        <v>129</v>
      </c>
      <c r="O747" t="s">
        <v>130</v>
      </c>
      <c r="P747" t="s">
        <v>64</v>
      </c>
      <c r="Q747" t="s">
        <v>90</v>
      </c>
      <c r="R747">
        <v>0</v>
      </c>
      <c r="S747">
        <v>-44400</v>
      </c>
      <c r="T747" s="1">
        <v>42043</v>
      </c>
      <c r="U747" t="s">
        <v>80</v>
      </c>
      <c r="V747" t="s">
        <v>81</v>
      </c>
      <c r="W747" t="s">
        <v>53</v>
      </c>
      <c r="X747" t="s">
        <v>104</v>
      </c>
      <c r="Y747" t="s">
        <v>126</v>
      </c>
      <c r="Z747" t="s">
        <v>70</v>
      </c>
      <c r="AA747" t="s">
        <v>929</v>
      </c>
      <c r="AB747">
        <v>0</v>
      </c>
      <c r="AC747" t="str">
        <f t="shared" si="34"/>
        <v>Night</v>
      </c>
      <c r="AD747">
        <v>3</v>
      </c>
      <c r="AE747" t="s">
        <v>84</v>
      </c>
      <c r="AF747">
        <v>2</v>
      </c>
      <c r="AG747">
        <v>3</v>
      </c>
      <c r="AH747" t="s">
        <v>84</v>
      </c>
      <c r="AI747">
        <v>81240</v>
      </c>
      <c r="AJ747">
        <v>6770</v>
      </c>
      <c r="AK747">
        <v>20310</v>
      </c>
      <c r="AL747">
        <v>54160</v>
      </c>
      <c r="AM747" t="s">
        <v>72</v>
      </c>
      <c r="AN747" t="s">
        <v>198</v>
      </c>
      <c r="AO747">
        <v>2015</v>
      </c>
      <c r="AP747">
        <v>2008</v>
      </c>
      <c r="AQ747">
        <f t="shared" si="35"/>
        <v>7</v>
      </c>
      <c r="AR747" t="s">
        <v>61</v>
      </c>
    </row>
    <row r="748" spans="1:44" x14ac:dyDescent="0.25">
      <c r="A748">
        <v>255</v>
      </c>
      <c r="B748" t="str">
        <f t="shared" si="33"/>
        <v>10+ years</v>
      </c>
      <c r="C748">
        <v>39</v>
      </c>
      <c r="D748" t="str" cm="1">
        <f t="array" ref="D748">_xlfn.IFS(C748&lt;26, "19-25", C748&lt;33, "26-32", C748&lt;40, "33-39", C748&lt;47, "40-46",C748&lt;54, "47-53", TRUE, "54+")</f>
        <v>33-39</v>
      </c>
      <c r="E748">
        <v>143109</v>
      </c>
      <c r="F748" s="1">
        <v>37081</v>
      </c>
      <c r="G748" t="s">
        <v>44</v>
      </c>
      <c r="H748" t="s">
        <v>45</v>
      </c>
      <c r="I748">
        <v>500</v>
      </c>
      <c r="J748">
        <v>1453.95</v>
      </c>
      <c r="K748">
        <v>0</v>
      </c>
      <c r="L748">
        <v>470389</v>
      </c>
      <c r="M748" t="s">
        <v>75</v>
      </c>
      <c r="N748" t="s">
        <v>76</v>
      </c>
      <c r="O748" t="s">
        <v>89</v>
      </c>
      <c r="P748" t="s">
        <v>103</v>
      </c>
      <c r="Q748" t="s">
        <v>147</v>
      </c>
      <c r="R748">
        <v>38200</v>
      </c>
      <c r="S748">
        <v>0</v>
      </c>
      <c r="T748" s="1">
        <v>42011</v>
      </c>
      <c r="U748" t="s">
        <v>80</v>
      </c>
      <c r="V748" t="s">
        <v>52</v>
      </c>
      <c r="W748" t="s">
        <v>112</v>
      </c>
      <c r="X748" t="s">
        <v>104</v>
      </c>
      <c r="Y748" t="s">
        <v>118</v>
      </c>
      <c r="Z748" t="s">
        <v>107</v>
      </c>
      <c r="AA748" t="s">
        <v>930</v>
      </c>
      <c r="AB748">
        <v>17</v>
      </c>
      <c r="AC748" t="str">
        <f t="shared" si="34"/>
        <v>Afternoon</v>
      </c>
      <c r="AD748">
        <v>3</v>
      </c>
      <c r="AE748" t="s">
        <v>58</v>
      </c>
      <c r="AF748">
        <v>0</v>
      </c>
      <c r="AG748">
        <v>3</v>
      </c>
      <c r="AH748" t="s">
        <v>84</v>
      </c>
      <c r="AI748">
        <v>29300</v>
      </c>
      <c r="AJ748">
        <v>2930</v>
      </c>
      <c r="AK748">
        <v>5860</v>
      </c>
      <c r="AL748">
        <v>20510</v>
      </c>
      <c r="AM748" t="s">
        <v>114</v>
      </c>
      <c r="AN748" t="s">
        <v>139</v>
      </c>
      <c r="AO748">
        <v>2015</v>
      </c>
      <c r="AP748">
        <v>2010</v>
      </c>
      <c r="AQ748">
        <f t="shared" si="35"/>
        <v>5</v>
      </c>
      <c r="AR748" t="s">
        <v>87</v>
      </c>
    </row>
    <row r="749" spans="1:44" x14ac:dyDescent="0.25">
      <c r="A749">
        <v>37</v>
      </c>
      <c r="B749" t="str">
        <f t="shared" si="33"/>
        <v>2-5 years</v>
      </c>
      <c r="C749">
        <v>31</v>
      </c>
      <c r="D749" t="str" cm="1">
        <f t="array" ref="D749">_xlfn.IFS(C749&lt;26, "19-25", C749&lt;33, "26-32", C749&lt;40, "33-39", C749&lt;47, "40-46",C749&lt;54, "47-53", TRUE, "54+")</f>
        <v>26-32</v>
      </c>
      <c r="E749">
        <v>230223</v>
      </c>
      <c r="F749" s="1">
        <v>39697</v>
      </c>
      <c r="G749" t="s">
        <v>88</v>
      </c>
      <c r="H749" t="s">
        <v>96</v>
      </c>
      <c r="I749">
        <v>500</v>
      </c>
      <c r="J749">
        <v>1969.63</v>
      </c>
      <c r="K749">
        <v>0</v>
      </c>
      <c r="L749">
        <v>615218</v>
      </c>
      <c r="M749" t="s">
        <v>75</v>
      </c>
      <c r="N749" t="s">
        <v>47</v>
      </c>
      <c r="O749" t="s">
        <v>77</v>
      </c>
      <c r="P749" t="s">
        <v>137</v>
      </c>
      <c r="Q749" t="s">
        <v>79</v>
      </c>
      <c r="R749">
        <v>0</v>
      </c>
      <c r="S749">
        <v>0</v>
      </c>
      <c r="T749" s="1">
        <v>42048</v>
      </c>
      <c r="U749" t="s">
        <v>80</v>
      </c>
      <c r="V749" t="s">
        <v>52</v>
      </c>
      <c r="W749" t="s">
        <v>112</v>
      </c>
      <c r="X749" t="s">
        <v>104</v>
      </c>
      <c r="Y749" t="s">
        <v>118</v>
      </c>
      <c r="Z749" t="s">
        <v>132</v>
      </c>
      <c r="AA749" t="s">
        <v>931</v>
      </c>
      <c r="AB749">
        <v>21</v>
      </c>
      <c r="AC749" t="str">
        <f t="shared" si="34"/>
        <v>Evening</v>
      </c>
      <c r="AD749">
        <v>3</v>
      </c>
      <c r="AE749" t="s">
        <v>84</v>
      </c>
      <c r="AF749">
        <v>1</v>
      </c>
      <c r="AG749">
        <v>1</v>
      </c>
      <c r="AH749" t="s">
        <v>58</v>
      </c>
      <c r="AI749">
        <v>76450</v>
      </c>
      <c r="AJ749">
        <v>6950</v>
      </c>
      <c r="AK749">
        <v>13900</v>
      </c>
      <c r="AL749">
        <v>55600</v>
      </c>
      <c r="AM749" t="s">
        <v>85</v>
      </c>
      <c r="AN749" t="s">
        <v>86</v>
      </c>
      <c r="AO749">
        <v>2015</v>
      </c>
      <c r="AP749">
        <v>1995</v>
      </c>
      <c r="AQ749">
        <f t="shared" si="35"/>
        <v>20</v>
      </c>
      <c r="AR749" t="s">
        <v>87</v>
      </c>
    </row>
    <row r="750" spans="1:44" x14ac:dyDescent="0.25">
      <c r="A750">
        <v>322</v>
      </c>
      <c r="B750" t="str">
        <f t="shared" si="33"/>
        <v>10+ years</v>
      </c>
      <c r="C750">
        <v>44</v>
      </c>
      <c r="D750" t="str" cm="1">
        <f t="array" ref="D750">_xlfn.IFS(C750&lt;26, "19-25", C750&lt;33, "26-32", C750&lt;40, "33-39", C750&lt;47, "40-46",C750&lt;54, "47-53", TRUE, "54+")</f>
        <v>40-46</v>
      </c>
      <c r="E750">
        <v>769602</v>
      </c>
      <c r="F750" s="1">
        <v>38340</v>
      </c>
      <c r="G750" t="s">
        <v>88</v>
      </c>
      <c r="H750" t="s">
        <v>74</v>
      </c>
      <c r="I750">
        <v>1000</v>
      </c>
      <c r="J750">
        <v>1156.19</v>
      </c>
      <c r="K750">
        <v>0</v>
      </c>
      <c r="L750">
        <v>606249</v>
      </c>
      <c r="M750" t="s">
        <v>75</v>
      </c>
      <c r="N750" t="s">
        <v>146</v>
      </c>
      <c r="O750" t="s">
        <v>63</v>
      </c>
      <c r="P750" t="s">
        <v>247</v>
      </c>
      <c r="Q750" t="s">
        <v>50</v>
      </c>
      <c r="R750">
        <v>49900</v>
      </c>
      <c r="S750">
        <v>-62700</v>
      </c>
      <c r="T750" s="1">
        <v>42050</v>
      </c>
      <c r="U750" t="s">
        <v>80</v>
      </c>
      <c r="V750" t="s">
        <v>52</v>
      </c>
      <c r="W750" t="s">
        <v>53</v>
      </c>
      <c r="X750" t="s">
        <v>104</v>
      </c>
      <c r="Y750" t="s">
        <v>82</v>
      </c>
      <c r="Z750" t="s">
        <v>161</v>
      </c>
      <c r="AA750" t="s">
        <v>932</v>
      </c>
      <c r="AB750">
        <v>20</v>
      </c>
      <c r="AC750" t="str">
        <f t="shared" si="34"/>
        <v>Evening</v>
      </c>
      <c r="AD750">
        <v>3</v>
      </c>
      <c r="AE750" t="s">
        <v>58</v>
      </c>
      <c r="AF750">
        <v>0</v>
      </c>
      <c r="AG750">
        <v>3</v>
      </c>
      <c r="AH750" t="s">
        <v>67</v>
      </c>
      <c r="AI750">
        <v>49400</v>
      </c>
      <c r="AJ750">
        <v>9880</v>
      </c>
      <c r="AK750">
        <v>4940</v>
      </c>
      <c r="AL750">
        <v>34580</v>
      </c>
      <c r="AM750" t="s">
        <v>202</v>
      </c>
      <c r="AN750" t="s">
        <v>203</v>
      </c>
      <c r="AO750">
        <v>2015</v>
      </c>
      <c r="AP750">
        <v>2010</v>
      </c>
      <c r="AQ750">
        <f t="shared" si="35"/>
        <v>5</v>
      </c>
      <c r="AR750" t="s">
        <v>87</v>
      </c>
    </row>
    <row r="751" spans="1:44" x14ac:dyDescent="0.25">
      <c r="A751">
        <v>204</v>
      </c>
      <c r="B751" t="str">
        <f t="shared" si="33"/>
        <v>10+ years</v>
      </c>
      <c r="C751">
        <v>38</v>
      </c>
      <c r="D751" t="str" cm="1">
        <f t="array" ref="D751">_xlfn.IFS(C751&lt;26, "19-25", C751&lt;33, "26-32", C751&lt;40, "33-39", C751&lt;47, "40-46",C751&lt;54, "47-53", TRUE, "54+")</f>
        <v>33-39</v>
      </c>
      <c r="E751">
        <v>420815</v>
      </c>
      <c r="F751" s="1">
        <v>36845</v>
      </c>
      <c r="G751" t="s">
        <v>88</v>
      </c>
      <c r="H751" t="s">
        <v>74</v>
      </c>
      <c r="I751">
        <v>2000</v>
      </c>
      <c r="J751">
        <v>1124.47</v>
      </c>
      <c r="K751">
        <v>0</v>
      </c>
      <c r="L751">
        <v>616161</v>
      </c>
      <c r="M751" t="s">
        <v>75</v>
      </c>
      <c r="N751" t="s">
        <v>47</v>
      </c>
      <c r="O751" t="s">
        <v>102</v>
      </c>
      <c r="P751" t="s">
        <v>175</v>
      </c>
      <c r="Q751" t="s">
        <v>124</v>
      </c>
      <c r="R751">
        <v>0</v>
      </c>
      <c r="S751">
        <v>-45100</v>
      </c>
      <c r="T751" s="1">
        <v>42049</v>
      </c>
      <c r="U751" t="s">
        <v>51</v>
      </c>
      <c r="V751" t="s">
        <v>52</v>
      </c>
      <c r="W751" t="s">
        <v>112</v>
      </c>
      <c r="X751" t="s">
        <v>141</v>
      </c>
      <c r="Y751" t="s">
        <v>55</v>
      </c>
      <c r="Z751" t="s">
        <v>161</v>
      </c>
      <c r="AA751" t="s">
        <v>933</v>
      </c>
      <c r="AB751">
        <v>5</v>
      </c>
      <c r="AC751" t="str">
        <f t="shared" si="34"/>
        <v>Night</v>
      </c>
      <c r="AD751">
        <v>1</v>
      </c>
      <c r="AE751" t="s">
        <v>84</v>
      </c>
      <c r="AF751">
        <v>0</v>
      </c>
      <c r="AG751">
        <v>1</v>
      </c>
      <c r="AH751" t="s">
        <v>67</v>
      </c>
      <c r="AI751">
        <v>90530</v>
      </c>
      <c r="AJ751">
        <v>16460</v>
      </c>
      <c r="AK751">
        <v>16460</v>
      </c>
      <c r="AL751">
        <v>57610</v>
      </c>
      <c r="AM751" t="s">
        <v>134</v>
      </c>
      <c r="AN751" t="s">
        <v>135</v>
      </c>
      <c r="AO751">
        <v>2015</v>
      </c>
      <c r="AP751">
        <v>2003</v>
      </c>
      <c r="AQ751">
        <f t="shared" si="35"/>
        <v>12</v>
      </c>
      <c r="AR751" t="s">
        <v>87</v>
      </c>
    </row>
    <row r="752" spans="1:44" x14ac:dyDescent="0.25">
      <c r="A752">
        <v>76</v>
      </c>
      <c r="B752" t="str">
        <f t="shared" si="33"/>
        <v>5-10 years</v>
      </c>
      <c r="C752">
        <v>31</v>
      </c>
      <c r="D752" t="str" cm="1">
        <f t="array" ref="D752">_xlfn.IFS(C752&lt;26, "19-25", C752&lt;33, "26-32", C752&lt;40, "33-39", C752&lt;47, "40-46",C752&lt;54, "47-53", TRUE, "54+")</f>
        <v>26-32</v>
      </c>
      <c r="E752">
        <v>973546</v>
      </c>
      <c r="F752" s="1">
        <v>39155</v>
      </c>
      <c r="G752" t="s">
        <v>44</v>
      </c>
      <c r="H752" t="s">
        <v>96</v>
      </c>
      <c r="I752">
        <v>500</v>
      </c>
      <c r="J752">
        <v>1493.5</v>
      </c>
      <c r="K752">
        <v>5000000</v>
      </c>
      <c r="L752">
        <v>442335</v>
      </c>
      <c r="M752" t="s">
        <v>75</v>
      </c>
      <c r="N752" t="s">
        <v>97</v>
      </c>
      <c r="O752" t="s">
        <v>122</v>
      </c>
      <c r="P752" t="s">
        <v>151</v>
      </c>
      <c r="Q752" t="s">
        <v>147</v>
      </c>
      <c r="R752">
        <v>39900</v>
      </c>
      <c r="S752">
        <v>-44000</v>
      </c>
      <c r="T752" s="1">
        <v>42035</v>
      </c>
      <c r="U752" t="s">
        <v>66</v>
      </c>
      <c r="V752" t="s">
        <v>67</v>
      </c>
      <c r="W752" t="s">
        <v>68</v>
      </c>
      <c r="X752" t="s">
        <v>54</v>
      </c>
      <c r="Y752" t="s">
        <v>118</v>
      </c>
      <c r="Z752" t="s">
        <v>161</v>
      </c>
      <c r="AA752" t="s">
        <v>934</v>
      </c>
      <c r="AB752">
        <v>7</v>
      </c>
      <c r="AC752" t="str">
        <f t="shared" si="34"/>
        <v>Morning</v>
      </c>
      <c r="AD752">
        <v>1</v>
      </c>
      <c r="AE752" t="s">
        <v>84</v>
      </c>
      <c r="AF752">
        <v>2</v>
      </c>
      <c r="AG752">
        <v>1</v>
      </c>
      <c r="AH752" t="s">
        <v>84</v>
      </c>
      <c r="AI752">
        <v>8030</v>
      </c>
      <c r="AJ752">
        <v>1460</v>
      </c>
      <c r="AK752">
        <v>730</v>
      </c>
      <c r="AL752">
        <v>5840</v>
      </c>
      <c r="AM752" t="s">
        <v>72</v>
      </c>
      <c r="AN752" t="s">
        <v>73</v>
      </c>
      <c r="AO752">
        <v>2015</v>
      </c>
      <c r="AP752">
        <v>1995</v>
      </c>
      <c r="AQ752">
        <f t="shared" si="35"/>
        <v>20</v>
      </c>
      <c r="AR752" t="s">
        <v>87</v>
      </c>
    </row>
    <row r="753" spans="1:44" x14ac:dyDescent="0.25">
      <c r="A753">
        <v>193</v>
      </c>
      <c r="B753" t="str">
        <f t="shared" si="33"/>
        <v>10+ years</v>
      </c>
      <c r="C753">
        <v>40</v>
      </c>
      <c r="D753" t="str" cm="1">
        <f t="array" ref="D753">_xlfn.IFS(C753&lt;26, "19-25", C753&lt;33, "26-32", C753&lt;40, "33-39", C753&lt;47, "40-46",C753&lt;54, "47-53", TRUE, "54+")</f>
        <v>40-46</v>
      </c>
      <c r="E753">
        <v>608039</v>
      </c>
      <c r="F753" s="1">
        <v>38349</v>
      </c>
      <c r="G753" t="s">
        <v>88</v>
      </c>
      <c r="H753" t="s">
        <v>74</v>
      </c>
      <c r="I753">
        <v>500</v>
      </c>
      <c r="J753">
        <v>1155.3800000000001</v>
      </c>
      <c r="K753">
        <v>0</v>
      </c>
      <c r="L753">
        <v>604952</v>
      </c>
      <c r="M753" t="s">
        <v>75</v>
      </c>
      <c r="N753" t="s">
        <v>76</v>
      </c>
      <c r="O753" t="s">
        <v>164</v>
      </c>
      <c r="P753" t="s">
        <v>151</v>
      </c>
      <c r="Q753" t="s">
        <v>147</v>
      </c>
      <c r="R753">
        <v>34200</v>
      </c>
      <c r="S753">
        <v>-32300</v>
      </c>
      <c r="T753" s="1">
        <v>42032</v>
      </c>
      <c r="U753" t="s">
        <v>51</v>
      </c>
      <c r="V753" t="s">
        <v>52</v>
      </c>
      <c r="W753" t="s">
        <v>68</v>
      </c>
      <c r="X753" t="s">
        <v>104</v>
      </c>
      <c r="Y753" t="s">
        <v>82</v>
      </c>
      <c r="Z753" t="s">
        <v>56</v>
      </c>
      <c r="AA753" t="s">
        <v>935</v>
      </c>
      <c r="AB753">
        <v>6</v>
      </c>
      <c r="AC753" t="str">
        <f t="shared" si="34"/>
        <v>Morning</v>
      </c>
      <c r="AD753">
        <v>1</v>
      </c>
      <c r="AE753" t="s">
        <v>84</v>
      </c>
      <c r="AF753">
        <v>0</v>
      </c>
      <c r="AG753">
        <v>0</v>
      </c>
      <c r="AH753" t="s">
        <v>58</v>
      </c>
      <c r="AI753">
        <v>63900</v>
      </c>
      <c r="AJ753">
        <v>6390</v>
      </c>
      <c r="AK753">
        <v>6390</v>
      </c>
      <c r="AL753">
        <v>51120</v>
      </c>
      <c r="AM753" t="s">
        <v>100</v>
      </c>
      <c r="AN753" t="s">
        <v>163</v>
      </c>
      <c r="AO753">
        <v>2015</v>
      </c>
      <c r="AP753">
        <v>2001</v>
      </c>
      <c r="AQ753">
        <f t="shared" si="35"/>
        <v>14</v>
      </c>
      <c r="AR753" t="s">
        <v>87</v>
      </c>
    </row>
    <row r="754" spans="1:44" x14ac:dyDescent="0.25">
      <c r="A754">
        <v>405</v>
      </c>
      <c r="B754" t="str">
        <f t="shared" si="33"/>
        <v>10+ years</v>
      </c>
      <c r="C754">
        <v>55</v>
      </c>
      <c r="D754" t="str" cm="1">
        <f t="array" ref="D754">_xlfn.IFS(C754&lt;26, "19-25", C754&lt;33, "26-32", C754&lt;40, "33-39", C754&lt;47, "40-46",C754&lt;54, "47-53", TRUE, "54+")</f>
        <v>54+</v>
      </c>
      <c r="E754">
        <v>250162</v>
      </c>
      <c r="F754" s="1">
        <v>36346</v>
      </c>
      <c r="G754" t="s">
        <v>88</v>
      </c>
      <c r="H754" t="s">
        <v>45</v>
      </c>
      <c r="I754">
        <v>500</v>
      </c>
      <c r="J754">
        <v>878.19</v>
      </c>
      <c r="K754">
        <v>0</v>
      </c>
      <c r="L754">
        <v>441533</v>
      </c>
      <c r="M754" t="s">
        <v>46</v>
      </c>
      <c r="N754" t="s">
        <v>76</v>
      </c>
      <c r="O754" t="s">
        <v>63</v>
      </c>
      <c r="P754" t="s">
        <v>117</v>
      </c>
      <c r="Q754" t="s">
        <v>90</v>
      </c>
      <c r="R754">
        <v>57100</v>
      </c>
      <c r="S754">
        <v>0</v>
      </c>
      <c r="T754" s="1">
        <v>42064</v>
      </c>
      <c r="U754" t="s">
        <v>80</v>
      </c>
      <c r="V754" t="s">
        <v>81</v>
      </c>
      <c r="W754" t="s">
        <v>68</v>
      </c>
      <c r="X754" t="s">
        <v>104</v>
      </c>
      <c r="Y754" t="s">
        <v>126</v>
      </c>
      <c r="Z754" t="s">
        <v>132</v>
      </c>
      <c r="AA754" t="s">
        <v>936</v>
      </c>
      <c r="AB754">
        <v>2</v>
      </c>
      <c r="AC754" t="str">
        <f t="shared" si="34"/>
        <v>Night</v>
      </c>
      <c r="AD754">
        <v>4</v>
      </c>
      <c r="AE754" t="s">
        <v>58</v>
      </c>
      <c r="AF754">
        <v>0</v>
      </c>
      <c r="AG754">
        <v>2</v>
      </c>
      <c r="AH754" t="s">
        <v>84</v>
      </c>
      <c r="AI754">
        <v>38640</v>
      </c>
      <c r="AJ754">
        <v>4830</v>
      </c>
      <c r="AK754">
        <v>4830</v>
      </c>
      <c r="AL754">
        <v>28980</v>
      </c>
      <c r="AM754" t="s">
        <v>94</v>
      </c>
      <c r="AN754" t="s">
        <v>95</v>
      </c>
      <c r="AO754">
        <v>2015</v>
      </c>
      <c r="AP754">
        <v>1997</v>
      </c>
      <c r="AQ754">
        <f t="shared" si="35"/>
        <v>18</v>
      </c>
      <c r="AR754" t="s">
        <v>87</v>
      </c>
    </row>
    <row r="755" spans="1:44" x14ac:dyDescent="0.25">
      <c r="A755">
        <v>435</v>
      </c>
      <c r="B755" t="str">
        <f t="shared" si="33"/>
        <v>10+ years</v>
      </c>
      <c r="C755">
        <v>58</v>
      </c>
      <c r="D755" t="str" cm="1">
        <f t="array" ref="D755">_xlfn.IFS(C755&lt;26, "19-25", C755&lt;33, "26-32", C755&lt;40, "33-39", C755&lt;47, "40-46",C755&lt;54, "47-53", TRUE, "54+")</f>
        <v>54+</v>
      </c>
      <c r="E755">
        <v>786432</v>
      </c>
      <c r="F755" s="1">
        <v>35749</v>
      </c>
      <c r="G755" t="s">
        <v>62</v>
      </c>
      <c r="H755" t="s">
        <v>74</v>
      </c>
      <c r="I755">
        <v>2000</v>
      </c>
      <c r="J755">
        <v>1145.8499999999999</v>
      </c>
      <c r="K755">
        <v>0</v>
      </c>
      <c r="L755">
        <v>471784</v>
      </c>
      <c r="M755" t="s">
        <v>46</v>
      </c>
      <c r="N755" t="s">
        <v>166</v>
      </c>
      <c r="O755" t="s">
        <v>77</v>
      </c>
      <c r="P755" t="s">
        <v>151</v>
      </c>
      <c r="Q755" t="s">
        <v>147</v>
      </c>
      <c r="R755">
        <v>0</v>
      </c>
      <c r="S755">
        <v>-40000</v>
      </c>
      <c r="T755" s="1">
        <v>42014</v>
      </c>
      <c r="U755" t="s">
        <v>80</v>
      </c>
      <c r="V755" t="s">
        <v>81</v>
      </c>
      <c r="W755" t="s">
        <v>112</v>
      </c>
      <c r="X755" t="s">
        <v>125</v>
      </c>
      <c r="Y755" t="s">
        <v>82</v>
      </c>
      <c r="Z755" t="s">
        <v>56</v>
      </c>
      <c r="AA755" t="s">
        <v>937</v>
      </c>
      <c r="AB755">
        <v>19</v>
      </c>
      <c r="AC755" t="str">
        <f t="shared" si="34"/>
        <v>Evening</v>
      </c>
      <c r="AD755">
        <v>3</v>
      </c>
      <c r="AE755" t="s">
        <v>67</v>
      </c>
      <c r="AF755">
        <v>1</v>
      </c>
      <c r="AG755">
        <v>1</v>
      </c>
      <c r="AH755" t="s">
        <v>58</v>
      </c>
      <c r="AI755">
        <v>41490</v>
      </c>
      <c r="AJ755">
        <v>9220</v>
      </c>
      <c r="AK755">
        <v>4610</v>
      </c>
      <c r="AL755">
        <v>27660</v>
      </c>
      <c r="AM755" t="s">
        <v>72</v>
      </c>
      <c r="AN755" t="s">
        <v>73</v>
      </c>
      <c r="AO755">
        <v>2015</v>
      </c>
      <c r="AP755">
        <v>2004</v>
      </c>
      <c r="AQ755">
        <f t="shared" si="35"/>
        <v>11</v>
      </c>
      <c r="AR755" t="s">
        <v>87</v>
      </c>
    </row>
    <row r="756" spans="1:44" x14ac:dyDescent="0.25">
      <c r="A756">
        <v>54</v>
      </c>
      <c r="B756" t="str">
        <f t="shared" si="33"/>
        <v>2-5 years</v>
      </c>
      <c r="C756">
        <v>35</v>
      </c>
      <c r="D756" t="str" cm="1">
        <f t="array" ref="D756">_xlfn.IFS(C756&lt;26, "19-25", C756&lt;33, "26-32", C756&lt;40, "33-39", C756&lt;47, "40-46",C756&lt;54, "47-53", TRUE, "54+")</f>
        <v>33-39</v>
      </c>
      <c r="E756">
        <v>445195</v>
      </c>
      <c r="F756" s="1">
        <v>40448</v>
      </c>
      <c r="G756" t="s">
        <v>62</v>
      </c>
      <c r="H756" t="s">
        <v>74</v>
      </c>
      <c r="I756">
        <v>500</v>
      </c>
      <c r="J756">
        <v>1261.28</v>
      </c>
      <c r="K756">
        <v>0</v>
      </c>
      <c r="L756">
        <v>453265</v>
      </c>
      <c r="M756" t="s">
        <v>75</v>
      </c>
      <c r="N756" t="s">
        <v>47</v>
      </c>
      <c r="O756" t="s">
        <v>140</v>
      </c>
      <c r="P756" t="s">
        <v>154</v>
      </c>
      <c r="Q756" t="s">
        <v>90</v>
      </c>
      <c r="R756">
        <v>68500</v>
      </c>
      <c r="S756">
        <v>-42100</v>
      </c>
      <c r="T756" s="1">
        <v>42060</v>
      </c>
      <c r="U756" t="s">
        <v>80</v>
      </c>
      <c r="V756" t="s">
        <v>52</v>
      </c>
      <c r="W756" t="s">
        <v>68</v>
      </c>
      <c r="X756" t="s">
        <v>104</v>
      </c>
      <c r="Y756" t="s">
        <v>69</v>
      </c>
      <c r="Z756" t="s">
        <v>107</v>
      </c>
      <c r="AA756" t="s">
        <v>938</v>
      </c>
      <c r="AB756">
        <v>21</v>
      </c>
      <c r="AC756" t="str">
        <f t="shared" si="34"/>
        <v>Evening</v>
      </c>
      <c r="AD756">
        <v>3</v>
      </c>
      <c r="AE756" t="s">
        <v>58</v>
      </c>
      <c r="AF756">
        <v>2</v>
      </c>
      <c r="AG756">
        <v>0</v>
      </c>
      <c r="AH756" t="s">
        <v>67</v>
      </c>
      <c r="AI756">
        <v>79090</v>
      </c>
      <c r="AJ756">
        <v>14380</v>
      </c>
      <c r="AK756">
        <v>7190</v>
      </c>
      <c r="AL756">
        <v>57520</v>
      </c>
      <c r="AM756" t="s">
        <v>109</v>
      </c>
      <c r="AN756" t="s">
        <v>156</v>
      </c>
      <c r="AO756">
        <v>2015</v>
      </c>
      <c r="AP756">
        <v>2012</v>
      </c>
      <c r="AQ756">
        <f t="shared" si="35"/>
        <v>3</v>
      </c>
      <c r="AR756" t="s">
        <v>87</v>
      </c>
    </row>
    <row r="757" spans="1:44" x14ac:dyDescent="0.25">
      <c r="A757">
        <v>144</v>
      </c>
      <c r="B757" t="str">
        <f t="shared" si="33"/>
        <v>10+ years</v>
      </c>
      <c r="C757">
        <v>35</v>
      </c>
      <c r="D757" t="str" cm="1">
        <f t="array" ref="D757">_xlfn.IFS(C757&lt;26, "19-25", C757&lt;33, "26-32", C757&lt;40, "33-39", C757&lt;47, "40-46",C757&lt;54, "47-53", TRUE, "54+")</f>
        <v>33-39</v>
      </c>
      <c r="E757">
        <v>938634</v>
      </c>
      <c r="F757" s="1">
        <v>34211</v>
      </c>
      <c r="G757" t="s">
        <v>88</v>
      </c>
      <c r="H757" t="s">
        <v>74</v>
      </c>
      <c r="I757">
        <v>500</v>
      </c>
      <c r="J757">
        <v>1427.46</v>
      </c>
      <c r="K757">
        <v>0</v>
      </c>
      <c r="L757">
        <v>444922</v>
      </c>
      <c r="M757" t="s">
        <v>46</v>
      </c>
      <c r="N757" t="s">
        <v>136</v>
      </c>
      <c r="O757" t="s">
        <v>63</v>
      </c>
      <c r="P757" t="s">
        <v>247</v>
      </c>
      <c r="Q757" t="s">
        <v>124</v>
      </c>
      <c r="R757">
        <v>0</v>
      </c>
      <c r="S757">
        <v>0</v>
      </c>
      <c r="T757" s="1">
        <v>42034</v>
      </c>
      <c r="U757" t="s">
        <v>80</v>
      </c>
      <c r="V757" t="s">
        <v>52</v>
      </c>
      <c r="W757" t="s">
        <v>53</v>
      </c>
      <c r="X757" t="s">
        <v>54</v>
      </c>
      <c r="Y757" t="s">
        <v>118</v>
      </c>
      <c r="Z757" t="s">
        <v>107</v>
      </c>
      <c r="AA757" t="s">
        <v>939</v>
      </c>
      <c r="AB757">
        <v>3</v>
      </c>
      <c r="AC757" t="str">
        <f t="shared" si="34"/>
        <v>Night</v>
      </c>
      <c r="AD757">
        <v>3</v>
      </c>
      <c r="AE757" t="s">
        <v>67</v>
      </c>
      <c r="AF757">
        <v>0</v>
      </c>
      <c r="AG757">
        <v>0</v>
      </c>
      <c r="AH757" t="s">
        <v>67</v>
      </c>
      <c r="AI757">
        <v>87900</v>
      </c>
      <c r="AJ757">
        <v>17580</v>
      </c>
      <c r="AK757">
        <v>8790</v>
      </c>
      <c r="AL757">
        <v>61530</v>
      </c>
      <c r="AM757" t="s">
        <v>85</v>
      </c>
      <c r="AN757" t="s">
        <v>149</v>
      </c>
      <c r="AO757">
        <v>2015</v>
      </c>
      <c r="AP757">
        <v>1995</v>
      </c>
      <c r="AQ757">
        <f t="shared" si="35"/>
        <v>20</v>
      </c>
      <c r="AR757" t="s">
        <v>87</v>
      </c>
    </row>
    <row r="758" spans="1:44" x14ac:dyDescent="0.25">
      <c r="A758">
        <v>92</v>
      </c>
      <c r="B758" t="str">
        <f t="shared" si="33"/>
        <v>5-10 years</v>
      </c>
      <c r="C758">
        <v>32</v>
      </c>
      <c r="D758" t="str" cm="1">
        <f t="array" ref="D758">_xlfn.IFS(C758&lt;26, "19-25", C758&lt;33, "26-32", C758&lt;40, "33-39", C758&lt;47, "40-46",C758&lt;54, "47-53", TRUE, "54+")</f>
        <v>26-32</v>
      </c>
      <c r="E758">
        <v>482495</v>
      </c>
      <c r="F758" s="1">
        <v>35824</v>
      </c>
      <c r="G758" t="s">
        <v>88</v>
      </c>
      <c r="H758" t="s">
        <v>96</v>
      </c>
      <c r="I758">
        <v>500</v>
      </c>
      <c r="J758">
        <v>1592.41</v>
      </c>
      <c r="K758">
        <v>0</v>
      </c>
      <c r="L758">
        <v>474324</v>
      </c>
      <c r="M758" t="s">
        <v>46</v>
      </c>
      <c r="N758" t="s">
        <v>129</v>
      </c>
      <c r="O758" t="s">
        <v>106</v>
      </c>
      <c r="P758" t="s">
        <v>160</v>
      </c>
      <c r="Q758" t="s">
        <v>50</v>
      </c>
      <c r="R758">
        <v>58900</v>
      </c>
      <c r="S758">
        <v>-29100</v>
      </c>
      <c r="T758" s="1">
        <v>42041</v>
      </c>
      <c r="U758" t="s">
        <v>51</v>
      </c>
      <c r="V758" t="s">
        <v>81</v>
      </c>
      <c r="W758" t="s">
        <v>112</v>
      </c>
      <c r="X758" t="s">
        <v>141</v>
      </c>
      <c r="Y758" t="s">
        <v>118</v>
      </c>
      <c r="Z758" t="s">
        <v>56</v>
      </c>
      <c r="AA758" t="s">
        <v>940</v>
      </c>
      <c r="AB758">
        <v>22</v>
      </c>
      <c r="AC758" t="str">
        <f t="shared" si="34"/>
        <v>Evening</v>
      </c>
      <c r="AD758">
        <v>1</v>
      </c>
      <c r="AE758" t="s">
        <v>67</v>
      </c>
      <c r="AF758">
        <v>2</v>
      </c>
      <c r="AG758">
        <v>3</v>
      </c>
      <c r="AH758" t="s">
        <v>58</v>
      </c>
      <c r="AI758">
        <v>53400</v>
      </c>
      <c r="AJ758">
        <v>5340</v>
      </c>
      <c r="AK758">
        <v>5340</v>
      </c>
      <c r="AL758">
        <v>42720</v>
      </c>
      <c r="AM758" t="s">
        <v>202</v>
      </c>
      <c r="AN758" t="s">
        <v>203</v>
      </c>
      <c r="AO758">
        <v>2015</v>
      </c>
      <c r="AP758">
        <v>1996</v>
      </c>
      <c r="AQ758">
        <f t="shared" si="35"/>
        <v>19</v>
      </c>
      <c r="AR758" t="s">
        <v>87</v>
      </c>
    </row>
    <row r="759" spans="1:44" x14ac:dyDescent="0.25">
      <c r="A759">
        <v>173</v>
      </c>
      <c r="B759" t="str">
        <f t="shared" si="33"/>
        <v>10+ years</v>
      </c>
      <c r="C759">
        <v>36</v>
      </c>
      <c r="D759" t="str" cm="1">
        <f t="array" ref="D759">_xlfn.IFS(C759&lt;26, "19-25", C759&lt;33, "26-32", C759&lt;40, "33-39", C759&lt;47, "40-46",C759&lt;54, "47-53", TRUE, "54+")</f>
        <v>33-39</v>
      </c>
      <c r="E759">
        <v>796005</v>
      </c>
      <c r="F759" s="1">
        <v>39312</v>
      </c>
      <c r="G759" t="s">
        <v>44</v>
      </c>
      <c r="H759" t="s">
        <v>45</v>
      </c>
      <c r="I759">
        <v>1000</v>
      </c>
      <c r="J759">
        <v>1274.6300000000001</v>
      </c>
      <c r="K759">
        <v>0</v>
      </c>
      <c r="L759">
        <v>441298</v>
      </c>
      <c r="M759" t="s">
        <v>46</v>
      </c>
      <c r="N759" t="s">
        <v>146</v>
      </c>
      <c r="O759" t="s">
        <v>63</v>
      </c>
      <c r="P759" t="s">
        <v>184</v>
      </c>
      <c r="Q759" t="s">
        <v>90</v>
      </c>
      <c r="R759">
        <v>51000</v>
      </c>
      <c r="S759">
        <v>0</v>
      </c>
      <c r="T759" s="1">
        <v>42043</v>
      </c>
      <c r="U759" t="s">
        <v>51</v>
      </c>
      <c r="V759" t="s">
        <v>81</v>
      </c>
      <c r="W759" t="s">
        <v>112</v>
      </c>
      <c r="X759" t="s">
        <v>104</v>
      </c>
      <c r="Y759" t="s">
        <v>55</v>
      </c>
      <c r="Z759" t="s">
        <v>107</v>
      </c>
      <c r="AA759" t="s">
        <v>941</v>
      </c>
      <c r="AB759">
        <v>22</v>
      </c>
      <c r="AC759" t="str">
        <f t="shared" si="34"/>
        <v>Evening</v>
      </c>
      <c r="AD759">
        <v>1</v>
      </c>
      <c r="AE759" t="s">
        <v>58</v>
      </c>
      <c r="AF759">
        <v>2</v>
      </c>
      <c r="AG759">
        <v>3</v>
      </c>
      <c r="AH759" t="s">
        <v>84</v>
      </c>
      <c r="AI759">
        <v>52030</v>
      </c>
      <c r="AJ759">
        <v>9460</v>
      </c>
      <c r="AK759">
        <v>9460</v>
      </c>
      <c r="AL759">
        <v>33110</v>
      </c>
      <c r="AM759" t="s">
        <v>100</v>
      </c>
      <c r="AN759" t="s">
        <v>153</v>
      </c>
      <c r="AO759">
        <v>2015</v>
      </c>
      <c r="AP759">
        <v>1995</v>
      </c>
      <c r="AQ759">
        <f t="shared" si="35"/>
        <v>20</v>
      </c>
      <c r="AR759" t="s">
        <v>87</v>
      </c>
    </row>
    <row r="760" spans="1:44" x14ac:dyDescent="0.25">
      <c r="A760">
        <v>436</v>
      </c>
      <c r="B760" t="str">
        <f t="shared" si="33"/>
        <v>10+ years</v>
      </c>
      <c r="C760">
        <v>60</v>
      </c>
      <c r="D760" t="str" cm="1">
        <f t="array" ref="D760">_xlfn.IFS(C760&lt;26, "19-25", C760&lt;33, "26-32", C760&lt;40, "33-39", C760&lt;47, "40-46",C760&lt;54, "47-53", TRUE, "54+")</f>
        <v>54+</v>
      </c>
      <c r="E760">
        <v>910604</v>
      </c>
      <c r="F760" s="1">
        <v>33708</v>
      </c>
      <c r="G760" t="s">
        <v>62</v>
      </c>
      <c r="H760" t="s">
        <v>45</v>
      </c>
      <c r="I760">
        <v>500</v>
      </c>
      <c r="J760">
        <v>1362.31</v>
      </c>
      <c r="K760">
        <v>0</v>
      </c>
      <c r="L760">
        <v>446606</v>
      </c>
      <c r="M760" t="s">
        <v>46</v>
      </c>
      <c r="N760" t="s">
        <v>136</v>
      </c>
      <c r="O760" t="s">
        <v>106</v>
      </c>
      <c r="P760" t="s">
        <v>103</v>
      </c>
      <c r="Q760" t="s">
        <v>124</v>
      </c>
      <c r="R760">
        <v>67600</v>
      </c>
      <c r="S760">
        <v>-65300</v>
      </c>
      <c r="T760" s="1">
        <v>42017</v>
      </c>
      <c r="U760" t="s">
        <v>51</v>
      </c>
      <c r="V760" t="s">
        <v>91</v>
      </c>
      <c r="W760" t="s">
        <v>68</v>
      </c>
      <c r="X760" t="s">
        <v>141</v>
      </c>
      <c r="Y760" t="s">
        <v>69</v>
      </c>
      <c r="Z760" t="s">
        <v>92</v>
      </c>
      <c r="AA760" t="s">
        <v>942</v>
      </c>
      <c r="AB760">
        <v>16</v>
      </c>
      <c r="AC760" t="str">
        <f t="shared" si="34"/>
        <v>Afternoon</v>
      </c>
      <c r="AD760">
        <v>1</v>
      </c>
      <c r="AE760" t="s">
        <v>84</v>
      </c>
      <c r="AF760">
        <v>0</v>
      </c>
      <c r="AG760">
        <v>2</v>
      </c>
      <c r="AH760" t="s">
        <v>84</v>
      </c>
      <c r="AI760">
        <v>82060</v>
      </c>
      <c r="AJ760">
        <v>14920</v>
      </c>
      <c r="AK760">
        <v>7460</v>
      </c>
      <c r="AL760">
        <v>59680</v>
      </c>
      <c r="AM760" t="s">
        <v>59</v>
      </c>
      <c r="AN760">
        <v>93</v>
      </c>
      <c r="AO760">
        <v>2015</v>
      </c>
      <c r="AP760">
        <v>2005</v>
      </c>
      <c r="AQ760">
        <f t="shared" si="35"/>
        <v>10</v>
      </c>
      <c r="AR760" t="s">
        <v>87</v>
      </c>
    </row>
    <row r="761" spans="1:44" x14ac:dyDescent="0.25">
      <c r="A761">
        <v>155</v>
      </c>
      <c r="B761" t="str">
        <f t="shared" si="33"/>
        <v>10+ years</v>
      </c>
      <c r="C761">
        <v>35</v>
      </c>
      <c r="D761" t="str" cm="1">
        <f t="array" ref="D761">_xlfn.IFS(C761&lt;26, "19-25", C761&lt;33, "26-32", C761&lt;40, "33-39", C761&lt;47, "40-46",C761&lt;54, "47-53", TRUE, "54+")</f>
        <v>33-39</v>
      </c>
      <c r="E761">
        <v>327488</v>
      </c>
      <c r="F761" s="1">
        <v>34190</v>
      </c>
      <c r="G761" t="s">
        <v>44</v>
      </c>
      <c r="H761" t="s">
        <v>45</v>
      </c>
      <c r="I761">
        <v>1000</v>
      </c>
      <c r="J761">
        <v>919.37</v>
      </c>
      <c r="K761">
        <v>0</v>
      </c>
      <c r="L761">
        <v>459537</v>
      </c>
      <c r="M761" t="s">
        <v>75</v>
      </c>
      <c r="N761" t="s">
        <v>97</v>
      </c>
      <c r="O761" t="s">
        <v>140</v>
      </c>
      <c r="P761" t="s">
        <v>154</v>
      </c>
      <c r="Q761" t="s">
        <v>147</v>
      </c>
      <c r="R761">
        <v>83600</v>
      </c>
      <c r="S761">
        <v>0</v>
      </c>
      <c r="T761" s="1">
        <v>42022</v>
      </c>
      <c r="U761" t="s">
        <v>51</v>
      </c>
      <c r="V761" t="s">
        <v>91</v>
      </c>
      <c r="W761" t="s">
        <v>68</v>
      </c>
      <c r="X761" t="s">
        <v>141</v>
      </c>
      <c r="Y761" t="s">
        <v>82</v>
      </c>
      <c r="Z761" t="s">
        <v>161</v>
      </c>
      <c r="AA761" t="s">
        <v>943</v>
      </c>
      <c r="AB761">
        <v>0</v>
      </c>
      <c r="AC761" t="str">
        <f t="shared" si="34"/>
        <v>Night</v>
      </c>
      <c r="AD761">
        <v>1</v>
      </c>
      <c r="AE761" t="s">
        <v>67</v>
      </c>
      <c r="AF761">
        <v>0</v>
      </c>
      <c r="AG761">
        <v>3</v>
      </c>
      <c r="AH761" t="s">
        <v>67</v>
      </c>
      <c r="AI761">
        <v>48360</v>
      </c>
      <c r="AJ761">
        <v>8060</v>
      </c>
      <c r="AK761">
        <v>8060</v>
      </c>
      <c r="AL761">
        <v>32240</v>
      </c>
      <c r="AM761" t="s">
        <v>109</v>
      </c>
      <c r="AN761" t="s">
        <v>156</v>
      </c>
      <c r="AO761">
        <v>2015</v>
      </c>
      <c r="AP761">
        <v>1997</v>
      </c>
      <c r="AQ761">
        <f t="shared" si="35"/>
        <v>18</v>
      </c>
      <c r="AR761" t="s">
        <v>87</v>
      </c>
    </row>
    <row r="762" spans="1:44" x14ac:dyDescent="0.25">
      <c r="A762">
        <v>78</v>
      </c>
      <c r="B762" t="str">
        <f t="shared" si="33"/>
        <v>5-10 years</v>
      </c>
      <c r="C762">
        <v>31</v>
      </c>
      <c r="D762" t="str" cm="1">
        <f t="array" ref="D762">_xlfn.IFS(C762&lt;26, "19-25", C762&lt;33, "26-32", C762&lt;40, "33-39", C762&lt;47, "40-46",C762&lt;54, "47-53", TRUE, "54+")</f>
        <v>26-32</v>
      </c>
      <c r="E762">
        <v>715202</v>
      </c>
      <c r="F762" s="1">
        <v>33330</v>
      </c>
      <c r="G762" t="s">
        <v>44</v>
      </c>
      <c r="H762" t="s">
        <v>45</v>
      </c>
      <c r="I762">
        <v>1000</v>
      </c>
      <c r="J762">
        <v>1377.23</v>
      </c>
      <c r="K762">
        <v>0</v>
      </c>
      <c r="L762">
        <v>440757</v>
      </c>
      <c r="M762" t="s">
        <v>75</v>
      </c>
      <c r="N762" t="s">
        <v>129</v>
      </c>
      <c r="O762" t="s">
        <v>89</v>
      </c>
      <c r="P762" t="s">
        <v>175</v>
      </c>
      <c r="Q762" t="s">
        <v>90</v>
      </c>
      <c r="R762">
        <v>72600</v>
      </c>
      <c r="S762">
        <v>0</v>
      </c>
      <c r="T762" s="1">
        <v>42064</v>
      </c>
      <c r="U762" t="s">
        <v>80</v>
      </c>
      <c r="V762" t="s">
        <v>52</v>
      </c>
      <c r="W762" t="s">
        <v>68</v>
      </c>
      <c r="X762" t="s">
        <v>125</v>
      </c>
      <c r="Y762" t="s">
        <v>82</v>
      </c>
      <c r="Z762" t="s">
        <v>127</v>
      </c>
      <c r="AA762" t="s">
        <v>944</v>
      </c>
      <c r="AB762">
        <v>1</v>
      </c>
      <c r="AC762" t="str">
        <f t="shared" si="34"/>
        <v>Night</v>
      </c>
      <c r="AD762">
        <v>3</v>
      </c>
      <c r="AE762" t="s">
        <v>67</v>
      </c>
      <c r="AF762">
        <v>2</v>
      </c>
      <c r="AG762">
        <v>1</v>
      </c>
      <c r="AH762" t="s">
        <v>67</v>
      </c>
      <c r="AI762">
        <v>52290</v>
      </c>
      <c r="AJ762">
        <v>5810</v>
      </c>
      <c r="AK762">
        <v>11620</v>
      </c>
      <c r="AL762">
        <v>34860</v>
      </c>
      <c r="AM762" t="s">
        <v>109</v>
      </c>
      <c r="AN762" t="s">
        <v>156</v>
      </c>
      <c r="AO762">
        <v>2015</v>
      </c>
      <c r="AP762">
        <v>1997</v>
      </c>
      <c r="AQ762">
        <f t="shared" si="35"/>
        <v>18</v>
      </c>
      <c r="AR762" t="s">
        <v>87</v>
      </c>
    </row>
    <row r="763" spans="1:44" x14ac:dyDescent="0.25">
      <c r="A763">
        <v>440</v>
      </c>
      <c r="B763" t="str">
        <f t="shared" si="33"/>
        <v>10+ years</v>
      </c>
      <c r="C763">
        <v>57</v>
      </c>
      <c r="D763" t="str" cm="1">
        <f t="array" ref="D763">_xlfn.IFS(C763&lt;26, "19-25", C763&lt;33, "26-32", C763&lt;40, "33-39", C763&lt;47, "40-46",C763&lt;54, "47-53", TRUE, "54+")</f>
        <v>54+</v>
      </c>
      <c r="E763">
        <v>648852</v>
      </c>
      <c r="F763" s="1">
        <v>39156</v>
      </c>
      <c r="G763" t="s">
        <v>88</v>
      </c>
      <c r="H763" t="s">
        <v>74</v>
      </c>
      <c r="I763">
        <v>1000</v>
      </c>
      <c r="J763">
        <v>995.55</v>
      </c>
      <c r="K763">
        <v>5000000</v>
      </c>
      <c r="L763">
        <v>604948</v>
      </c>
      <c r="M763" t="s">
        <v>46</v>
      </c>
      <c r="N763" t="s">
        <v>146</v>
      </c>
      <c r="O763" t="s">
        <v>140</v>
      </c>
      <c r="P763" t="s">
        <v>170</v>
      </c>
      <c r="Q763" t="s">
        <v>124</v>
      </c>
      <c r="R763">
        <v>51500</v>
      </c>
      <c r="S763">
        <v>-52100</v>
      </c>
      <c r="T763" s="1">
        <v>42037</v>
      </c>
      <c r="U763" t="s">
        <v>80</v>
      </c>
      <c r="V763" t="s">
        <v>81</v>
      </c>
      <c r="W763" t="s">
        <v>53</v>
      </c>
      <c r="X763" t="s">
        <v>54</v>
      </c>
      <c r="Y763" t="s">
        <v>55</v>
      </c>
      <c r="Z763" t="s">
        <v>92</v>
      </c>
      <c r="AA763" t="s">
        <v>945</v>
      </c>
      <c r="AB763">
        <v>19</v>
      </c>
      <c r="AC763" t="str">
        <f t="shared" si="34"/>
        <v>Evening</v>
      </c>
      <c r="AD763">
        <v>3</v>
      </c>
      <c r="AE763" t="s">
        <v>58</v>
      </c>
      <c r="AF763">
        <v>0</v>
      </c>
      <c r="AG763">
        <v>3</v>
      </c>
      <c r="AH763" t="s">
        <v>67</v>
      </c>
      <c r="AI763">
        <v>68200</v>
      </c>
      <c r="AJ763">
        <v>12400</v>
      </c>
      <c r="AK763">
        <v>12400</v>
      </c>
      <c r="AL763">
        <v>43400</v>
      </c>
      <c r="AM763" t="s">
        <v>202</v>
      </c>
      <c r="AN763" t="s">
        <v>203</v>
      </c>
      <c r="AO763">
        <v>2015</v>
      </c>
      <c r="AP763">
        <v>2007</v>
      </c>
      <c r="AQ763">
        <f t="shared" si="35"/>
        <v>8</v>
      </c>
      <c r="AR763" t="s">
        <v>61</v>
      </c>
    </row>
    <row r="764" spans="1:44" x14ac:dyDescent="0.25">
      <c r="A764">
        <v>264</v>
      </c>
      <c r="B764" t="str">
        <f t="shared" si="33"/>
        <v>10+ years</v>
      </c>
      <c r="C764">
        <v>43</v>
      </c>
      <c r="D764" t="str" cm="1">
        <f t="array" ref="D764">_xlfn.IFS(C764&lt;26, "19-25", C764&lt;33, "26-32", C764&lt;40, "33-39", C764&lt;47, "40-46",C764&lt;54, "47-53", TRUE, "54+")</f>
        <v>40-46</v>
      </c>
      <c r="E764">
        <v>516959</v>
      </c>
      <c r="F764" s="1">
        <v>40299</v>
      </c>
      <c r="G764" t="s">
        <v>88</v>
      </c>
      <c r="H764" t="s">
        <v>74</v>
      </c>
      <c r="I764">
        <v>500</v>
      </c>
      <c r="J764">
        <v>1508.12</v>
      </c>
      <c r="K764">
        <v>6000000</v>
      </c>
      <c r="L764">
        <v>433275</v>
      </c>
      <c r="M764" t="s">
        <v>46</v>
      </c>
      <c r="N764" t="s">
        <v>76</v>
      </c>
      <c r="O764" t="s">
        <v>48</v>
      </c>
      <c r="P764" t="s">
        <v>184</v>
      </c>
      <c r="Q764" t="s">
        <v>124</v>
      </c>
      <c r="R764">
        <v>0</v>
      </c>
      <c r="S764">
        <v>0</v>
      </c>
      <c r="T764" s="1">
        <v>42024</v>
      </c>
      <c r="U764" t="s">
        <v>80</v>
      </c>
      <c r="V764" t="s">
        <v>81</v>
      </c>
      <c r="W764" t="s">
        <v>53</v>
      </c>
      <c r="X764" t="s">
        <v>125</v>
      </c>
      <c r="Y764" t="s">
        <v>82</v>
      </c>
      <c r="Z764" t="s">
        <v>56</v>
      </c>
      <c r="AA764" t="s">
        <v>946</v>
      </c>
      <c r="AB764">
        <v>0</v>
      </c>
      <c r="AC764" t="str">
        <f t="shared" si="34"/>
        <v>Night</v>
      </c>
      <c r="AD764">
        <v>3</v>
      </c>
      <c r="AE764" t="s">
        <v>67</v>
      </c>
      <c r="AF764">
        <v>2</v>
      </c>
      <c r="AG764">
        <v>1</v>
      </c>
      <c r="AH764" t="s">
        <v>84</v>
      </c>
      <c r="AI764">
        <v>60750</v>
      </c>
      <c r="AJ764">
        <v>13500</v>
      </c>
      <c r="AK764">
        <v>6750</v>
      </c>
      <c r="AL764">
        <v>40500</v>
      </c>
      <c r="AM764" t="s">
        <v>202</v>
      </c>
      <c r="AN764" t="s">
        <v>203</v>
      </c>
      <c r="AO764">
        <v>2015</v>
      </c>
      <c r="AP764">
        <v>2015</v>
      </c>
      <c r="AQ764">
        <f t="shared" si="35"/>
        <v>0</v>
      </c>
      <c r="AR764" t="s">
        <v>61</v>
      </c>
    </row>
    <row r="765" spans="1:44" x14ac:dyDescent="0.25">
      <c r="A765">
        <v>66</v>
      </c>
      <c r="B765" t="str">
        <f t="shared" si="33"/>
        <v>5-10 years</v>
      </c>
      <c r="C765">
        <v>30</v>
      </c>
      <c r="D765" t="str" cm="1">
        <f t="array" ref="D765">_xlfn.IFS(C765&lt;26, "19-25", C765&lt;33, "26-32", C765&lt;40, "33-39", C765&lt;47, "40-46",C765&lt;54, "47-53", TRUE, "54+")</f>
        <v>26-32</v>
      </c>
      <c r="E765">
        <v>984456</v>
      </c>
      <c r="F765" s="1">
        <v>37796</v>
      </c>
      <c r="G765" t="s">
        <v>62</v>
      </c>
      <c r="H765" t="s">
        <v>96</v>
      </c>
      <c r="I765">
        <v>500</v>
      </c>
      <c r="J765">
        <v>484.67</v>
      </c>
      <c r="K765">
        <v>0</v>
      </c>
      <c r="L765">
        <v>608309</v>
      </c>
      <c r="M765" t="s">
        <v>75</v>
      </c>
      <c r="N765" t="s">
        <v>146</v>
      </c>
      <c r="O765" t="s">
        <v>190</v>
      </c>
      <c r="P765" t="s">
        <v>170</v>
      </c>
      <c r="Q765" t="s">
        <v>124</v>
      </c>
      <c r="R765">
        <v>21100</v>
      </c>
      <c r="S765">
        <v>-60800</v>
      </c>
      <c r="T765" s="1">
        <v>42028</v>
      </c>
      <c r="U765" t="s">
        <v>80</v>
      </c>
      <c r="V765" t="s">
        <v>91</v>
      </c>
      <c r="W765" t="s">
        <v>53</v>
      </c>
      <c r="X765" t="s">
        <v>104</v>
      </c>
      <c r="Y765" t="s">
        <v>55</v>
      </c>
      <c r="Z765" t="s">
        <v>92</v>
      </c>
      <c r="AA765" t="s">
        <v>947</v>
      </c>
      <c r="AB765">
        <v>2</v>
      </c>
      <c r="AC765" t="str">
        <f t="shared" si="34"/>
        <v>Night</v>
      </c>
      <c r="AD765">
        <v>3</v>
      </c>
      <c r="AE765" t="s">
        <v>67</v>
      </c>
      <c r="AF765">
        <v>0</v>
      </c>
      <c r="AG765">
        <v>2</v>
      </c>
      <c r="AH765" t="s">
        <v>58</v>
      </c>
      <c r="AI765">
        <v>65560</v>
      </c>
      <c r="AJ765">
        <v>11920</v>
      </c>
      <c r="AK765">
        <v>11920</v>
      </c>
      <c r="AL765">
        <v>41720</v>
      </c>
      <c r="AM765" t="s">
        <v>219</v>
      </c>
      <c r="AN765" t="s">
        <v>220</v>
      </c>
      <c r="AO765">
        <v>2015</v>
      </c>
      <c r="AP765">
        <v>2015</v>
      </c>
      <c r="AQ765">
        <f t="shared" si="35"/>
        <v>0</v>
      </c>
      <c r="AR765" t="s">
        <v>61</v>
      </c>
    </row>
    <row r="766" spans="1:44" x14ac:dyDescent="0.25">
      <c r="A766">
        <v>366</v>
      </c>
      <c r="B766" t="str">
        <f t="shared" si="33"/>
        <v>10+ years</v>
      </c>
      <c r="C766">
        <v>50</v>
      </c>
      <c r="D766" t="str" cm="1">
        <f t="array" ref="D766">_xlfn.IFS(C766&lt;26, "19-25", C766&lt;33, "26-32", C766&lt;40, "33-39", C766&lt;47, "40-46",C766&lt;54, "47-53", TRUE, "54+")</f>
        <v>47-53</v>
      </c>
      <c r="E766">
        <v>801331</v>
      </c>
      <c r="F766" s="1">
        <v>33062</v>
      </c>
      <c r="G766" t="s">
        <v>62</v>
      </c>
      <c r="H766" t="s">
        <v>96</v>
      </c>
      <c r="I766">
        <v>1000</v>
      </c>
      <c r="J766">
        <v>1561.41</v>
      </c>
      <c r="K766">
        <v>0</v>
      </c>
      <c r="L766">
        <v>462767</v>
      </c>
      <c r="M766" t="s">
        <v>75</v>
      </c>
      <c r="N766" t="s">
        <v>136</v>
      </c>
      <c r="O766" t="s">
        <v>164</v>
      </c>
      <c r="P766" t="s">
        <v>184</v>
      </c>
      <c r="Q766" t="s">
        <v>50</v>
      </c>
      <c r="R766">
        <v>21200</v>
      </c>
      <c r="S766">
        <v>0</v>
      </c>
      <c r="T766" s="1">
        <v>42008</v>
      </c>
      <c r="U766" t="s">
        <v>80</v>
      </c>
      <c r="V766" t="s">
        <v>81</v>
      </c>
      <c r="W766" t="s">
        <v>68</v>
      </c>
      <c r="X766" t="s">
        <v>54</v>
      </c>
      <c r="Y766" t="s">
        <v>82</v>
      </c>
      <c r="Z766" t="s">
        <v>92</v>
      </c>
      <c r="AA766" t="s">
        <v>948</v>
      </c>
      <c r="AB766">
        <v>5</v>
      </c>
      <c r="AC766" t="str">
        <f t="shared" si="34"/>
        <v>Night</v>
      </c>
      <c r="AD766">
        <v>3</v>
      </c>
      <c r="AE766" t="s">
        <v>58</v>
      </c>
      <c r="AF766">
        <v>1</v>
      </c>
      <c r="AG766">
        <v>3</v>
      </c>
      <c r="AH766" t="s">
        <v>84</v>
      </c>
      <c r="AI766">
        <v>70290</v>
      </c>
      <c r="AJ766">
        <v>12780</v>
      </c>
      <c r="AK766">
        <v>12780</v>
      </c>
      <c r="AL766">
        <v>44730</v>
      </c>
      <c r="AM766" t="s">
        <v>72</v>
      </c>
      <c r="AN766" t="s">
        <v>198</v>
      </c>
      <c r="AO766">
        <v>2015</v>
      </c>
      <c r="AP766">
        <v>2012</v>
      </c>
      <c r="AQ766">
        <f t="shared" si="35"/>
        <v>3</v>
      </c>
      <c r="AR766" t="s">
        <v>87</v>
      </c>
    </row>
    <row r="767" spans="1:44" x14ac:dyDescent="0.25">
      <c r="A767">
        <v>188</v>
      </c>
      <c r="B767" t="str">
        <f t="shared" si="33"/>
        <v>10+ years</v>
      </c>
      <c r="C767">
        <v>37</v>
      </c>
      <c r="D767" t="str" cm="1">
        <f t="array" ref="D767">_xlfn.IFS(C767&lt;26, "19-25", C767&lt;33, "26-32", C767&lt;40, "33-39", C767&lt;47, "40-46",C767&lt;54, "47-53", TRUE, "54+")</f>
        <v>33-39</v>
      </c>
      <c r="E767">
        <v>786103</v>
      </c>
      <c r="F767" s="1">
        <v>34601</v>
      </c>
      <c r="G767" t="s">
        <v>44</v>
      </c>
      <c r="H767" t="s">
        <v>74</v>
      </c>
      <c r="I767">
        <v>500</v>
      </c>
      <c r="J767">
        <v>1457.21</v>
      </c>
      <c r="K767">
        <v>0</v>
      </c>
      <c r="L767">
        <v>471785</v>
      </c>
      <c r="M767" t="s">
        <v>75</v>
      </c>
      <c r="N767" t="s">
        <v>166</v>
      </c>
      <c r="O767" t="s">
        <v>190</v>
      </c>
      <c r="P767" t="s">
        <v>154</v>
      </c>
      <c r="Q767" t="s">
        <v>79</v>
      </c>
      <c r="R767">
        <v>46300</v>
      </c>
      <c r="S767">
        <v>0</v>
      </c>
      <c r="T767" s="1">
        <v>42021</v>
      </c>
      <c r="U767" t="s">
        <v>51</v>
      </c>
      <c r="V767" t="s">
        <v>81</v>
      </c>
      <c r="W767" t="s">
        <v>112</v>
      </c>
      <c r="X767" t="s">
        <v>141</v>
      </c>
      <c r="Y767" t="s">
        <v>55</v>
      </c>
      <c r="Z767" t="s">
        <v>56</v>
      </c>
      <c r="AA767" t="s">
        <v>949</v>
      </c>
      <c r="AB767">
        <v>6</v>
      </c>
      <c r="AC767" t="str">
        <f t="shared" si="34"/>
        <v>Morning</v>
      </c>
      <c r="AD767">
        <v>1</v>
      </c>
      <c r="AE767" t="s">
        <v>67</v>
      </c>
      <c r="AF767">
        <v>2</v>
      </c>
      <c r="AG767">
        <v>0</v>
      </c>
      <c r="AH767" t="s">
        <v>58</v>
      </c>
      <c r="AI767">
        <v>45000</v>
      </c>
      <c r="AJ767">
        <v>5000</v>
      </c>
      <c r="AK767">
        <v>5000</v>
      </c>
      <c r="AL767">
        <v>35000</v>
      </c>
      <c r="AM767" t="s">
        <v>158</v>
      </c>
      <c r="AN767" t="s">
        <v>172</v>
      </c>
      <c r="AO767">
        <v>2015</v>
      </c>
      <c r="AP767">
        <v>2003</v>
      </c>
      <c r="AQ767">
        <f t="shared" si="35"/>
        <v>12</v>
      </c>
      <c r="AR767" t="s">
        <v>87</v>
      </c>
    </row>
    <row r="768" spans="1:44" x14ac:dyDescent="0.25">
      <c r="A768">
        <v>224</v>
      </c>
      <c r="B768" t="str">
        <f t="shared" si="33"/>
        <v>10+ years</v>
      </c>
      <c r="C768">
        <v>39</v>
      </c>
      <c r="D768" t="str" cm="1">
        <f t="array" ref="D768">_xlfn.IFS(C768&lt;26, "19-25", C768&lt;33, "26-32", C768&lt;40, "33-39", C768&lt;47, "40-46",C768&lt;54, "47-53", TRUE, "54+")</f>
        <v>33-39</v>
      </c>
      <c r="E768">
        <v>684193</v>
      </c>
      <c r="F768" s="1">
        <v>41080</v>
      </c>
      <c r="G768" t="s">
        <v>88</v>
      </c>
      <c r="H768" t="s">
        <v>96</v>
      </c>
      <c r="I768">
        <v>1000</v>
      </c>
      <c r="J768">
        <v>1128.71</v>
      </c>
      <c r="K768">
        <v>0</v>
      </c>
      <c r="L768">
        <v>601397</v>
      </c>
      <c r="M768" t="s">
        <v>75</v>
      </c>
      <c r="N768" t="s">
        <v>166</v>
      </c>
      <c r="O768" t="s">
        <v>106</v>
      </c>
      <c r="P768" t="s">
        <v>49</v>
      </c>
      <c r="Q768" t="s">
        <v>65</v>
      </c>
      <c r="R768">
        <v>0</v>
      </c>
      <c r="S768">
        <v>-47100</v>
      </c>
      <c r="T768" s="1">
        <v>42039</v>
      </c>
      <c r="U768" t="s">
        <v>80</v>
      </c>
      <c r="V768" t="s">
        <v>81</v>
      </c>
      <c r="W768" t="s">
        <v>112</v>
      </c>
      <c r="X768" t="s">
        <v>104</v>
      </c>
      <c r="Y768" t="s">
        <v>69</v>
      </c>
      <c r="Z768" t="s">
        <v>70</v>
      </c>
      <c r="AA768" t="s">
        <v>950</v>
      </c>
      <c r="AB768">
        <v>21</v>
      </c>
      <c r="AC768" t="str">
        <f t="shared" si="34"/>
        <v>Evening</v>
      </c>
      <c r="AD768">
        <v>3</v>
      </c>
      <c r="AE768" t="s">
        <v>58</v>
      </c>
      <c r="AF768">
        <v>2</v>
      </c>
      <c r="AG768">
        <v>1</v>
      </c>
      <c r="AH768" t="s">
        <v>67</v>
      </c>
      <c r="AI768">
        <v>61800</v>
      </c>
      <c r="AJ768">
        <v>12360</v>
      </c>
      <c r="AK768">
        <v>6180</v>
      </c>
      <c r="AL768">
        <v>43260</v>
      </c>
      <c r="AM768" t="s">
        <v>158</v>
      </c>
      <c r="AN768" t="s">
        <v>168</v>
      </c>
      <c r="AO768">
        <v>2015</v>
      </c>
      <c r="AP768">
        <v>2007</v>
      </c>
      <c r="AQ768">
        <f t="shared" si="35"/>
        <v>8</v>
      </c>
      <c r="AR768" t="s">
        <v>87</v>
      </c>
    </row>
    <row r="769" spans="1:44" x14ac:dyDescent="0.25">
      <c r="A769">
        <v>253</v>
      </c>
      <c r="B769" t="str">
        <f t="shared" si="33"/>
        <v>10+ years</v>
      </c>
      <c r="C769">
        <v>46</v>
      </c>
      <c r="D769" t="str" cm="1">
        <f t="array" ref="D769">_xlfn.IFS(C769&lt;26, "19-25", C769&lt;33, "26-32", C769&lt;40, "33-39", C769&lt;47, "40-46",C769&lt;54, "47-53", TRUE, "54+")</f>
        <v>40-46</v>
      </c>
      <c r="E769">
        <v>247505</v>
      </c>
      <c r="F769" s="1">
        <v>38826</v>
      </c>
      <c r="G769" t="s">
        <v>88</v>
      </c>
      <c r="H769" t="s">
        <v>74</v>
      </c>
      <c r="I769">
        <v>500</v>
      </c>
      <c r="J769">
        <v>1358.2</v>
      </c>
      <c r="K769">
        <v>0</v>
      </c>
      <c r="L769">
        <v>477636</v>
      </c>
      <c r="M769" t="s">
        <v>75</v>
      </c>
      <c r="N769" t="s">
        <v>47</v>
      </c>
      <c r="O769" t="s">
        <v>150</v>
      </c>
      <c r="P769" t="s">
        <v>151</v>
      </c>
      <c r="Q769" t="s">
        <v>50</v>
      </c>
      <c r="R769">
        <v>52900</v>
      </c>
      <c r="S769">
        <v>0</v>
      </c>
      <c r="T769" s="1">
        <v>42049</v>
      </c>
      <c r="U769" t="s">
        <v>80</v>
      </c>
      <c r="V769" t="s">
        <v>91</v>
      </c>
      <c r="W769" t="s">
        <v>53</v>
      </c>
      <c r="X769" t="s">
        <v>141</v>
      </c>
      <c r="Y769" t="s">
        <v>82</v>
      </c>
      <c r="Z769" t="s">
        <v>56</v>
      </c>
      <c r="AA769" t="s">
        <v>951</v>
      </c>
      <c r="AB769">
        <v>11</v>
      </c>
      <c r="AC769" t="str">
        <f t="shared" si="34"/>
        <v>Morning</v>
      </c>
      <c r="AD769">
        <v>3</v>
      </c>
      <c r="AE769" t="s">
        <v>58</v>
      </c>
      <c r="AF769">
        <v>0</v>
      </c>
      <c r="AG769">
        <v>0</v>
      </c>
      <c r="AH769" t="s">
        <v>84</v>
      </c>
      <c r="AI769">
        <v>64570</v>
      </c>
      <c r="AJ769">
        <v>5870</v>
      </c>
      <c r="AK769">
        <v>11740</v>
      </c>
      <c r="AL769">
        <v>46960</v>
      </c>
      <c r="AM769" t="s">
        <v>202</v>
      </c>
      <c r="AN769" t="s">
        <v>203</v>
      </c>
      <c r="AO769">
        <v>2015</v>
      </c>
      <c r="AP769">
        <v>2001</v>
      </c>
      <c r="AQ769">
        <f t="shared" si="35"/>
        <v>14</v>
      </c>
      <c r="AR769" t="s">
        <v>87</v>
      </c>
    </row>
    <row r="770" spans="1:44" x14ac:dyDescent="0.25">
      <c r="A770">
        <v>446</v>
      </c>
      <c r="B770" t="str">
        <f t="shared" si="33"/>
        <v>10+ years</v>
      </c>
      <c r="C770">
        <v>61</v>
      </c>
      <c r="D770" t="str" cm="1">
        <f t="array" ref="D770">_xlfn.IFS(C770&lt;26, "19-25", C770&lt;33, "26-32", C770&lt;40, "33-39", C770&lt;47, "40-46",C770&lt;54, "47-53", TRUE, "54+")</f>
        <v>54+</v>
      </c>
      <c r="E770">
        <v>259792</v>
      </c>
      <c r="F770" s="1">
        <v>36257</v>
      </c>
      <c r="G770" t="s">
        <v>88</v>
      </c>
      <c r="H770" t="s">
        <v>74</v>
      </c>
      <c r="I770">
        <v>1000</v>
      </c>
      <c r="J770">
        <v>1232.79</v>
      </c>
      <c r="K770">
        <v>0</v>
      </c>
      <c r="L770">
        <v>441967</v>
      </c>
      <c r="M770" t="s">
        <v>75</v>
      </c>
      <c r="N770" t="s">
        <v>136</v>
      </c>
      <c r="O770" t="s">
        <v>190</v>
      </c>
      <c r="P770" t="s">
        <v>64</v>
      </c>
      <c r="Q770" t="s">
        <v>90</v>
      </c>
      <c r="R770">
        <v>49900</v>
      </c>
      <c r="S770">
        <v>-62100</v>
      </c>
      <c r="T770" s="1">
        <v>42011</v>
      </c>
      <c r="U770" t="s">
        <v>51</v>
      </c>
      <c r="V770" t="s">
        <v>81</v>
      </c>
      <c r="W770" t="s">
        <v>68</v>
      </c>
      <c r="X770" t="s">
        <v>125</v>
      </c>
      <c r="Y770" t="s">
        <v>69</v>
      </c>
      <c r="Z770" t="s">
        <v>107</v>
      </c>
      <c r="AA770" t="s">
        <v>952</v>
      </c>
      <c r="AB770">
        <v>3</v>
      </c>
      <c r="AC770" t="str">
        <f t="shared" si="34"/>
        <v>Night</v>
      </c>
      <c r="AD770">
        <v>1</v>
      </c>
      <c r="AE770" t="s">
        <v>58</v>
      </c>
      <c r="AF770">
        <v>2</v>
      </c>
      <c r="AG770">
        <v>0</v>
      </c>
      <c r="AH770" t="s">
        <v>58</v>
      </c>
      <c r="AI770">
        <v>70500</v>
      </c>
      <c r="AJ770">
        <v>7050</v>
      </c>
      <c r="AK770">
        <v>14100</v>
      </c>
      <c r="AL770">
        <v>49350</v>
      </c>
      <c r="AM770" t="s">
        <v>158</v>
      </c>
      <c r="AN770" t="s">
        <v>172</v>
      </c>
      <c r="AO770">
        <v>2015</v>
      </c>
      <c r="AP770">
        <v>2007</v>
      </c>
      <c r="AQ770">
        <f t="shared" si="35"/>
        <v>8</v>
      </c>
      <c r="AR770" t="s">
        <v>87</v>
      </c>
    </row>
    <row r="771" spans="1:44" x14ac:dyDescent="0.25">
      <c r="A771">
        <v>169</v>
      </c>
      <c r="B771" t="str">
        <f t="shared" ref="B771:B834" si="36">IF(A771&lt;=24, "0-2 years", IF(A771&lt;=60, "2-5 years", IF(A771&lt;=120, "5-10 years", "10+ years")))</f>
        <v>10+ years</v>
      </c>
      <c r="C771">
        <v>37</v>
      </c>
      <c r="D771" t="str" cm="1">
        <f t="array" ref="D771">_xlfn.IFS(C771&lt;26, "19-25", C771&lt;33, "26-32", C771&lt;40, "33-39", C771&lt;47, "40-46",C771&lt;54, "47-53", TRUE, "54+")</f>
        <v>33-39</v>
      </c>
      <c r="E771">
        <v>185124</v>
      </c>
      <c r="F771" s="1">
        <v>37232</v>
      </c>
      <c r="G771" t="s">
        <v>88</v>
      </c>
      <c r="H771" t="s">
        <v>74</v>
      </c>
      <c r="I771">
        <v>1000</v>
      </c>
      <c r="J771">
        <v>936.19</v>
      </c>
      <c r="K771">
        <v>0</v>
      </c>
      <c r="L771">
        <v>454776</v>
      </c>
      <c r="M771" t="s">
        <v>46</v>
      </c>
      <c r="N771" t="s">
        <v>166</v>
      </c>
      <c r="O771" t="s">
        <v>89</v>
      </c>
      <c r="P771" t="s">
        <v>151</v>
      </c>
      <c r="Q771" t="s">
        <v>65</v>
      </c>
      <c r="R771">
        <v>70600</v>
      </c>
      <c r="S771">
        <v>-48500</v>
      </c>
      <c r="T771" s="1">
        <v>42037</v>
      </c>
      <c r="U771" t="s">
        <v>80</v>
      </c>
      <c r="V771" t="s">
        <v>52</v>
      </c>
      <c r="W771" t="s">
        <v>112</v>
      </c>
      <c r="X771" t="s">
        <v>54</v>
      </c>
      <c r="Y771" t="s">
        <v>55</v>
      </c>
      <c r="Z771" t="s">
        <v>161</v>
      </c>
      <c r="AA771" t="s">
        <v>953</v>
      </c>
      <c r="AB771">
        <v>4</v>
      </c>
      <c r="AC771" t="str">
        <f t="shared" ref="AC771:AC834" si="37">IF(AB771&lt;6, "Night", IF(AB771&lt;12, "Morning", IF(AB771&lt;18, "Afternoon", "Evening")))</f>
        <v>Night</v>
      </c>
      <c r="AD771">
        <v>3</v>
      </c>
      <c r="AE771" t="s">
        <v>67</v>
      </c>
      <c r="AF771">
        <v>2</v>
      </c>
      <c r="AG771">
        <v>1</v>
      </c>
      <c r="AH771" t="s">
        <v>58</v>
      </c>
      <c r="AI771">
        <v>57900</v>
      </c>
      <c r="AJ771">
        <v>17370</v>
      </c>
      <c r="AK771">
        <v>5790</v>
      </c>
      <c r="AL771">
        <v>34740</v>
      </c>
      <c r="AM771" t="s">
        <v>114</v>
      </c>
      <c r="AN771" t="s">
        <v>115</v>
      </c>
      <c r="AO771">
        <v>2015</v>
      </c>
      <c r="AP771">
        <v>2005</v>
      </c>
      <c r="AQ771">
        <f t="shared" ref="AQ771:AQ834" si="38">AO771-AP771</f>
        <v>10</v>
      </c>
      <c r="AR771" t="s">
        <v>87</v>
      </c>
    </row>
    <row r="772" spans="1:44" x14ac:dyDescent="0.25">
      <c r="A772">
        <v>255</v>
      </c>
      <c r="B772" t="str">
        <f t="shared" si="36"/>
        <v>10+ years</v>
      </c>
      <c r="C772">
        <v>46</v>
      </c>
      <c r="D772" t="str" cm="1">
        <f t="array" ref="D772">_xlfn.IFS(C772&lt;26, "19-25", C772&lt;33, "26-32", C772&lt;40, "33-39", C772&lt;47, "40-46",C772&lt;54, "47-53", TRUE, "54+")</f>
        <v>40-46</v>
      </c>
      <c r="E772">
        <v>760700</v>
      </c>
      <c r="F772" s="1">
        <v>39046</v>
      </c>
      <c r="G772" t="s">
        <v>88</v>
      </c>
      <c r="H772" t="s">
        <v>45</v>
      </c>
      <c r="I772">
        <v>500</v>
      </c>
      <c r="J772">
        <v>1302.3399999999999</v>
      </c>
      <c r="K772">
        <v>0</v>
      </c>
      <c r="L772">
        <v>431532</v>
      </c>
      <c r="M772" t="s">
        <v>75</v>
      </c>
      <c r="N772" t="s">
        <v>166</v>
      </c>
      <c r="O772" t="s">
        <v>106</v>
      </c>
      <c r="P772" t="s">
        <v>186</v>
      </c>
      <c r="Q772" t="s">
        <v>79</v>
      </c>
      <c r="R772">
        <v>0</v>
      </c>
      <c r="S772">
        <v>-52600</v>
      </c>
      <c r="T772" s="1">
        <v>42016</v>
      </c>
      <c r="U772" t="s">
        <v>80</v>
      </c>
      <c r="V772" t="s">
        <v>91</v>
      </c>
      <c r="W772" t="s">
        <v>68</v>
      </c>
      <c r="X772" t="s">
        <v>104</v>
      </c>
      <c r="Y772" t="s">
        <v>118</v>
      </c>
      <c r="Z772" t="s">
        <v>161</v>
      </c>
      <c r="AA772" t="s">
        <v>954</v>
      </c>
      <c r="AB772">
        <v>2</v>
      </c>
      <c r="AC772" t="str">
        <f t="shared" si="37"/>
        <v>Night</v>
      </c>
      <c r="AD772">
        <v>3</v>
      </c>
      <c r="AE772" t="s">
        <v>84</v>
      </c>
      <c r="AF772">
        <v>1</v>
      </c>
      <c r="AG772">
        <v>0</v>
      </c>
      <c r="AH772" t="s">
        <v>84</v>
      </c>
      <c r="AI772">
        <v>57860</v>
      </c>
      <c r="AJ772">
        <v>5260</v>
      </c>
      <c r="AK772">
        <v>10520</v>
      </c>
      <c r="AL772">
        <v>42080</v>
      </c>
      <c r="AM772" t="s">
        <v>219</v>
      </c>
      <c r="AN772" t="s">
        <v>263</v>
      </c>
      <c r="AO772">
        <v>2015</v>
      </c>
      <c r="AP772">
        <v>2011</v>
      </c>
      <c r="AQ772">
        <f t="shared" si="38"/>
        <v>4</v>
      </c>
      <c r="AR772" t="s">
        <v>87</v>
      </c>
    </row>
    <row r="773" spans="1:44" x14ac:dyDescent="0.25">
      <c r="A773">
        <v>209</v>
      </c>
      <c r="B773" t="str">
        <f t="shared" si="36"/>
        <v>10+ years</v>
      </c>
      <c r="C773">
        <v>39</v>
      </c>
      <c r="D773" t="str" cm="1">
        <f t="array" ref="D773">_xlfn.IFS(C773&lt;26, "19-25", C773&lt;33, "26-32", C773&lt;40, "33-39", C773&lt;47, "40-46",C773&lt;54, "47-53", TRUE, "54+")</f>
        <v>33-39</v>
      </c>
      <c r="E773">
        <v>362407</v>
      </c>
      <c r="F773" s="1">
        <v>35405</v>
      </c>
      <c r="G773" t="s">
        <v>62</v>
      </c>
      <c r="H773" t="s">
        <v>74</v>
      </c>
      <c r="I773">
        <v>500</v>
      </c>
      <c r="J773">
        <v>1264.99</v>
      </c>
      <c r="K773">
        <v>0</v>
      </c>
      <c r="L773">
        <v>614169</v>
      </c>
      <c r="M773" t="s">
        <v>46</v>
      </c>
      <c r="N773" t="s">
        <v>76</v>
      </c>
      <c r="O773" t="s">
        <v>150</v>
      </c>
      <c r="P773" t="s">
        <v>178</v>
      </c>
      <c r="Q773" t="s">
        <v>50</v>
      </c>
      <c r="R773">
        <v>67800</v>
      </c>
      <c r="S773">
        <v>0</v>
      </c>
      <c r="T773" s="1">
        <v>42005</v>
      </c>
      <c r="U773" t="s">
        <v>51</v>
      </c>
      <c r="V773" t="s">
        <v>52</v>
      </c>
      <c r="W773" t="s">
        <v>68</v>
      </c>
      <c r="X773" t="s">
        <v>104</v>
      </c>
      <c r="Y773" t="s">
        <v>69</v>
      </c>
      <c r="Z773" t="s">
        <v>161</v>
      </c>
      <c r="AA773" t="s">
        <v>955</v>
      </c>
      <c r="AB773">
        <v>22</v>
      </c>
      <c r="AC773" t="str">
        <f t="shared" si="37"/>
        <v>Evening</v>
      </c>
      <c r="AD773">
        <v>1</v>
      </c>
      <c r="AE773" t="s">
        <v>67</v>
      </c>
      <c r="AF773">
        <v>1</v>
      </c>
      <c r="AG773">
        <v>1</v>
      </c>
      <c r="AH773" t="s">
        <v>84</v>
      </c>
      <c r="AI773">
        <v>37800</v>
      </c>
      <c r="AJ773">
        <v>8400</v>
      </c>
      <c r="AK773">
        <v>4200</v>
      </c>
      <c r="AL773">
        <v>25200</v>
      </c>
      <c r="AM773" t="s">
        <v>94</v>
      </c>
      <c r="AN773" t="s">
        <v>228</v>
      </c>
      <c r="AO773">
        <v>2015</v>
      </c>
      <c r="AP773">
        <v>1995</v>
      </c>
      <c r="AQ773">
        <f t="shared" si="38"/>
        <v>20</v>
      </c>
      <c r="AR773" t="s">
        <v>87</v>
      </c>
    </row>
    <row r="774" spans="1:44" x14ac:dyDescent="0.25">
      <c r="A774">
        <v>210</v>
      </c>
      <c r="B774" t="str">
        <f t="shared" si="36"/>
        <v>10+ years</v>
      </c>
      <c r="C774">
        <v>37</v>
      </c>
      <c r="D774" t="str" cm="1">
        <f t="array" ref="D774">_xlfn.IFS(C774&lt;26, "19-25", C774&lt;33, "26-32", C774&lt;40, "33-39", C774&lt;47, "40-46",C774&lt;54, "47-53", TRUE, "54+")</f>
        <v>33-39</v>
      </c>
      <c r="E774">
        <v>389525</v>
      </c>
      <c r="F774" s="1">
        <v>41100</v>
      </c>
      <c r="G774" t="s">
        <v>44</v>
      </c>
      <c r="H774" t="s">
        <v>96</v>
      </c>
      <c r="I774">
        <v>500</v>
      </c>
      <c r="J774">
        <v>1467.76</v>
      </c>
      <c r="K774">
        <v>0</v>
      </c>
      <c r="L774">
        <v>601425</v>
      </c>
      <c r="M774" t="s">
        <v>75</v>
      </c>
      <c r="N774" t="s">
        <v>47</v>
      </c>
      <c r="O774" t="s">
        <v>102</v>
      </c>
      <c r="P774" t="s">
        <v>154</v>
      </c>
      <c r="Q774" t="s">
        <v>79</v>
      </c>
      <c r="R774">
        <v>38700</v>
      </c>
      <c r="S774">
        <v>-33100</v>
      </c>
      <c r="T774" s="1">
        <v>42057</v>
      </c>
      <c r="U774" t="s">
        <v>51</v>
      </c>
      <c r="V774" t="s">
        <v>91</v>
      </c>
      <c r="W774" t="s">
        <v>112</v>
      </c>
      <c r="X774" t="s">
        <v>141</v>
      </c>
      <c r="Y774" t="s">
        <v>82</v>
      </c>
      <c r="Z774" t="s">
        <v>132</v>
      </c>
      <c r="AA774" t="s">
        <v>956</v>
      </c>
      <c r="AB774">
        <v>8</v>
      </c>
      <c r="AC774" t="str">
        <f t="shared" si="37"/>
        <v>Morning</v>
      </c>
      <c r="AD774">
        <v>1</v>
      </c>
      <c r="AE774" t="s">
        <v>67</v>
      </c>
      <c r="AF774">
        <v>1</v>
      </c>
      <c r="AG774">
        <v>3</v>
      </c>
      <c r="AH774" t="s">
        <v>58</v>
      </c>
      <c r="AI774">
        <v>63300</v>
      </c>
      <c r="AJ774">
        <v>6330</v>
      </c>
      <c r="AK774">
        <v>6330</v>
      </c>
      <c r="AL774">
        <v>50640</v>
      </c>
      <c r="AM774" t="s">
        <v>120</v>
      </c>
      <c r="AN774" t="s">
        <v>145</v>
      </c>
      <c r="AO774">
        <v>2015</v>
      </c>
      <c r="AP774">
        <v>2000</v>
      </c>
      <c r="AQ774">
        <f t="shared" si="38"/>
        <v>15</v>
      </c>
      <c r="AR774" t="s">
        <v>87</v>
      </c>
    </row>
    <row r="775" spans="1:44" x14ac:dyDescent="0.25">
      <c r="A775">
        <v>174</v>
      </c>
      <c r="B775" t="str">
        <f t="shared" si="36"/>
        <v>10+ years</v>
      </c>
      <c r="C775">
        <v>33</v>
      </c>
      <c r="D775" t="str" cm="1">
        <f t="array" ref="D775">_xlfn.IFS(C775&lt;26, "19-25", C775&lt;33, "26-32", C775&lt;40, "33-39", C775&lt;47, "40-46",C775&lt;54, "47-53", TRUE, "54+")</f>
        <v>33-39</v>
      </c>
      <c r="E775">
        <v>179538</v>
      </c>
      <c r="F775" s="1">
        <v>41736</v>
      </c>
      <c r="G775" t="s">
        <v>62</v>
      </c>
      <c r="H775" t="s">
        <v>45</v>
      </c>
      <c r="I775">
        <v>2000</v>
      </c>
      <c r="J775">
        <v>1124.43</v>
      </c>
      <c r="K775">
        <v>0</v>
      </c>
      <c r="L775">
        <v>477346</v>
      </c>
      <c r="M775" t="s">
        <v>75</v>
      </c>
      <c r="N775" t="s">
        <v>146</v>
      </c>
      <c r="O775" t="s">
        <v>194</v>
      </c>
      <c r="P775" t="s">
        <v>170</v>
      </c>
      <c r="Q775" t="s">
        <v>79</v>
      </c>
      <c r="R775">
        <v>0</v>
      </c>
      <c r="S775">
        <v>0</v>
      </c>
      <c r="T775" s="1">
        <v>42020</v>
      </c>
      <c r="U775" t="s">
        <v>80</v>
      </c>
      <c r="V775" t="s">
        <v>81</v>
      </c>
      <c r="W775" t="s">
        <v>112</v>
      </c>
      <c r="X775" t="s">
        <v>141</v>
      </c>
      <c r="Y775" t="s">
        <v>118</v>
      </c>
      <c r="Z775" t="s">
        <v>161</v>
      </c>
      <c r="AA775" t="s">
        <v>957</v>
      </c>
      <c r="AB775">
        <v>14</v>
      </c>
      <c r="AC775" t="str">
        <f t="shared" si="37"/>
        <v>Afternoon</v>
      </c>
      <c r="AD775">
        <v>3</v>
      </c>
      <c r="AE775" t="s">
        <v>58</v>
      </c>
      <c r="AF775">
        <v>0</v>
      </c>
      <c r="AG775">
        <v>1</v>
      </c>
      <c r="AH775" t="s">
        <v>58</v>
      </c>
      <c r="AI775">
        <v>44200</v>
      </c>
      <c r="AJ775">
        <v>8840</v>
      </c>
      <c r="AK775">
        <v>4420</v>
      </c>
      <c r="AL775">
        <v>30940</v>
      </c>
      <c r="AM775" t="s">
        <v>59</v>
      </c>
      <c r="AN775">
        <v>93</v>
      </c>
      <c r="AO775">
        <v>2015</v>
      </c>
      <c r="AP775">
        <v>1995</v>
      </c>
      <c r="AQ775">
        <f t="shared" si="38"/>
        <v>20</v>
      </c>
      <c r="AR775" t="s">
        <v>87</v>
      </c>
    </row>
    <row r="776" spans="1:44" x14ac:dyDescent="0.25">
      <c r="A776">
        <v>70</v>
      </c>
      <c r="B776" t="str">
        <f t="shared" si="36"/>
        <v>5-10 years</v>
      </c>
      <c r="C776">
        <v>28</v>
      </c>
      <c r="D776" t="str" cm="1">
        <f t="array" ref="D776">_xlfn.IFS(C776&lt;26, "19-25", C776&lt;33, "26-32", C776&lt;40, "33-39", C776&lt;47, "40-46",C776&lt;54, "47-53", TRUE, "54+")</f>
        <v>26-32</v>
      </c>
      <c r="E776">
        <v>265437</v>
      </c>
      <c r="F776" s="1">
        <v>37905</v>
      </c>
      <c r="G776" t="s">
        <v>88</v>
      </c>
      <c r="H776" t="s">
        <v>45</v>
      </c>
      <c r="I776">
        <v>1000</v>
      </c>
      <c r="J776">
        <v>1319.81</v>
      </c>
      <c r="K776">
        <v>0</v>
      </c>
      <c r="L776">
        <v>613587</v>
      </c>
      <c r="M776" t="s">
        <v>46</v>
      </c>
      <c r="N776" t="s">
        <v>136</v>
      </c>
      <c r="O776" t="s">
        <v>63</v>
      </c>
      <c r="P776" t="s">
        <v>160</v>
      </c>
      <c r="Q776" t="s">
        <v>50</v>
      </c>
      <c r="R776">
        <v>67200</v>
      </c>
      <c r="S776">
        <v>-59400</v>
      </c>
      <c r="T776" s="1">
        <v>42032</v>
      </c>
      <c r="U776" t="s">
        <v>80</v>
      </c>
      <c r="V776" t="s">
        <v>52</v>
      </c>
      <c r="W776" t="s">
        <v>68</v>
      </c>
      <c r="X776" t="s">
        <v>54</v>
      </c>
      <c r="Y776" t="s">
        <v>118</v>
      </c>
      <c r="Z776" t="s">
        <v>92</v>
      </c>
      <c r="AA776" t="s">
        <v>958</v>
      </c>
      <c r="AB776">
        <v>14</v>
      </c>
      <c r="AC776" t="str">
        <f t="shared" si="37"/>
        <v>Afternoon</v>
      </c>
      <c r="AD776">
        <v>4</v>
      </c>
      <c r="AE776" t="s">
        <v>84</v>
      </c>
      <c r="AF776">
        <v>1</v>
      </c>
      <c r="AG776">
        <v>0</v>
      </c>
      <c r="AH776" t="s">
        <v>58</v>
      </c>
      <c r="AI776">
        <v>31680</v>
      </c>
      <c r="AJ776">
        <v>3520</v>
      </c>
      <c r="AK776">
        <v>3520</v>
      </c>
      <c r="AL776">
        <v>24640</v>
      </c>
      <c r="AM776" t="s">
        <v>120</v>
      </c>
      <c r="AN776" t="s">
        <v>121</v>
      </c>
      <c r="AO776">
        <v>2015</v>
      </c>
      <c r="AP776">
        <v>2006</v>
      </c>
      <c r="AQ776">
        <f t="shared" si="38"/>
        <v>9</v>
      </c>
      <c r="AR776" t="s">
        <v>87</v>
      </c>
    </row>
    <row r="777" spans="1:44" x14ac:dyDescent="0.25">
      <c r="A777">
        <v>89</v>
      </c>
      <c r="B777" t="str">
        <f t="shared" si="36"/>
        <v>5-10 years</v>
      </c>
      <c r="C777">
        <v>32</v>
      </c>
      <c r="D777" t="str" cm="1">
        <f t="array" ref="D777">_xlfn.IFS(C777&lt;26, "19-25", C777&lt;33, "26-32", C777&lt;40, "33-39", C777&lt;47, "40-46",C777&lt;54, "47-53", TRUE, "54+")</f>
        <v>26-32</v>
      </c>
      <c r="E777">
        <v>266247</v>
      </c>
      <c r="F777" s="1">
        <v>42021</v>
      </c>
      <c r="G777" t="s">
        <v>62</v>
      </c>
      <c r="H777" t="s">
        <v>74</v>
      </c>
      <c r="I777">
        <v>2000</v>
      </c>
      <c r="J777">
        <v>1482.53</v>
      </c>
      <c r="K777">
        <v>0</v>
      </c>
      <c r="L777">
        <v>620358</v>
      </c>
      <c r="M777" t="s">
        <v>75</v>
      </c>
      <c r="N777" t="s">
        <v>47</v>
      </c>
      <c r="O777" t="s">
        <v>102</v>
      </c>
      <c r="P777" t="s">
        <v>175</v>
      </c>
      <c r="Q777" t="s">
        <v>147</v>
      </c>
      <c r="R777">
        <v>49100</v>
      </c>
      <c r="S777">
        <v>-45100</v>
      </c>
      <c r="T777" s="1">
        <v>42027</v>
      </c>
      <c r="U777" t="s">
        <v>143</v>
      </c>
      <c r="V777" t="s">
        <v>67</v>
      </c>
      <c r="W777" t="s">
        <v>217</v>
      </c>
      <c r="X777" t="s">
        <v>54</v>
      </c>
      <c r="Y777" t="s">
        <v>118</v>
      </c>
      <c r="Z777" t="s">
        <v>161</v>
      </c>
      <c r="AA777" t="s">
        <v>959</v>
      </c>
      <c r="AB777">
        <v>5</v>
      </c>
      <c r="AC777" t="str">
        <f t="shared" si="37"/>
        <v>Night</v>
      </c>
      <c r="AD777">
        <v>1</v>
      </c>
      <c r="AE777" t="s">
        <v>58</v>
      </c>
      <c r="AF777">
        <v>1</v>
      </c>
      <c r="AG777">
        <v>2</v>
      </c>
      <c r="AH777" t="s">
        <v>67</v>
      </c>
      <c r="AI777">
        <v>100</v>
      </c>
      <c r="AJ777">
        <v>10</v>
      </c>
      <c r="AK777">
        <v>20</v>
      </c>
      <c r="AL777">
        <v>70</v>
      </c>
      <c r="AM777" t="s">
        <v>114</v>
      </c>
      <c r="AN777" t="s">
        <v>139</v>
      </c>
      <c r="AO777">
        <v>2015</v>
      </c>
      <c r="AP777">
        <v>2002</v>
      </c>
      <c r="AQ777">
        <f t="shared" si="38"/>
        <v>13</v>
      </c>
      <c r="AR777" t="s">
        <v>87</v>
      </c>
    </row>
    <row r="778" spans="1:44" x14ac:dyDescent="0.25">
      <c r="A778">
        <v>458</v>
      </c>
      <c r="B778" t="str">
        <f t="shared" si="36"/>
        <v>10+ years</v>
      </c>
      <c r="C778">
        <v>61</v>
      </c>
      <c r="D778" t="str" cm="1">
        <f t="array" ref="D778">_xlfn.IFS(C778&lt;26, "19-25", C778&lt;33, "26-32", C778&lt;40, "33-39", C778&lt;47, "40-46",C778&lt;54, "47-53", TRUE, "54+")</f>
        <v>54+</v>
      </c>
      <c r="E778">
        <v>921851</v>
      </c>
      <c r="F778" s="1">
        <v>33945</v>
      </c>
      <c r="G778" t="s">
        <v>62</v>
      </c>
      <c r="H778" t="s">
        <v>74</v>
      </c>
      <c r="I778">
        <v>1000</v>
      </c>
      <c r="J778">
        <v>1328.18</v>
      </c>
      <c r="K778">
        <v>0</v>
      </c>
      <c r="L778">
        <v>617699</v>
      </c>
      <c r="M778" t="s">
        <v>75</v>
      </c>
      <c r="N778" t="s">
        <v>136</v>
      </c>
      <c r="O778" t="s">
        <v>140</v>
      </c>
      <c r="P778" t="s">
        <v>103</v>
      </c>
      <c r="Q778" t="s">
        <v>65</v>
      </c>
      <c r="R778">
        <v>53000</v>
      </c>
      <c r="S778">
        <v>0</v>
      </c>
      <c r="T778" s="1">
        <v>42060</v>
      </c>
      <c r="U778" t="s">
        <v>51</v>
      </c>
      <c r="V778" t="s">
        <v>91</v>
      </c>
      <c r="W778" t="s">
        <v>68</v>
      </c>
      <c r="X778" t="s">
        <v>104</v>
      </c>
      <c r="Y778" t="s">
        <v>118</v>
      </c>
      <c r="Z778" t="s">
        <v>56</v>
      </c>
      <c r="AA778" t="s">
        <v>960</v>
      </c>
      <c r="AB778">
        <v>18</v>
      </c>
      <c r="AC778" t="str">
        <f t="shared" si="37"/>
        <v>Evening</v>
      </c>
      <c r="AD778">
        <v>1</v>
      </c>
      <c r="AE778" t="s">
        <v>84</v>
      </c>
      <c r="AF778">
        <v>2</v>
      </c>
      <c r="AG778">
        <v>1</v>
      </c>
      <c r="AH778" t="s">
        <v>84</v>
      </c>
      <c r="AI778">
        <v>56340</v>
      </c>
      <c r="AJ778">
        <v>6260</v>
      </c>
      <c r="AK778">
        <v>6260</v>
      </c>
      <c r="AL778">
        <v>43820</v>
      </c>
      <c r="AM778" t="s">
        <v>219</v>
      </c>
      <c r="AN778" t="s">
        <v>220</v>
      </c>
      <c r="AO778">
        <v>2015</v>
      </c>
      <c r="AP778">
        <v>2003</v>
      </c>
      <c r="AQ778">
        <f t="shared" si="38"/>
        <v>12</v>
      </c>
      <c r="AR778" t="s">
        <v>87</v>
      </c>
    </row>
    <row r="779" spans="1:44" x14ac:dyDescent="0.25">
      <c r="A779">
        <v>239</v>
      </c>
      <c r="B779" t="str">
        <f t="shared" si="36"/>
        <v>10+ years</v>
      </c>
      <c r="C779">
        <v>40</v>
      </c>
      <c r="D779" t="str" cm="1">
        <f t="array" ref="D779">_xlfn.IFS(C779&lt;26, "19-25", C779&lt;33, "26-32", C779&lt;40, "33-39", C779&lt;47, "40-46",C779&lt;54, "47-53", TRUE, "54+")</f>
        <v>40-46</v>
      </c>
      <c r="E779">
        <v>488724</v>
      </c>
      <c r="F779" s="1">
        <v>38320</v>
      </c>
      <c r="G779" t="s">
        <v>62</v>
      </c>
      <c r="H779" t="s">
        <v>74</v>
      </c>
      <c r="I779">
        <v>500</v>
      </c>
      <c r="J779">
        <v>1463.95</v>
      </c>
      <c r="K779">
        <v>0</v>
      </c>
      <c r="L779">
        <v>430567</v>
      </c>
      <c r="M779" t="s">
        <v>75</v>
      </c>
      <c r="N779" t="s">
        <v>166</v>
      </c>
      <c r="O779" t="s">
        <v>77</v>
      </c>
      <c r="P779" t="s">
        <v>137</v>
      </c>
      <c r="Q779" t="s">
        <v>79</v>
      </c>
      <c r="R779">
        <v>0</v>
      </c>
      <c r="S779">
        <v>0</v>
      </c>
      <c r="T779" s="1">
        <v>42046</v>
      </c>
      <c r="U779" t="s">
        <v>80</v>
      </c>
      <c r="V779" t="s">
        <v>81</v>
      </c>
      <c r="W779" t="s">
        <v>112</v>
      </c>
      <c r="X779" t="s">
        <v>54</v>
      </c>
      <c r="Y779" t="s">
        <v>126</v>
      </c>
      <c r="Z779" t="s">
        <v>107</v>
      </c>
      <c r="AA779" t="s">
        <v>961</v>
      </c>
      <c r="AB779">
        <v>20</v>
      </c>
      <c r="AC779" t="str">
        <f t="shared" si="37"/>
        <v>Evening</v>
      </c>
      <c r="AD779">
        <v>3</v>
      </c>
      <c r="AE779" t="s">
        <v>67</v>
      </c>
      <c r="AF779">
        <v>0</v>
      </c>
      <c r="AG779">
        <v>0</v>
      </c>
      <c r="AH779" t="s">
        <v>58</v>
      </c>
      <c r="AI779">
        <v>69740</v>
      </c>
      <c r="AJ779">
        <v>6340</v>
      </c>
      <c r="AK779">
        <v>6340</v>
      </c>
      <c r="AL779">
        <v>57060</v>
      </c>
      <c r="AM779" t="s">
        <v>85</v>
      </c>
      <c r="AN779" t="s">
        <v>149</v>
      </c>
      <c r="AO779">
        <v>2015</v>
      </c>
      <c r="AP779">
        <v>2003</v>
      </c>
      <c r="AQ779">
        <f t="shared" si="38"/>
        <v>12</v>
      </c>
      <c r="AR779" t="s">
        <v>87</v>
      </c>
    </row>
    <row r="780" spans="1:44" x14ac:dyDescent="0.25">
      <c r="A780">
        <v>161</v>
      </c>
      <c r="B780" t="str">
        <f t="shared" si="36"/>
        <v>10+ years</v>
      </c>
      <c r="C780">
        <v>38</v>
      </c>
      <c r="D780" t="str" cm="1">
        <f t="array" ref="D780">_xlfn.IFS(C780&lt;26, "19-25", C780&lt;33, "26-32", C780&lt;40, "33-39", C780&lt;47, "40-46",C780&lt;54, "47-53", TRUE, "54+")</f>
        <v>33-39</v>
      </c>
      <c r="E780">
        <v>192524</v>
      </c>
      <c r="F780" s="1">
        <v>37988</v>
      </c>
      <c r="G780" t="s">
        <v>88</v>
      </c>
      <c r="H780" t="s">
        <v>74</v>
      </c>
      <c r="I780">
        <v>2000</v>
      </c>
      <c r="J780">
        <v>1133.8499999999999</v>
      </c>
      <c r="K780">
        <v>0</v>
      </c>
      <c r="L780">
        <v>439870</v>
      </c>
      <c r="M780" t="s">
        <v>46</v>
      </c>
      <c r="N780" t="s">
        <v>76</v>
      </c>
      <c r="O780" t="s">
        <v>122</v>
      </c>
      <c r="P780" t="s">
        <v>269</v>
      </c>
      <c r="Q780" t="s">
        <v>147</v>
      </c>
      <c r="R780">
        <v>60200</v>
      </c>
      <c r="S780">
        <v>0</v>
      </c>
      <c r="T780" s="1">
        <v>42007</v>
      </c>
      <c r="U780" t="s">
        <v>80</v>
      </c>
      <c r="V780" t="s">
        <v>91</v>
      </c>
      <c r="W780" t="s">
        <v>112</v>
      </c>
      <c r="X780" t="s">
        <v>54</v>
      </c>
      <c r="Y780" t="s">
        <v>118</v>
      </c>
      <c r="Z780" t="s">
        <v>107</v>
      </c>
      <c r="AA780" t="s">
        <v>962</v>
      </c>
      <c r="AB780">
        <v>0</v>
      </c>
      <c r="AC780" t="str">
        <f t="shared" si="37"/>
        <v>Night</v>
      </c>
      <c r="AD780">
        <v>3</v>
      </c>
      <c r="AE780" t="s">
        <v>58</v>
      </c>
      <c r="AF780">
        <v>2</v>
      </c>
      <c r="AG780">
        <v>2</v>
      </c>
      <c r="AH780" t="s">
        <v>58</v>
      </c>
      <c r="AI780">
        <v>60480</v>
      </c>
      <c r="AJ780">
        <v>5040</v>
      </c>
      <c r="AK780">
        <v>15120</v>
      </c>
      <c r="AL780">
        <v>40320</v>
      </c>
      <c r="AM780" t="s">
        <v>219</v>
      </c>
      <c r="AN780" t="s">
        <v>263</v>
      </c>
      <c r="AO780">
        <v>2015</v>
      </c>
      <c r="AP780">
        <v>2003</v>
      </c>
      <c r="AQ780">
        <f t="shared" si="38"/>
        <v>12</v>
      </c>
      <c r="AR780" t="s">
        <v>87</v>
      </c>
    </row>
    <row r="781" spans="1:44" x14ac:dyDescent="0.25">
      <c r="A781">
        <v>446</v>
      </c>
      <c r="B781" t="str">
        <f t="shared" si="36"/>
        <v>10+ years</v>
      </c>
      <c r="C781">
        <v>61</v>
      </c>
      <c r="D781" t="str" cm="1">
        <f t="array" ref="D781">_xlfn.IFS(C781&lt;26, "19-25", C781&lt;33, "26-32", C781&lt;40, "33-39", C781&lt;47, "40-46",C781&lt;54, "47-53", TRUE, "54+")</f>
        <v>54+</v>
      </c>
      <c r="E781">
        <v>338070</v>
      </c>
      <c r="F781" s="1">
        <v>38742</v>
      </c>
      <c r="G781" t="s">
        <v>62</v>
      </c>
      <c r="H781" t="s">
        <v>96</v>
      </c>
      <c r="I781">
        <v>1000</v>
      </c>
      <c r="J781">
        <v>1037.32</v>
      </c>
      <c r="K781">
        <v>0</v>
      </c>
      <c r="L781">
        <v>438837</v>
      </c>
      <c r="M781" t="s">
        <v>75</v>
      </c>
      <c r="N781" t="s">
        <v>136</v>
      </c>
      <c r="O781" t="s">
        <v>102</v>
      </c>
      <c r="P781" t="s">
        <v>137</v>
      </c>
      <c r="Q781" t="s">
        <v>124</v>
      </c>
      <c r="R781">
        <v>0</v>
      </c>
      <c r="S781">
        <v>-15700</v>
      </c>
      <c r="T781" s="1">
        <v>42034</v>
      </c>
      <c r="U781" t="s">
        <v>80</v>
      </c>
      <c r="V781" t="s">
        <v>81</v>
      </c>
      <c r="W781" t="s">
        <v>68</v>
      </c>
      <c r="X781" t="s">
        <v>54</v>
      </c>
      <c r="Y781" t="s">
        <v>126</v>
      </c>
      <c r="Z781" t="s">
        <v>127</v>
      </c>
      <c r="AA781" t="s">
        <v>963</v>
      </c>
      <c r="AB781">
        <v>1</v>
      </c>
      <c r="AC781" t="str">
        <f t="shared" si="37"/>
        <v>Night</v>
      </c>
      <c r="AD781">
        <v>3</v>
      </c>
      <c r="AE781" t="s">
        <v>67</v>
      </c>
      <c r="AF781">
        <v>2</v>
      </c>
      <c r="AG781">
        <v>1</v>
      </c>
      <c r="AH781" t="s">
        <v>84</v>
      </c>
      <c r="AI781">
        <v>80880</v>
      </c>
      <c r="AJ781">
        <v>6740</v>
      </c>
      <c r="AK781">
        <v>13480</v>
      </c>
      <c r="AL781">
        <v>60660</v>
      </c>
      <c r="AM781" t="s">
        <v>109</v>
      </c>
      <c r="AN781" t="s">
        <v>292</v>
      </c>
      <c r="AO781">
        <v>2015</v>
      </c>
      <c r="AP781">
        <v>2005</v>
      </c>
      <c r="AQ781">
        <f t="shared" si="38"/>
        <v>10</v>
      </c>
      <c r="AR781" t="s">
        <v>87</v>
      </c>
    </row>
    <row r="782" spans="1:44" x14ac:dyDescent="0.25">
      <c r="A782">
        <v>476</v>
      </c>
      <c r="B782" t="str">
        <f t="shared" si="36"/>
        <v>10+ years</v>
      </c>
      <c r="C782">
        <v>61</v>
      </c>
      <c r="D782" t="str" cm="1">
        <f t="array" ref="D782">_xlfn.IFS(C782&lt;26, "19-25", C782&lt;33, "26-32", C782&lt;40, "33-39", C782&lt;47, "40-46",C782&lt;54, "47-53", TRUE, "54+")</f>
        <v>54+</v>
      </c>
      <c r="E782">
        <v>865607</v>
      </c>
      <c r="F782" s="1">
        <v>34077</v>
      </c>
      <c r="G782" t="s">
        <v>62</v>
      </c>
      <c r="H782" t="s">
        <v>45</v>
      </c>
      <c r="I782">
        <v>1000</v>
      </c>
      <c r="J782">
        <v>1562.8</v>
      </c>
      <c r="K782">
        <v>0</v>
      </c>
      <c r="L782">
        <v>458997</v>
      </c>
      <c r="M782" t="s">
        <v>75</v>
      </c>
      <c r="N782" t="s">
        <v>129</v>
      </c>
      <c r="O782" t="s">
        <v>164</v>
      </c>
      <c r="P782" t="s">
        <v>131</v>
      </c>
      <c r="Q782" t="s">
        <v>147</v>
      </c>
      <c r="R782">
        <v>42800</v>
      </c>
      <c r="S782">
        <v>-68200</v>
      </c>
      <c r="T782" s="1">
        <v>42022</v>
      </c>
      <c r="U782" t="s">
        <v>51</v>
      </c>
      <c r="V782" t="s">
        <v>91</v>
      </c>
      <c r="W782" t="s">
        <v>112</v>
      </c>
      <c r="X782" t="s">
        <v>104</v>
      </c>
      <c r="Y782" t="s">
        <v>118</v>
      </c>
      <c r="Z782" t="s">
        <v>127</v>
      </c>
      <c r="AA782" t="s">
        <v>964</v>
      </c>
      <c r="AB782">
        <v>10</v>
      </c>
      <c r="AC782" t="str">
        <f t="shared" si="37"/>
        <v>Morning</v>
      </c>
      <c r="AD782">
        <v>1</v>
      </c>
      <c r="AE782" t="s">
        <v>67</v>
      </c>
      <c r="AF782">
        <v>1</v>
      </c>
      <c r="AG782">
        <v>2</v>
      </c>
      <c r="AH782" t="s">
        <v>58</v>
      </c>
      <c r="AI782">
        <v>49390</v>
      </c>
      <c r="AJ782">
        <v>8980</v>
      </c>
      <c r="AK782">
        <v>4490</v>
      </c>
      <c r="AL782">
        <v>35920</v>
      </c>
      <c r="AM782" t="s">
        <v>158</v>
      </c>
      <c r="AN782" t="s">
        <v>159</v>
      </c>
      <c r="AO782">
        <v>2015</v>
      </c>
      <c r="AP782">
        <v>2009</v>
      </c>
      <c r="AQ782">
        <f t="shared" si="38"/>
        <v>6</v>
      </c>
      <c r="AR782" t="s">
        <v>87</v>
      </c>
    </row>
    <row r="783" spans="1:44" x14ac:dyDescent="0.25">
      <c r="A783">
        <v>70</v>
      </c>
      <c r="B783" t="str">
        <f t="shared" si="36"/>
        <v>5-10 years</v>
      </c>
      <c r="C783">
        <v>29</v>
      </c>
      <c r="D783" t="str" cm="1">
        <f t="array" ref="D783">_xlfn.IFS(C783&lt;26, "19-25", C783&lt;33, "26-32", C783&lt;40, "33-39", C783&lt;47, "40-46",C783&lt;54, "47-53", TRUE, "54+")</f>
        <v>26-32</v>
      </c>
      <c r="E783">
        <v>963285</v>
      </c>
      <c r="F783" s="1">
        <v>39060</v>
      </c>
      <c r="G783" t="s">
        <v>62</v>
      </c>
      <c r="H783" t="s">
        <v>74</v>
      </c>
      <c r="I783">
        <v>1000</v>
      </c>
      <c r="J783">
        <v>1425.79</v>
      </c>
      <c r="K783">
        <v>0</v>
      </c>
      <c r="L783">
        <v>604147</v>
      </c>
      <c r="M783" t="s">
        <v>75</v>
      </c>
      <c r="N783" t="s">
        <v>47</v>
      </c>
      <c r="O783" t="s">
        <v>89</v>
      </c>
      <c r="P783" t="s">
        <v>186</v>
      </c>
      <c r="Q783" t="s">
        <v>65</v>
      </c>
      <c r="R783">
        <v>62400</v>
      </c>
      <c r="S783">
        <v>-52300</v>
      </c>
      <c r="T783" s="1">
        <v>42008</v>
      </c>
      <c r="U783" t="s">
        <v>51</v>
      </c>
      <c r="V783" t="s">
        <v>91</v>
      </c>
      <c r="W783" t="s">
        <v>68</v>
      </c>
      <c r="X783" t="s">
        <v>141</v>
      </c>
      <c r="Y783" t="s">
        <v>126</v>
      </c>
      <c r="Z783" t="s">
        <v>70</v>
      </c>
      <c r="AA783" t="s">
        <v>965</v>
      </c>
      <c r="AB783">
        <v>12</v>
      </c>
      <c r="AC783" t="str">
        <f t="shared" si="37"/>
        <v>Afternoon</v>
      </c>
      <c r="AD783">
        <v>1</v>
      </c>
      <c r="AE783" t="s">
        <v>84</v>
      </c>
      <c r="AF783">
        <v>0</v>
      </c>
      <c r="AG783">
        <v>3</v>
      </c>
      <c r="AH783" t="s">
        <v>67</v>
      </c>
      <c r="AI783">
        <v>69360</v>
      </c>
      <c r="AJ783">
        <v>11560</v>
      </c>
      <c r="AK783">
        <v>11560</v>
      </c>
      <c r="AL783">
        <v>46240</v>
      </c>
      <c r="AM783" t="s">
        <v>85</v>
      </c>
      <c r="AN783" t="s">
        <v>86</v>
      </c>
      <c r="AO783">
        <v>2015</v>
      </c>
      <c r="AP783">
        <v>2009</v>
      </c>
      <c r="AQ783">
        <f t="shared" si="38"/>
        <v>6</v>
      </c>
      <c r="AR783" t="s">
        <v>87</v>
      </c>
    </row>
    <row r="784" spans="1:44" x14ac:dyDescent="0.25">
      <c r="A784">
        <v>233</v>
      </c>
      <c r="B784" t="str">
        <f t="shared" si="36"/>
        <v>10+ years</v>
      </c>
      <c r="C784">
        <v>41</v>
      </c>
      <c r="D784" t="str" cm="1">
        <f t="array" ref="D784">_xlfn.IFS(C784&lt;26, "19-25", C784&lt;33, "26-32", C784&lt;40, "33-39", C784&lt;47, "40-46",C784&lt;54, "47-53", TRUE, "54+")</f>
        <v>40-46</v>
      </c>
      <c r="E784">
        <v>728491</v>
      </c>
      <c r="F784" s="1">
        <v>35672</v>
      </c>
      <c r="G784" t="s">
        <v>44</v>
      </c>
      <c r="H784" t="s">
        <v>96</v>
      </c>
      <c r="I784">
        <v>2000</v>
      </c>
      <c r="J784">
        <v>1615.14</v>
      </c>
      <c r="K784">
        <v>0</v>
      </c>
      <c r="L784">
        <v>606638</v>
      </c>
      <c r="M784" t="s">
        <v>75</v>
      </c>
      <c r="N784" t="s">
        <v>97</v>
      </c>
      <c r="O784" t="s">
        <v>102</v>
      </c>
      <c r="P784" t="s">
        <v>78</v>
      </c>
      <c r="Q784" t="s">
        <v>65</v>
      </c>
      <c r="R784">
        <v>67100</v>
      </c>
      <c r="S784">
        <v>0</v>
      </c>
      <c r="T784" s="1">
        <v>42024</v>
      </c>
      <c r="U784" t="s">
        <v>66</v>
      </c>
      <c r="V784" t="s">
        <v>67</v>
      </c>
      <c r="W784" t="s">
        <v>68</v>
      </c>
      <c r="X784" t="s">
        <v>98</v>
      </c>
      <c r="Y784" t="s">
        <v>82</v>
      </c>
      <c r="Z784" t="s">
        <v>107</v>
      </c>
      <c r="AA784" t="s">
        <v>966</v>
      </c>
      <c r="AB784">
        <v>6</v>
      </c>
      <c r="AC784" t="str">
        <f t="shared" si="37"/>
        <v>Morning</v>
      </c>
      <c r="AD784">
        <v>1</v>
      </c>
      <c r="AE784" t="s">
        <v>84</v>
      </c>
      <c r="AF784">
        <v>0</v>
      </c>
      <c r="AG784">
        <v>1</v>
      </c>
      <c r="AH784" t="s">
        <v>67</v>
      </c>
      <c r="AI784">
        <v>3740</v>
      </c>
      <c r="AJ784">
        <v>680</v>
      </c>
      <c r="AK784">
        <v>680</v>
      </c>
      <c r="AL784">
        <v>2380</v>
      </c>
      <c r="AM784" t="s">
        <v>94</v>
      </c>
      <c r="AN784" t="s">
        <v>250</v>
      </c>
      <c r="AO784">
        <v>2015</v>
      </c>
      <c r="AP784">
        <v>2011</v>
      </c>
      <c r="AQ784">
        <f t="shared" si="38"/>
        <v>4</v>
      </c>
      <c r="AR784" t="s">
        <v>87</v>
      </c>
    </row>
    <row r="785" spans="1:44" x14ac:dyDescent="0.25">
      <c r="A785">
        <v>122</v>
      </c>
      <c r="B785" t="str">
        <f t="shared" si="36"/>
        <v>10+ years</v>
      </c>
      <c r="C785">
        <v>33</v>
      </c>
      <c r="D785" t="str" cm="1">
        <f t="array" ref="D785">_xlfn.IFS(C785&lt;26, "19-25", C785&lt;33, "26-32", C785&lt;40, "33-39", C785&lt;47, "40-46",C785&lt;54, "47-53", TRUE, "54+")</f>
        <v>33-39</v>
      </c>
      <c r="E785">
        <v>553436</v>
      </c>
      <c r="F785" s="1">
        <v>33392</v>
      </c>
      <c r="G785" t="s">
        <v>88</v>
      </c>
      <c r="H785" t="s">
        <v>45</v>
      </c>
      <c r="I785">
        <v>500</v>
      </c>
      <c r="J785">
        <v>1236.5</v>
      </c>
      <c r="K785">
        <v>0</v>
      </c>
      <c r="L785">
        <v>619620</v>
      </c>
      <c r="M785" t="s">
        <v>46</v>
      </c>
      <c r="N785" t="s">
        <v>76</v>
      </c>
      <c r="O785" t="s">
        <v>116</v>
      </c>
      <c r="P785" t="s">
        <v>103</v>
      </c>
      <c r="Q785" t="s">
        <v>50</v>
      </c>
      <c r="R785">
        <v>0</v>
      </c>
      <c r="S785">
        <v>-48700</v>
      </c>
      <c r="T785" s="1">
        <v>42047</v>
      </c>
      <c r="U785" t="s">
        <v>143</v>
      </c>
      <c r="V785" t="s">
        <v>67</v>
      </c>
      <c r="W785" t="s">
        <v>217</v>
      </c>
      <c r="X785" t="s">
        <v>98</v>
      </c>
      <c r="Y785" t="s">
        <v>82</v>
      </c>
      <c r="Z785" t="s">
        <v>127</v>
      </c>
      <c r="AA785" t="s">
        <v>967</v>
      </c>
      <c r="AB785">
        <v>1</v>
      </c>
      <c r="AC785" t="str">
        <f t="shared" si="37"/>
        <v>Night</v>
      </c>
      <c r="AD785">
        <v>1</v>
      </c>
      <c r="AE785" t="s">
        <v>84</v>
      </c>
      <c r="AF785">
        <v>0</v>
      </c>
      <c r="AG785">
        <v>1</v>
      </c>
      <c r="AH785" t="s">
        <v>84</v>
      </c>
      <c r="AI785">
        <v>5060</v>
      </c>
      <c r="AJ785">
        <v>460</v>
      </c>
      <c r="AK785">
        <v>920</v>
      </c>
      <c r="AL785">
        <v>3680</v>
      </c>
      <c r="AM785" t="s">
        <v>109</v>
      </c>
      <c r="AN785" t="s">
        <v>292</v>
      </c>
      <c r="AO785">
        <v>2015</v>
      </c>
      <c r="AP785">
        <v>2003</v>
      </c>
      <c r="AQ785">
        <f t="shared" si="38"/>
        <v>12</v>
      </c>
      <c r="AR785" t="s">
        <v>87</v>
      </c>
    </row>
    <row r="786" spans="1:44" x14ac:dyDescent="0.25">
      <c r="A786">
        <v>335</v>
      </c>
      <c r="B786" t="str">
        <f t="shared" si="36"/>
        <v>10+ years</v>
      </c>
      <c r="C786">
        <v>48</v>
      </c>
      <c r="D786" t="str" cm="1">
        <f t="array" ref="D786">_xlfn.IFS(C786&lt;26, "19-25", C786&lt;33, "26-32", C786&lt;40, "33-39", C786&lt;47, "40-46",C786&lt;54, "47-53", TRUE, "54+")</f>
        <v>47-53</v>
      </c>
      <c r="E786">
        <v>440616</v>
      </c>
      <c r="F786" s="1">
        <v>34948</v>
      </c>
      <c r="G786" t="s">
        <v>88</v>
      </c>
      <c r="H786" t="s">
        <v>96</v>
      </c>
      <c r="I786">
        <v>2000</v>
      </c>
      <c r="J786">
        <v>1017.97</v>
      </c>
      <c r="K786">
        <v>0</v>
      </c>
      <c r="L786">
        <v>441671</v>
      </c>
      <c r="M786" t="s">
        <v>75</v>
      </c>
      <c r="N786" t="s">
        <v>47</v>
      </c>
      <c r="O786" t="s">
        <v>63</v>
      </c>
      <c r="P786" t="s">
        <v>173</v>
      </c>
      <c r="Q786" t="s">
        <v>124</v>
      </c>
      <c r="R786">
        <v>59900</v>
      </c>
      <c r="S786">
        <v>-34800</v>
      </c>
      <c r="T786" s="1">
        <v>42054</v>
      </c>
      <c r="U786" t="s">
        <v>80</v>
      </c>
      <c r="V786" t="s">
        <v>91</v>
      </c>
      <c r="W786" t="s">
        <v>112</v>
      </c>
      <c r="X786" t="s">
        <v>54</v>
      </c>
      <c r="Y786" t="s">
        <v>118</v>
      </c>
      <c r="Z786" t="s">
        <v>56</v>
      </c>
      <c r="AA786" t="s">
        <v>968</v>
      </c>
      <c r="AB786">
        <v>21</v>
      </c>
      <c r="AC786" t="str">
        <f t="shared" si="37"/>
        <v>Evening</v>
      </c>
      <c r="AD786">
        <v>3</v>
      </c>
      <c r="AE786" t="s">
        <v>84</v>
      </c>
      <c r="AF786">
        <v>0</v>
      </c>
      <c r="AG786">
        <v>0</v>
      </c>
      <c r="AH786" t="s">
        <v>58</v>
      </c>
      <c r="AI786">
        <v>35860</v>
      </c>
      <c r="AJ786">
        <v>3260</v>
      </c>
      <c r="AK786">
        <v>6520</v>
      </c>
      <c r="AL786">
        <v>26080</v>
      </c>
      <c r="AM786" t="s">
        <v>192</v>
      </c>
      <c r="AN786" t="s">
        <v>208</v>
      </c>
      <c r="AO786">
        <v>2015</v>
      </c>
      <c r="AP786">
        <v>2005</v>
      </c>
      <c r="AQ786">
        <f t="shared" si="38"/>
        <v>10</v>
      </c>
      <c r="AR786" t="s">
        <v>61</v>
      </c>
    </row>
    <row r="787" spans="1:44" x14ac:dyDescent="0.25">
      <c r="A787">
        <v>257</v>
      </c>
      <c r="B787" t="str">
        <f t="shared" si="36"/>
        <v>10+ years</v>
      </c>
      <c r="C787">
        <v>40</v>
      </c>
      <c r="D787" t="str" cm="1">
        <f t="array" ref="D787">_xlfn.IFS(C787&lt;26, "19-25", C787&lt;33, "26-32", C787&lt;40, "33-39", C787&lt;47, "40-46",C787&lt;54, "47-53", TRUE, "54+")</f>
        <v>40-46</v>
      </c>
      <c r="E787">
        <v>463237</v>
      </c>
      <c r="F787" s="1">
        <v>36565</v>
      </c>
      <c r="G787" t="s">
        <v>62</v>
      </c>
      <c r="H787" t="s">
        <v>74</v>
      </c>
      <c r="I787">
        <v>2000</v>
      </c>
      <c r="J787">
        <v>1306</v>
      </c>
      <c r="K787">
        <v>0</v>
      </c>
      <c r="L787">
        <v>610381</v>
      </c>
      <c r="M787" t="s">
        <v>46</v>
      </c>
      <c r="N787" t="s">
        <v>97</v>
      </c>
      <c r="O787" t="s">
        <v>63</v>
      </c>
      <c r="P787" t="s">
        <v>247</v>
      </c>
      <c r="Q787" t="s">
        <v>50</v>
      </c>
      <c r="R787">
        <v>46100</v>
      </c>
      <c r="S787">
        <v>-46900</v>
      </c>
      <c r="T787" s="1">
        <v>42056</v>
      </c>
      <c r="U787" t="s">
        <v>80</v>
      </c>
      <c r="V787" t="s">
        <v>91</v>
      </c>
      <c r="W787" t="s">
        <v>53</v>
      </c>
      <c r="X787" t="s">
        <v>141</v>
      </c>
      <c r="Y787" t="s">
        <v>82</v>
      </c>
      <c r="Z787" t="s">
        <v>56</v>
      </c>
      <c r="AA787" t="s">
        <v>969</v>
      </c>
      <c r="AB787">
        <v>3</v>
      </c>
      <c r="AC787" t="str">
        <f t="shared" si="37"/>
        <v>Night</v>
      </c>
      <c r="AD787">
        <v>3</v>
      </c>
      <c r="AE787" t="s">
        <v>58</v>
      </c>
      <c r="AF787">
        <v>2</v>
      </c>
      <c r="AG787">
        <v>1</v>
      </c>
      <c r="AH787" t="s">
        <v>67</v>
      </c>
      <c r="AI787">
        <v>50050</v>
      </c>
      <c r="AJ787">
        <v>7700</v>
      </c>
      <c r="AK787">
        <v>3850</v>
      </c>
      <c r="AL787">
        <v>38500</v>
      </c>
      <c r="AM787" t="s">
        <v>134</v>
      </c>
      <c r="AN787" t="s">
        <v>254</v>
      </c>
      <c r="AO787">
        <v>2015</v>
      </c>
      <c r="AP787">
        <v>2008</v>
      </c>
      <c r="AQ787">
        <f t="shared" si="38"/>
        <v>7</v>
      </c>
      <c r="AR787" t="s">
        <v>61</v>
      </c>
    </row>
    <row r="788" spans="1:44" x14ac:dyDescent="0.25">
      <c r="A788">
        <v>85</v>
      </c>
      <c r="B788" t="str">
        <f t="shared" si="36"/>
        <v>5-10 years</v>
      </c>
      <c r="C788">
        <v>27</v>
      </c>
      <c r="D788" t="str" cm="1">
        <f t="array" ref="D788">_xlfn.IFS(C788&lt;26, "19-25", C788&lt;33, "26-32", C788&lt;40, "33-39", C788&lt;47, "40-46",C788&lt;54, "47-53", TRUE, "54+")</f>
        <v>26-32</v>
      </c>
      <c r="E788">
        <v>753452</v>
      </c>
      <c r="F788" s="1">
        <v>35269</v>
      </c>
      <c r="G788" t="s">
        <v>88</v>
      </c>
      <c r="H788" t="s">
        <v>96</v>
      </c>
      <c r="I788">
        <v>2000</v>
      </c>
      <c r="J788">
        <v>1174.1400000000001</v>
      </c>
      <c r="K788">
        <v>0</v>
      </c>
      <c r="L788">
        <v>602416</v>
      </c>
      <c r="M788" t="s">
        <v>46</v>
      </c>
      <c r="N788" t="s">
        <v>146</v>
      </c>
      <c r="O788" t="s">
        <v>122</v>
      </c>
      <c r="P788" t="s">
        <v>131</v>
      </c>
      <c r="Q788" t="s">
        <v>90</v>
      </c>
      <c r="R788">
        <v>50400</v>
      </c>
      <c r="S788">
        <v>-61500</v>
      </c>
      <c r="T788" s="1">
        <v>42037</v>
      </c>
      <c r="U788" t="s">
        <v>80</v>
      </c>
      <c r="V788" t="s">
        <v>81</v>
      </c>
      <c r="W788" t="s">
        <v>68</v>
      </c>
      <c r="X788" t="s">
        <v>104</v>
      </c>
      <c r="Y788" t="s">
        <v>82</v>
      </c>
      <c r="Z788" t="s">
        <v>132</v>
      </c>
      <c r="AA788" t="s">
        <v>970</v>
      </c>
      <c r="AB788">
        <v>14</v>
      </c>
      <c r="AC788" t="str">
        <f t="shared" si="37"/>
        <v>Afternoon</v>
      </c>
      <c r="AD788">
        <v>4</v>
      </c>
      <c r="AE788" t="s">
        <v>58</v>
      </c>
      <c r="AF788">
        <v>0</v>
      </c>
      <c r="AG788">
        <v>0</v>
      </c>
      <c r="AH788" t="s">
        <v>84</v>
      </c>
      <c r="AI788">
        <v>59070</v>
      </c>
      <c r="AJ788">
        <v>10740</v>
      </c>
      <c r="AK788">
        <v>5370</v>
      </c>
      <c r="AL788">
        <v>42960</v>
      </c>
      <c r="AM788" t="s">
        <v>120</v>
      </c>
      <c r="AN788" t="s">
        <v>121</v>
      </c>
      <c r="AO788">
        <v>2015</v>
      </c>
      <c r="AP788">
        <v>2012</v>
      </c>
      <c r="AQ788">
        <f t="shared" si="38"/>
        <v>3</v>
      </c>
      <c r="AR788" t="s">
        <v>87</v>
      </c>
    </row>
    <row r="789" spans="1:44" x14ac:dyDescent="0.25">
      <c r="A789">
        <v>133</v>
      </c>
      <c r="B789" t="str">
        <f t="shared" si="36"/>
        <v>10+ years</v>
      </c>
      <c r="C789">
        <v>30</v>
      </c>
      <c r="D789" t="str" cm="1">
        <f t="array" ref="D789">_xlfn.IFS(C789&lt;26, "19-25", C789&lt;33, "26-32", C789&lt;40, "33-39", C789&lt;47, "40-46",C789&lt;54, "47-53", TRUE, "54+")</f>
        <v>26-32</v>
      </c>
      <c r="E789">
        <v>920554</v>
      </c>
      <c r="F789" s="1">
        <v>38616</v>
      </c>
      <c r="G789" t="s">
        <v>62</v>
      </c>
      <c r="H789" t="s">
        <v>96</v>
      </c>
      <c r="I789">
        <v>1000</v>
      </c>
      <c r="J789">
        <v>1231.01</v>
      </c>
      <c r="K789">
        <v>0</v>
      </c>
      <c r="L789">
        <v>459562</v>
      </c>
      <c r="M789" t="s">
        <v>46</v>
      </c>
      <c r="N789" t="s">
        <v>146</v>
      </c>
      <c r="O789" t="s">
        <v>190</v>
      </c>
      <c r="P789" t="s">
        <v>78</v>
      </c>
      <c r="Q789" t="s">
        <v>50</v>
      </c>
      <c r="R789">
        <v>0</v>
      </c>
      <c r="S789">
        <v>-31700</v>
      </c>
      <c r="T789" s="1">
        <v>42036</v>
      </c>
      <c r="U789" t="s">
        <v>80</v>
      </c>
      <c r="V789" t="s">
        <v>91</v>
      </c>
      <c r="W789" t="s">
        <v>68</v>
      </c>
      <c r="X789" t="s">
        <v>104</v>
      </c>
      <c r="Y789" t="s">
        <v>55</v>
      </c>
      <c r="Z789" t="s">
        <v>70</v>
      </c>
      <c r="AA789" t="s">
        <v>971</v>
      </c>
      <c r="AB789">
        <v>19</v>
      </c>
      <c r="AC789" t="str">
        <f t="shared" si="37"/>
        <v>Evening</v>
      </c>
      <c r="AD789">
        <v>3</v>
      </c>
      <c r="AE789" t="s">
        <v>84</v>
      </c>
      <c r="AF789">
        <v>1</v>
      </c>
      <c r="AG789">
        <v>2</v>
      </c>
      <c r="AH789" t="s">
        <v>67</v>
      </c>
      <c r="AI789">
        <v>28440</v>
      </c>
      <c r="AJ789">
        <v>3160</v>
      </c>
      <c r="AK789">
        <v>3160</v>
      </c>
      <c r="AL789">
        <v>22120</v>
      </c>
      <c r="AM789" t="s">
        <v>85</v>
      </c>
      <c r="AN789" t="s">
        <v>149</v>
      </c>
      <c r="AO789">
        <v>2015</v>
      </c>
      <c r="AP789">
        <v>2007</v>
      </c>
      <c r="AQ789">
        <f t="shared" si="38"/>
        <v>8</v>
      </c>
      <c r="AR789" t="s">
        <v>87</v>
      </c>
    </row>
    <row r="790" spans="1:44" x14ac:dyDescent="0.25">
      <c r="A790">
        <v>119</v>
      </c>
      <c r="B790" t="str">
        <f t="shared" si="36"/>
        <v>5-10 years</v>
      </c>
      <c r="C790">
        <v>34</v>
      </c>
      <c r="D790" t="str" cm="1">
        <f t="array" ref="D790">_xlfn.IFS(C790&lt;26, "19-25", C790&lt;33, "26-32", C790&lt;40, "33-39", C790&lt;47, "40-46",C790&lt;54, "47-53", TRUE, "54+")</f>
        <v>33-39</v>
      </c>
      <c r="E790">
        <v>594783</v>
      </c>
      <c r="F790" s="1">
        <v>40907</v>
      </c>
      <c r="G790" t="s">
        <v>88</v>
      </c>
      <c r="H790" t="s">
        <v>45</v>
      </c>
      <c r="I790">
        <v>500</v>
      </c>
      <c r="J790">
        <v>1299.18</v>
      </c>
      <c r="K790">
        <v>0</v>
      </c>
      <c r="L790">
        <v>463271</v>
      </c>
      <c r="M790" t="s">
        <v>75</v>
      </c>
      <c r="N790" t="s">
        <v>146</v>
      </c>
      <c r="O790" t="s">
        <v>102</v>
      </c>
      <c r="P790" t="s">
        <v>154</v>
      </c>
      <c r="Q790" t="s">
        <v>124</v>
      </c>
      <c r="R790">
        <v>57100</v>
      </c>
      <c r="S790">
        <v>0</v>
      </c>
      <c r="T790" s="1">
        <v>42012</v>
      </c>
      <c r="U790" t="s">
        <v>51</v>
      </c>
      <c r="V790" t="s">
        <v>91</v>
      </c>
      <c r="W790" t="s">
        <v>53</v>
      </c>
      <c r="X790" t="s">
        <v>104</v>
      </c>
      <c r="Y790" t="s">
        <v>44</v>
      </c>
      <c r="Z790" t="s">
        <v>107</v>
      </c>
      <c r="AA790" t="s">
        <v>972</v>
      </c>
      <c r="AB790">
        <v>7</v>
      </c>
      <c r="AC790" t="str">
        <f t="shared" si="37"/>
        <v>Morning</v>
      </c>
      <c r="AD790">
        <v>1</v>
      </c>
      <c r="AE790" t="s">
        <v>58</v>
      </c>
      <c r="AF790">
        <v>2</v>
      </c>
      <c r="AG790">
        <v>1</v>
      </c>
      <c r="AH790" t="s">
        <v>58</v>
      </c>
      <c r="AI790">
        <v>45540</v>
      </c>
      <c r="AJ790">
        <v>8280</v>
      </c>
      <c r="AK790">
        <v>8280</v>
      </c>
      <c r="AL790">
        <v>28980</v>
      </c>
      <c r="AM790" t="s">
        <v>214</v>
      </c>
      <c r="AN790" t="s">
        <v>215</v>
      </c>
      <c r="AO790">
        <v>2015</v>
      </c>
      <c r="AP790">
        <v>1998</v>
      </c>
      <c r="AQ790">
        <f t="shared" si="38"/>
        <v>17</v>
      </c>
      <c r="AR790" t="s">
        <v>61</v>
      </c>
    </row>
    <row r="791" spans="1:44" x14ac:dyDescent="0.25">
      <c r="A791">
        <v>169</v>
      </c>
      <c r="B791" t="str">
        <f t="shared" si="36"/>
        <v>10+ years</v>
      </c>
      <c r="C791">
        <v>34</v>
      </c>
      <c r="D791" t="str" cm="1">
        <f t="array" ref="D791">_xlfn.IFS(C791&lt;26, "19-25", C791&lt;33, "26-32", C791&lt;40, "33-39", C791&lt;47, "40-46",C791&lt;54, "47-53", TRUE, "54+")</f>
        <v>33-39</v>
      </c>
      <c r="E791">
        <v>725330</v>
      </c>
      <c r="F791" s="1">
        <v>35267</v>
      </c>
      <c r="G791" t="s">
        <v>62</v>
      </c>
      <c r="H791" t="s">
        <v>74</v>
      </c>
      <c r="I791">
        <v>500</v>
      </c>
      <c r="J791">
        <v>1469.75</v>
      </c>
      <c r="K791">
        <v>0</v>
      </c>
      <c r="L791">
        <v>458132</v>
      </c>
      <c r="M791" t="s">
        <v>75</v>
      </c>
      <c r="N791" t="s">
        <v>166</v>
      </c>
      <c r="O791" t="s">
        <v>77</v>
      </c>
      <c r="P791" t="s">
        <v>64</v>
      </c>
      <c r="Q791" t="s">
        <v>147</v>
      </c>
      <c r="R791">
        <v>0</v>
      </c>
      <c r="S791">
        <v>-57600</v>
      </c>
      <c r="T791" s="1">
        <v>42020</v>
      </c>
      <c r="U791" t="s">
        <v>51</v>
      </c>
      <c r="V791" t="s">
        <v>81</v>
      </c>
      <c r="W791" t="s">
        <v>68</v>
      </c>
      <c r="X791" t="s">
        <v>104</v>
      </c>
      <c r="Y791" t="s">
        <v>69</v>
      </c>
      <c r="Z791" t="s">
        <v>92</v>
      </c>
      <c r="AA791" t="s">
        <v>973</v>
      </c>
      <c r="AB791">
        <v>0</v>
      </c>
      <c r="AC791" t="str">
        <f t="shared" si="37"/>
        <v>Night</v>
      </c>
      <c r="AD791">
        <v>1</v>
      </c>
      <c r="AE791" t="s">
        <v>67</v>
      </c>
      <c r="AF791">
        <v>0</v>
      </c>
      <c r="AG791">
        <v>0</v>
      </c>
      <c r="AH791" t="s">
        <v>58</v>
      </c>
      <c r="AI791">
        <v>38700</v>
      </c>
      <c r="AJ791">
        <v>7740</v>
      </c>
      <c r="AK791">
        <v>3870</v>
      </c>
      <c r="AL791">
        <v>27090</v>
      </c>
      <c r="AM791" t="s">
        <v>219</v>
      </c>
      <c r="AN791" t="s">
        <v>220</v>
      </c>
      <c r="AO791">
        <v>2015</v>
      </c>
      <c r="AP791">
        <v>2012</v>
      </c>
      <c r="AQ791">
        <f t="shared" si="38"/>
        <v>3</v>
      </c>
      <c r="AR791" t="s">
        <v>87</v>
      </c>
    </row>
    <row r="792" spans="1:44" x14ac:dyDescent="0.25">
      <c r="A792">
        <v>225</v>
      </c>
      <c r="B792" t="str">
        <f t="shared" si="36"/>
        <v>10+ years</v>
      </c>
      <c r="C792">
        <v>39</v>
      </c>
      <c r="D792" t="str" cm="1">
        <f t="array" ref="D792">_xlfn.IFS(C792&lt;26, "19-25", C792&lt;33, "26-32", C792&lt;40, "33-39", C792&lt;47, "40-46",C792&lt;54, "47-53", TRUE, "54+")</f>
        <v>33-39</v>
      </c>
      <c r="E792">
        <v>607259</v>
      </c>
      <c r="F792" s="1">
        <v>35163</v>
      </c>
      <c r="G792" t="s">
        <v>44</v>
      </c>
      <c r="H792" t="s">
        <v>45</v>
      </c>
      <c r="I792">
        <v>500</v>
      </c>
      <c r="J792">
        <v>1390.72</v>
      </c>
      <c r="K792">
        <v>0</v>
      </c>
      <c r="L792">
        <v>448949</v>
      </c>
      <c r="M792" t="s">
        <v>46</v>
      </c>
      <c r="N792" t="s">
        <v>129</v>
      </c>
      <c r="O792" t="s">
        <v>102</v>
      </c>
      <c r="P792" t="s">
        <v>170</v>
      </c>
      <c r="Q792" t="s">
        <v>65</v>
      </c>
      <c r="R792">
        <v>83900</v>
      </c>
      <c r="S792">
        <v>-52100</v>
      </c>
      <c r="T792" s="1">
        <v>42055</v>
      </c>
      <c r="U792" t="s">
        <v>143</v>
      </c>
      <c r="V792" t="s">
        <v>67</v>
      </c>
      <c r="W792" t="s">
        <v>217</v>
      </c>
      <c r="X792" t="s">
        <v>98</v>
      </c>
      <c r="Y792" t="s">
        <v>55</v>
      </c>
      <c r="Z792" t="s">
        <v>161</v>
      </c>
      <c r="AA792" t="s">
        <v>974</v>
      </c>
      <c r="AB792">
        <v>6</v>
      </c>
      <c r="AC792" t="str">
        <f t="shared" si="37"/>
        <v>Morning</v>
      </c>
      <c r="AD792">
        <v>1</v>
      </c>
      <c r="AE792" t="s">
        <v>58</v>
      </c>
      <c r="AF792">
        <v>2</v>
      </c>
      <c r="AG792">
        <v>1</v>
      </c>
      <c r="AH792" t="s">
        <v>58</v>
      </c>
      <c r="AI792">
        <v>5830</v>
      </c>
      <c r="AJ792">
        <v>1060</v>
      </c>
      <c r="AK792">
        <v>530</v>
      </c>
      <c r="AL792">
        <v>4240</v>
      </c>
      <c r="AM792" t="s">
        <v>109</v>
      </c>
      <c r="AN792" t="s">
        <v>110</v>
      </c>
      <c r="AO792">
        <v>2015</v>
      </c>
      <c r="AP792">
        <v>2011</v>
      </c>
      <c r="AQ792">
        <f t="shared" si="38"/>
        <v>4</v>
      </c>
      <c r="AR792" t="s">
        <v>87</v>
      </c>
    </row>
    <row r="793" spans="1:44" x14ac:dyDescent="0.25">
      <c r="A793">
        <v>84</v>
      </c>
      <c r="B793" t="str">
        <f t="shared" si="36"/>
        <v>5-10 years</v>
      </c>
      <c r="C793">
        <v>32</v>
      </c>
      <c r="D793" t="str" cm="1">
        <f t="array" ref="D793">_xlfn.IFS(C793&lt;26, "19-25", C793&lt;33, "26-32", C793&lt;40, "33-39", C793&lt;47, "40-46",C793&lt;54, "47-53", TRUE, "54+")</f>
        <v>26-32</v>
      </c>
      <c r="E793">
        <v>979336</v>
      </c>
      <c r="F793" s="1">
        <v>36954</v>
      </c>
      <c r="G793" t="s">
        <v>88</v>
      </c>
      <c r="H793" t="s">
        <v>96</v>
      </c>
      <c r="I793">
        <v>500</v>
      </c>
      <c r="J793">
        <v>1694.09</v>
      </c>
      <c r="K793">
        <v>7000000</v>
      </c>
      <c r="L793">
        <v>603732</v>
      </c>
      <c r="M793" t="s">
        <v>75</v>
      </c>
      <c r="N793" t="s">
        <v>97</v>
      </c>
      <c r="O793" t="s">
        <v>106</v>
      </c>
      <c r="P793" t="s">
        <v>247</v>
      </c>
      <c r="Q793" t="s">
        <v>50</v>
      </c>
      <c r="R793">
        <v>0</v>
      </c>
      <c r="S793">
        <v>0</v>
      </c>
      <c r="T793" s="1">
        <v>42034</v>
      </c>
      <c r="U793" t="s">
        <v>51</v>
      </c>
      <c r="V793" t="s">
        <v>81</v>
      </c>
      <c r="W793" t="s">
        <v>112</v>
      </c>
      <c r="X793" t="s">
        <v>125</v>
      </c>
      <c r="Y793" t="s">
        <v>82</v>
      </c>
      <c r="Z793" t="s">
        <v>132</v>
      </c>
      <c r="AA793" t="s">
        <v>975</v>
      </c>
      <c r="AB793">
        <v>0</v>
      </c>
      <c r="AC793" t="str">
        <f t="shared" si="37"/>
        <v>Night</v>
      </c>
      <c r="AD793">
        <v>1</v>
      </c>
      <c r="AE793" t="s">
        <v>58</v>
      </c>
      <c r="AF793">
        <v>0</v>
      </c>
      <c r="AG793">
        <v>2</v>
      </c>
      <c r="AH793" t="s">
        <v>67</v>
      </c>
      <c r="AI793">
        <v>57240</v>
      </c>
      <c r="AJ793">
        <v>4770</v>
      </c>
      <c r="AK793">
        <v>9540</v>
      </c>
      <c r="AL793">
        <v>42930</v>
      </c>
      <c r="AM793" t="s">
        <v>192</v>
      </c>
      <c r="AN793" t="s">
        <v>243</v>
      </c>
      <c r="AO793">
        <v>2015</v>
      </c>
      <c r="AP793">
        <v>1995</v>
      </c>
      <c r="AQ793">
        <f t="shared" si="38"/>
        <v>20</v>
      </c>
      <c r="AR793" t="s">
        <v>61</v>
      </c>
    </row>
    <row r="794" spans="1:44" x14ac:dyDescent="0.25">
      <c r="A794">
        <v>169</v>
      </c>
      <c r="B794" t="str">
        <f t="shared" si="36"/>
        <v>10+ years</v>
      </c>
      <c r="C794">
        <v>39</v>
      </c>
      <c r="D794" t="str" cm="1">
        <f t="array" ref="D794">_xlfn.IFS(C794&lt;26, "19-25", C794&lt;33, "26-32", C794&lt;40, "33-39", C794&lt;47, "40-46",C794&lt;54, "47-53", TRUE, "54+")</f>
        <v>33-39</v>
      </c>
      <c r="E794">
        <v>865201</v>
      </c>
      <c r="F794" s="1">
        <v>37183</v>
      </c>
      <c r="G794" t="s">
        <v>44</v>
      </c>
      <c r="H794" t="s">
        <v>74</v>
      </c>
      <c r="I794">
        <v>2000</v>
      </c>
      <c r="J794">
        <v>1140.1500000000001</v>
      </c>
      <c r="K794">
        <v>0</v>
      </c>
      <c r="L794">
        <v>608929</v>
      </c>
      <c r="M794" t="s">
        <v>46</v>
      </c>
      <c r="N794" t="s">
        <v>136</v>
      </c>
      <c r="O794" t="s">
        <v>89</v>
      </c>
      <c r="P794" t="s">
        <v>269</v>
      </c>
      <c r="Q794" t="s">
        <v>50</v>
      </c>
      <c r="R794">
        <v>0</v>
      </c>
      <c r="S794">
        <v>-36800</v>
      </c>
      <c r="T794" s="1">
        <v>42023</v>
      </c>
      <c r="U794" t="s">
        <v>80</v>
      </c>
      <c r="V794" t="s">
        <v>81</v>
      </c>
      <c r="W794" t="s">
        <v>112</v>
      </c>
      <c r="X794" t="s">
        <v>54</v>
      </c>
      <c r="Y794" t="s">
        <v>69</v>
      </c>
      <c r="Z794" t="s">
        <v>70</v>
      </c>
      <c r="AA794" t="s">
        <v>976</v>
      </c>
      <c r="AB794">
        <v>9</v>
      </c>
      <c r="AC794" t="str">
        <f t="shared" si="37"/>
        <v>Morning</v>
      </c>
      <c r="AD794">
        <v>3</v>
      </c>
      <c r="AE794" t="s">
        <v>58</v>
      </c>
      <c r="AF794">
        <v>0</v>
      </c>
      <c r="AG794">
        <v>3</v>
      </c>
      <c r="AH794" t="s">
        <v>84</v>
      </c>
      <c r="AI794">
        <v>46200</v>
      </c>
      <c r="AJ794">
        <v>4200</v>
      </c>
      <c r="AK794">
        <v>8400</v>
      </c>
      <c r="AL794">
        <v>33600</v>
      </c>
      <c r="AM794" t="s">
        <v>158</v>
      </c>
      <c r="AN794" t="s">
        <v>159</v>
      </c>
      <c r="AO794">
        <v>2015</v>
      </c>
      <c r="AP794">
        <v>2015</v>
      </c>
      <c r="AQ794">
        <f t="shared" si="38"/>
        <v>0</v>
      </c>
      <c r="AR794" t="s">
        <v>87</v>
      </c>
    </row>
    <row r="795" spans="1:44" x14ac:dyDescent="0.25">
      <c r="A795">
        <v>124</v>
      </c>
      <c r="B795" t="str">
        <f t="shared" si="36"/>
        <v>10+ years</v>
      </c>
      <c r="C795">
        <v>32</v>
      </c>
      <c r="D795" t="str" cm="1">
        <f t="array" ref="D795">_xlfn.IFS(C795&lt;26, "19-25", C795&lt;33, "26-32", C795&lt;40, "33-39", C795&lt;47, "40-46",C795&lt;54, "47-53", TRUE, "54+")</f>
        <v>26-32</v>
      </c>
      <c r="E795">
        <v>140977</v>
      </c>
      <c r="F795" s="1">
        <v>38947</v>
      </c>
      <c r="G795" t="s">
        <v>62</v>
      </c>
      <c r="H795" t="s">
        <v>74</v>
      </c>
      <c r="I795">
        <v>1000</v>
      </c>
      <c r="J795">
        <v>1310.71</v>
      </c>
      <c r="K795">
        <v>0</v>
      </c>
      <c r="L795">
        <v>469875</v>
      </c>
      <c r="M795" t="s">
        <v>75</v>
      </c>
      <c r="N795" t="s">
        <v>129</v>
      </c>
      <c r="O795" t="s">
        <v>194</v>
      </c>
      <c r="P795" t="s">
        <v>175</v>
      </c>
      <c r="Q795" t="s">
        <v>124</v>
      </c>
      <c r="R795">
        <v>29300</v>
      </c>
      <c r="S795">
        <v>0</v>
      </c>
      <c r="T795" s="1">
        <v>42060</v>
      </c>
      <c r="U795" t="s">
        <v>51</v>
      </c>
      <c r="V795" t="s">
        <v>52</v>
      </c>
      <c r="W795" t="s">
        <v>112</v>
      </c>
      <c r="X795" t="s">
        <v>141</v>
      </c>
      <c r="Y795" t="s">
        <v>82</v>
      </c>
      <c r="Z795" t="s">
        <v>56</v>
      </c>
      <c r="AA795" t="s">
        <v>977</v>
      </c>
      <c r="AB795">
        <v>23</v>
      </c>
      <c r="AC795" t="str">
        <f t="shared" si="37"/>
        <v>Evening</v>
      </c>
      <c r="AD795">
        <v>1</v>
      </c>
      <c r="AE795" t="s">
        <v>58</v>
      </c>
      <c r="AF795">
        <v>0</v>
      </c>
      <c r="AG795">
        <v>1</v>
      </c>
      <c r="AH795" t="s">
        <v>84</v>
      </c>
      <c r="AI795">
        <v>57700</v>
      </c>
      <c r="AJ795">
        <v>5770</v>
      </c>
      <c r="AK795">
        <v>5770</v>
      </c>
      <c r="AL795">
        <v>46160</v>
      </c>
      <c r="AM795" t="s">
        <v>120</v>
      </c>
      <c r="AN795" t="s">
        <v>121</v>
      </c>
      <c r="AO795">
        <v>2015</v>
      </c>
      <c r="AP795">
        <v>2003</v>
      </c>
      <c r="AQ795">
        <f t="shared" si="38"/>
        <v>12</v>
      </c>
      <c r="AR795" t="s">
        <v>87</v>
      </c>
    </row>
    <row r="796" spans="1:44" x14ac:dyDescent="0.25">
      <c r="A796">
        <v>320</v>
      </c>
      <c r="B796" t="str">
        <f t="shared" si="36"/>
        <v>10+ years</v>
      </c>
      <c r="C796">
        <v>48</v>
      </c>
      <c r="D796" t="str" cm="1">
        <f t="array" ref="D796">_xlfn.IFS(C796&lt;26, "19-25", C796&lt;33, "26-32", C796&lt;40, "33-39", C796&lt;47, "40-46",C796&lt;54, "47-53", TRUE, "54+")</f>
        <v>47-53</v>
      </c>
      <c r="E796">
        <v>787351</v>
      </c>
      <c r="F796" s="1">
        <v>41392</v>
      </c>
      <c r="G796" t="s">
        <v>88</v>
      </c>
      <c r="H796" t="s">
        <v>45</v>
      </c>
      <c r="I796">
        <v>2000</v>
      </c>
      <c r="J796">
        <v>1730.49</v>
      </c>
      <c r="K796">
        <v>7000000</v>
      </c>
      <c r="L796">
        <v>443342</v>
      </c>
      <c r="M796" t="s">
        <v>46</v>
      </c>
      <c r="N796" t="s">
        <v>146</v>
      </c>
      <c r="O796" t="s">
        <v>150</v>
      </c>
      <c r="P796" t="s">
        <v>154</v>
      </c>
      <c r="Q796" t="s">
        <v>147</v>
      </c>
      <c r="R796">
        <v>46300</v>
      </c>
      <c r="S796">
        <v>-41700</v>
      </c>
      <c r="T796" s="1">
        <v>42028</v>
      </c>
      <c r="U796" t="s">
        <v>80</v>
      </c>
      <c r="V796" t="s">
        <v>91</v>
      </c>
      <c r="W796" t="s">
        <v>68</v>
      </c>
      <c r="X796" t="s">
        <v>104</v>
      </c>
      <c r="Y796" t="s">
        <v>118</v>
      </c>
      <c r="Z796" t="s">
        <v>161</v>
      </c>
      <c r="AA796" t="s">
        <v>978</v>
      </c>
      <c r="AB796">
        <v>13</v>
      </c>
      <c r="AC796" t="str">
        <f t="shared" si="37"/>
        <v>Afternoon</v>
      </c>
      <c r="AD796">
        <v>3</v>
      </c>
      <c r="AE796" t="s">
        <v>84</v>
      </c>
      <c r="AF796">
        <v>2</v>
      </c>
      <c r="AG796">
        <v>0</v>
      </c>
      <c r="AH796" t="s">
        <v>84</v>
      </c>
      <c r="AI796">
        <v>56160</v>
      </c>
      <c r="AJ796">
        <v>4680</v>
      </c>
      <c r="AK796">
        <v>9360</v>
      </c>
      <c r="AL796">
        <v>42120</v>
      </c>
      <c r="AM796" t="s">
        <v>59</v>
      </c>
      <c r="AN796">
        <v>95</v>
      </c>
      <c r="AO796">
        <v>2015</v>
      </c>
      <c r="AP796">
        <v>1995</v>
      </c>
      <c r="AQ796">
        <f t="shared" si="38"/>
        <v>20</v>
      </c>
      <c r="AR796" t="s">
        <v>87</v>
      </c>
    </row>
    <row r="797" spans="1:44" x14ac:dyDescent="0.25">
      <c r="A797">
        <v>297</v>
      </c>
      <c r="B797" t="str">
        <f t="shared" si="36"/>
        <v>10+ years</v>
      </c>
      <c r="C797">
        <v>47</v>
      </c>
      <c r="D797" t="str" cm="1">
        <f t="array" ref="D797">_xlfn.IFS(C797&lt;26, "19-25", C797&lt;33, "26-32", C797&lt;40, "33-39", C797&lt;47, "40-46",C797&lt;54, "47-53", TRUE, "54+")</f>
        <v>47-53</v>
      </c>
      <c r="E797">
        <v>272330</v>
      </c>
      <c r="F797" s="1">
        <v>40146</v>
      </c>
      <c r="G797" t="s">
        <v>62</v>
      </c>
      <c r="H797" t="s">
        <v>45</v>
      </c>
      <c r="I797">
        <v>500</v>
      </c>
      <c r="J797">
        <v>1616.65</v>
      </c>
      <c r="K797">
        <v>7000000</v>
      </c>
      <c r="L797">
        <v>456363</v>
      </c>
      <c r="M797" t="s">
        <v>46</v>
      </c>
      <c r="N797" t="s">
        <v>47</v>
      </c>
      <c r="O797" t="s">
        <v>190</v>
      </c>
      <c r="P797" t="s">
        <v>151</v>
      </c>
      <c r="Q797" t="s">
        <v>90</v>
      </c>
      <c r="R797">
        <v>0</v>
      </c>
      <c r="S797">
        <v>-59500</v>
      </c>
      <c r="T797" s="1">
        <v>42020</v>
      </c>
      <c r="U797" t="s">
        <v>80</v>
      </c>
      <c r="V797" t="s">
        <v>52</v>
      </c>
      <c r="W797" t="s">
        <v>112</v>
      </c>
      <c r="X797" t="s">
        <v>104</v>
      </c>
      <c r="Y797" t="s">
        <v>118</v>
      </c>
      <c r="Z797" t="s">
        <v>56</v>
      </c>
      <c r="AA797" t="s">
        <v>979</v>
      </c>
      <c r="AB797">
        <v>0</v>
      </c>
      <c r="AC797" t="str">
        <f t="shared" si="37"/>
        <v>Night</v>
      </c>
      <c r="AD797">
        <v>3</v>
      </c>
      <c r="AE797" t="s">
        <v>67</v>
      </c>
      <c r="AF797">
        <v>0</v>
      </c>
      <c r="AG797">
        <v>3</v>
      </c>
      <c r="AH797" t="s">
        <v>58</v>
      </c>
      <c r="AI797">
        <v>44400</v>
      </c>
      <c r="AJ797">
        <v>5550</v>
      </c>
      <c r="AK797">
        <v>5550</v>
      </c>
      <c r="AL797">
        <v>33300</v>
      </c>
      <c r="AM797" t="s">
        <v>202</v>
      </c>
      <c r="AN797" t="s">
        <v>380</v>
      </c>
      <c r="AO797">
        <v>2015</v>
      </c>
      <c r="AP797">
        <v>1999</v>
      </c>
      <c r="AQ797">
        <f t="shared" si="38"/>
        <v>16</v>
      </c>
      <c r="AR797" t="s">
        <v>87</v>
      </c>
    </row>
    <row r="798" spans="1:44" x14ac:dyDescent="0.25">
      <c r="A798">
        <v>421</v>
      </c>
      <c r="B798" t="str">
        <f t="shared" si="36"/>
        <v>10+ years</v>
      </c>
      <c r="C798">
        <v>56</v>
      </c>
      <c r="D798" t="str" cm="1">
        <f t="array" ref="D798">_xlfn.IFS(C798&lt;26, "19-25", C798&lt;33, "26-32", C798&lt;40, "33-39", C798&lt;47, "40-46",C798&lt;54, "47-53", TRUE, "54+")</f>
        <v>54+</v>
      </c>
      <c r="E798">
        <v>728025</v>
      </c>
      <c r="F798" s="1">
        <v>32919</v>
      </c>
      <c r="G798" t="s">
        <v>62</v>
      </c>
      <c r="H798" t="s">
        <v>74</v>
      </c>
      <c r="I798">
        <v>500</v>
      </c>
      <c r="J798">
        <v>1935.85</v>
      </c>
      <c r="K798">
        <v>4000000</v>
      </c>
      <c r="L798">
        <v>470826</v>
      </c>
      <c r="M798" t="s">
        <v>46</v>
      </c>
      <c r="N798" t="s">
        <v>129</v>
      </c>
      <c r="O798" t="s">
        <v>63</v>
      </c>
      <c r="P798" t="s">
        <v>64</v>
      </c>
      <c r="Q798" t="s">
        <v>79</v>
      </c>
      <c r="R798">
        <v>49500</v>
      </c>
      <c r="S798">
        <v>-81100</v>
      </c>
      <c r="T798" s="1">
        <v>42016</v>
      </c>
      <c r="U798" t="s">
        <v>51</v>
      </c>
      <c r="V798" t="s">
        <v>81</v>
      </c>
      <c r="W798" t="s">
        <v>53</v>
      </c>
      <c r="X798" t="s">
        <v>141</v>
      </c>
      <c r="Y798" t="s">
        <v>82</v>
      </c>
      <c r="Z798" t="s">
        <v>127</v>
      </c>
      <c r="AA798" t="s">
        <v>980</v>
      </c>
      <c r="AB798">
        <v>7</v>
      </c>
      <c r="AC798" t="str">
        <f t="shared" si="37"/>
        <v>Morning</v>
      </c>
      <c r="AD798">
        <v>1</v>
      </c>
      <c r="AE798" t="s">
        <v>67</v>
      </c>
      <c r="AF798">
        <v>2</v>
      </c>
      <c r="AG798">
        <v>3</v>
      </c>
      <c r="AH798" t="s">
        <v>67</v>
      </c>
      <c r="AI798">
        <v>92730</v>
      </c>
      <c r="AJ798">
        <v>16860</v>
      </c>
      <c r="AK798">
        <v>8430</v>
      </c>
      <c r="AL798">
        <v>67440</v>
      </c>
      <c r="AM798" t="s">
        <v>72</v>
      </c>
      <c r="AN798" t="s">
        <v>73</v>
      </c>
      <c r="AO798">
        <v>2015</v>
      </c>
      <c r="AP798">
        <v>2004</v>
      </c>
      <c r="AQ798">
        <f t="shared" si="38"/>
        <v>11</v>
      </c>
      <c r="AR798" t="s">
        <v>61</v>
      </c>
    </row>
    <row r="799" spans="1:44" x14ac:dyDescent="0.25">
      <c r="A799">
        <v>136</v>
      </c>
      <c r="B799" t="str">
        <f t="shared" si="36"/>
        <v>10+ years</v>
      </c>
      <c r="C799">
        <v>33</v>
      </c>
      <c r="D799" t="str" cm="1">
        <f t="array" ref="D799">_xlfn.IFS(C799&lt;26, "19-25", C799&lt;33, "26-32", C799&lt;40, "33-39", C799&lt;47, "40-46",C799&lt;54, "47-53", TRUE, "54+")</f>
        <v>33-39</v>
      </c>
      <c r="E799">
        <v>804608</v>
      </c>
      <c r="F799" s="1">
        <v>37358</v>
      </c>
      <c r="G799" t="s">
        <v>44</v>
      </c>
      <c r="H799" t="s">
        <v>45</v>
      </c>
      <c r="I799">
        <v>1000</v>
      </c>
      <c r="J799">
        <v>855.14</v>
      </c>
      <c r="K799">
        <v>0</v>
      </c>
      <c r="L799">
        <v>458582</v>
      </c>
      <c r="M799" t="s">
        <v>75</v>
      </c>
      <c r="N799" t="s">
        <v>76</v>
      </c>
      <c r="O799" t="s">
        <v>48</v>
      </c>
      <c r="P799" t="s">
        <v>170</v>
      </c>
      <c r="Q799" t="s">
        <v>147</v>
      </c>
      <c r="R799">
        <v>37900</v>
      </c>
      <c r="S799">
        <v>0</v>
      </c>
      <c r="T799" s="1">
        <v>42008</v>
      </c>
      <c r="U799" t="s">
        <v>51</v>
      </c>
      <c r="V799" t="s">
        <v>52</v>
      </c>
      <c r="W799" t="s">
        <v>68</v>
      </c>
      <c r="X799" t="s">
        <v>104</v>
      </c>
      <c r="Y799" t="s">
        <v>126</v>
      </c>
      <c r="Z799" t="s">
        <v>161</v>
      </c>
      <c r="AA799" t="s">
        <v>981</v>
      </c>
      <c r="AB799">
        <v>23</v>
      </c>
      <c r="AC799" t="str">
        <f t="shared" si="37"/>
        <v>Evening</v>
      </c>
      <c r="AD799">
        <v>1</v>
      </c>
      <c r="AE799" t="s">
        <v>58</v>
      </c>
      <c r="AF799">
        <v>0</v>
      </c>
      <c r="AG799">
        <v>1</v>
      </c>
      <c r="AH799" t="s">
        <v>58</v>
      </c>
      <c r="AI799">
        <v>30700</v>
      </c>
      <c r="AJ799">
        <v>3070</v>
      </c>
      <c r="AK799">
        <v>6140</v>
      </c>
      <c r="AL799">
        <v>21490</v>
      </c>
      <c r="AM799" t="s">
        <v>120</v>
      </c>
      <c r="AN799" t="s">
        <v>188</v>
      </c>
      <c r="AO799">
        <v>2015</v>
      </c>
      <c r="AP799">
        <v>2015</v>
      </c>
      <c r="AQ799">
        <f t="shared" si="38"/>
        <v>0</v>
      </c>
      <c r="AR799" t="s">
        <v>87</v>
      </c>
    </row>
    <row r="800" spans="1:44" x14ac:dyDescent="0.25">
      <c r="A800">
        <v>46</v>
      </c>
      <c r="B800" t="str">
        <f t="shared" si="36"/>
        <v>2-5 years</v>
      </c>
      <c r="C800">
        <v>24</v>
      </c>
      <c r="D800" t="str" cm="1">
        <f t="array" ref="D800">_xlfn.IFS(C800&lt;26, "19-25", C800&lt;33, "26-32", C800&lt;40, "33-39", C800&lt;47, "40-46",C800&lt;54, "47-53", TRUE, "54+")</f>
        <v>19-25</v>
      </c>
      <c r="E800">
        <v>718829</v>
      </c>
      <c r="F800" s="1">
        <v>36212</v>
      </c>
      <c r="G800" t="s">
        <v>44</v>
      </c>
      <c r="H800" t="s">
        <v>45</v>
      </c>
      <c r="I800">
        <v>2000</v>
      </c>
      <c r="J800">
        <v>1568.47</v>
      </c>
      <c r="K800">
        <v>4000000</v>
      </c>
      <c r="L800">
        <v>454480</v>
      </c>
      <c r="M800" t="s">
        <v>75</v>
      </c>
      <c r="N800" t="s">
        <v>136</v>
      </c>
      <c r="O800" t="s">
        <v>89</v>
      </c>
      <c r="P800" t="s">
        <v>160</v>
      </c>
      <c r="Q800" t="s">
        <v>90</v>
      </c>
      <c r="R800">
        <v>46800</v>
      </c>
      <c r="S800">
        <v>0</v>
      </c>
      <c r="T800" s="1">
        <v>42037</v>
      </c>
      <c r="U800" t="s">
        <v>51</v>
      </c>
      <c r="V800" t="s">
        <v>52</v>
      </c>
      <c r="W800" t="s">
        <v>53</v>
      </c>
      <c r="X800" t="s">
        <v>104</v>
      </c>
      <c r="Y800" t="s">
        <v>82</v>
      </c>
      <c r="Z800" t="s">
        <v>161</v>
      </c>
      <c r="AA800" t="s">
        <v>982</v>
      </c>
      <c r="AB800">
        <v>7</v>
      </c>
      <c r="AC800" t="str">
        <f t="shared" si="37"/>
        <v>Morning</v>
      </c>
      <c r="AD800">
        <v>1</v>
      </c>
      <c r="AE800" t="s">
        <v>84</v>
      </c>
      <c r="AF800">
        <v>2</v>
      </c>
      <c r="AG800">
        <v>0</v>
      </c>
      <c r="AH800" t="s">
        <v>67</v>
      </c>
      <c r="AI800">
        <v>56600</v>
      </c>
      <c r="AJ800">
        <v>11320</v>
      </c>
      <c r="AK800">
        <v>5660</v>
      </c>
      <c r="AL800">
        <v>39620</v>
      </c>
      <c r="AM800" t="s">
        <v>120</v>
      </c>
      <c r="AN800" t="s">
        <v>121</v>
      </c>
      <c r="AO800">
        <v>2015</v>
      </c>
      <c r="AP800">
        <v>1999</v>
      </c>
      <c r="AQ800">
        <f t="shared" si="38"/>
        <v>16</v>
      </c>
      <c r="AR800" t="s">
        <v>87</v>
      </c>
    </row>
    <row r="801" spans="1:44" x14ac:dyDescent="0.25">
      <c r="A801">
        <v>34</v>
      </c>
      <c r="B801" t="str">
        <f t="shared" si="36"/>
        <v>2-5 years</v>
      </c>
      <c r="C801">
        <v>24</v>
      </c>
      <c r="D801" t="str" cm="1">
        <f t="array" ref="D801">_xlfn.IFS(C801&lt;26, "19-25", C801&lt;33, "26-32", C801&lt;40, "33-39", C801&lt;47, "40-46",C801&lt;54, "47-53", TRUE, "54+")</f>
        <v>19-25</v>
      </c>
      <c r="E801">
        <v>482404</v>
      </c>
      <c r="F801" s="1">
        <v>40712</v>
      </c>
      <c r="G801" t="s">
        <v>62</v>
      </c>
      <c r="H801" t="s">
        <v>96</v>
      </c>
      <c r="I801">
        <v>2000</v>
      </c>
      <c r="J801">
        <v>1550.53</v>
      </c>
      <c r="K801">
        <v>0</v>
      </c>
      <c r="L801">
        <v>435632</v>
      </c>
      <c r="M801" t="s">
        <v>75</v>
      </c>
      <c r="N801" t="s">
        <v>47</v>
      </c>
      <c r="O801" t="s">
        <v>89</v>
      </c>
      <c r="P801" t="s">
        <v>131</v>
      </c>
      <c r="Q801" t="s">
        <v>79</v>
      </c>
      <c r="R801">
        <v>0</v>
      </c>
      <c r="S801">
        <v>-27700</v>
      </c>
      <c r="T801" s="1">
        <v>42036</v>
      </c>
      <c r="U801" t="s">
        <v>143</v>
      </c>
      <c r="V801" t="s">
        <v>67</v>
      </c>
      <c r="W801" t="s">
        <v>217</v>
      </c>
      <c r="X801" t="s">
        <v>98</v>
      </c>
      <c r="Y801" t="s">
        <v>69</v>
      </c>
      <c r="Z801" t="s">
        <v>127</v>
      </c>
      <c r="AA801" t="s">
        <v>983</v>
      </c>
      <c r="AB801">
        <v>20</v>
      </c>
      <c r="AC801" t="str">
        <f t="shared" si="37"/>
        <v>Evening</v>
      </c>
      <c r="AD801">
        <v>1</v>
      </c>
      <c r="AE801" t="s">
        <v>58</v>
      </c>
      <c r="AF801">
        <v>0</v>
      </c>
      <c r="AG801">
        <v>1</v>
      </c>
      <c r="AH801" t="s">
        <v>67</v>
      </c>
      <c r="AI801">
        <v>3960</v>
      </c>
      <c r="AJ801">
        <v>660</v>
      </c>
      <c r="AK801">
        <v>660</v>
      </c>
      <c r="AL801">
        <v>2640</v>
      </c>
      <c r="AM801" t="s">
        <v>114</v>
      </c>
      <c r="AN801" t="s">
        <v>139</v>
      </c>
      <c r="AO801">
        <v>2015</v>
      </c>
      <c r="AP801">
        <v>1998</v>
      </c>
      <c r="AQ801">
        <f t="shared" si="38"/>
        <v>17</v>
      </c>
      <c r="AR801" t="s">
        <v>87</v>
      </c>
    </row>
    <row r="802" spans="1:44" x14ac:dyDescent="0.25">
      <c r="A802">
        <v>95</v>
      </c>
      <c r="B802" t="str">
        <f t="shared" si="36"/>
        <v>5-10 years</v>
      </c>
      <c r="C802">
        <v>30</v>
      </c>
      <c r="D802" t="str" cm="1">
        <f t="array" ref="D802">_xlfn.IFS(C802&lt;26, "19-25", C802&lt;33, "26-32", C802&lt;40, "33-39", C802&lt;47, "40-46",C802&lt;54, "47-53", TRUE, "54+")</f>
        <v>26-32</v>
      </c>
      <c r="E802">
        <v>331170</v>
      </c>
      <c r="F802" s="1">
        <v>34784</v>
      </c>
      <c r="G802" t="s">
        <v>88</v>
      </c>
      <c r="H802" t="s">
        <v>45</v>
      </c>
      <c r="I802">
        <v>2000</v>
      </c>
      <c r="J802">
        <v>1370.92</v>
      </c>
      <c r="K802">
        <v>0</v>
      </c>
      <c r="L802">
        <v>442206</v>
      </c>
      <c r="M802" t="s">
        <v>46</v>
      </c>
      <c r="N802" t="s">
        <v>146</v>
      </c>
      <c r="O802" t="s">
        <v>150</v>
      </c>
      <c r="P802" t="s">
        <v>186</v>
      </c>
      <c r="Q802" t="s">
        <v>90</v>
      </c>
      <c r="R802">
        <v>48900</v>
      </c>
      <c r="S802">
        <v>0</v>
      </c>
      <c r="T802" s="1">
        <v>42049</v>
      </c>
      <c r="U802" t="s">
        <v>51</v>
      </c>
      <c r="V802" t="s">
        <v>81</v>
      </c>
      <c r="W802" t="s">
        <v>68</v>
      </c>
      <c r="X802" t="s">
        <v>54</v>
      </c>
      <c r="Y802" t="s">
        <v>55</v>
      </c>
      <c r="Z802" t="s">
        <v>92</v>
      </c>
      <c r="AA802" t="s">
        <v>984</v>
      </c>
      <c r="AB802">
        <v>22</v>
      </c>
      <c r="AC802" t="str">
        <f t="shared" si="37"/>
        <v>Evening</v>
      </c>
      <c r="AD802">
        <v>1</v>
      </c>
      <c r="AE802" t="s">
        <v>58</v>
      </c>
      <c r="AF802">
        <v>0</v>
      </c>
      <c r="AG802">
        <v>3</v>
      </c>
      <c r="AH802" t="s">
        <v>67</v>
      </c>
      <c r="AI802">
        <v>34800</v>
      </c>
      <c r="AJ802">
        <v>3480</v>
      </c>
      <c r="AK802">
        <v>6960</v>
      </c>
      <c r="AL802">
        <v>24360</v>
      </c>
      <c r="AM802" t="s">
        <v>100</v>
      </c>
      <c r="AN802" t="s">
        <v>153</v>
      </c>
      <c r="AO802">
        <v>2015</v>
      </c>
      <c r="AP802">
        <v>1999</v>
      </c>
      <c r="AQ802">
        <f t="shared" si="38"/>
        <v>16</v>
      </c>
      <c r="AR802" t="s">
        <v>87</v>
      </c>
    </row>
    <row r="803" spans="1:44" x14ac:dyDescent="0.25">
      <c r="A803">
        <v>140</v>
      </c>
      <c r="B803" t="str">
        <f t="shared" si="36"/>
        <v>10+ years</v>
      </c>
      <c r="C803">
        <v>36</v>
      </c>
      <c r="D803" t="str" cm="1">
        <f t="array" ref="D803">_xlfn.IFS(C803&lt;26, "19-25", C803&lt;33, "26-32", C803&lt;40, "33-39", C803&lt;47, "40-46",C803&lt;54, "47-53", TRUE, "54+")</f>
        <v>33-39</v>
      </c>
      <c r="E803">
        <v>753056</v>
      </c>
      <c r="F803" s="1">
        <v>33361</v>
      </c>
      <c r="G803" t="s">
        <v>62</v>
      </c>
      <c r="H803" t="s">
        <v>45</v>
      </c>
      <c r="I803">
        <v>500</v>
      </c>
      <c r="J803">
        <v>1363.59</v>
      </c>
      <c r="K803">
        <v>0</v>
      </c>
      <c r="L803">
        <v>468303</v>
      </c>
      <c r="M803" t="s">
        <v>75</v>
      </c>
      <c r="N803" t="s">
        <v>166</v>
      </c>
      <c r="O803" t="s">
        <v>89</v>
      </c>
      <c r="P803" t="s">
        <v>175</v>
      </c>
      <c r="Q803" t="s">
        <v>147</v>
      </c>
      <c r="R803">
        <v>43200</v>
      </c>
      <c r="S803">
        <v>0</v>
      </c>
      <c r="T803" s="1">
        <v>42043</v>
      </c>
      <c r="U803" t="s">
        <v>80</v>
      </c>
      <c r="V803" t="s">
        <v>81</v>
      </c>
      <c r="W803" t="s">
        <v>68</v>
      </c>
      <c r="X803" t="s">
        <v>125</v>
      </c>
      <c r="Y803" t="s">
        <v>82</v>
      </c>
      <c r="Z803" t="s">
        <v>70</v>
      </c>
      <c r="AA803" t="s">
        <v>985</v>
      </c>
      <c r="AB803">
        <v>10</v>
      </c>
      <c r="AC803" t="str">
        <f t="shared" si="37"/>
        <v>Morning</v>
      </c>
      <c r="AD803">
        <v>3</v>
      </c>
      <c r="AE803" t="s">
        <v>67</v>
      </c>
      <c r="AF803">
        <v>2</v>
      </c>
      <c r="AG803">
        <v>0</v>
      </c>
      <c r="AH803" t="s">
        <v>58</v>
      </c>
      <c r="AI803">
        <v>79500</v>
      </c>
      <c r="AJ803">
        <v>7950</v>
      </c>
      <c r="AK803">
        <v>7950</v>
      </c>
      <c r="AL803">
        <v>63600</v>
      </c>
      <c r="AM803" t="s">
        <v>94</v>
      </c>
      <c r="AN803" t="s">
        <v>95</v>
      </c>
      <c r="AO803">
        <v>2015</v>
      </c>
      <c r="AP803">
        <v>2000</v>
      </c>
      <c r="AQ803">
        <f t="shared" si="38"/>
        <v>15</v>
      </c>
      <c r="AR803" t="s">
        <v>87</v>
      </c>
    </row>
    <row r="804" spans="1:44" x14ac:dyDescent="0.25">
      <c r="A804">
        <v>200</v>
      </c>
      <c r="B804" t="str">
        <f t="shared" si="36"/>
        <v>10+ years</v>
      </c>
      <c r="C804">
        <v>34</v>
      </c>
      <c r="D804" t="str" cm="1">
        <f t="array" ref="D804">_xlfn.IFS(C804&lt;26, "19-25", C804&lt;33, "26-32", C804&lt;40, "33-39", C804&lt;47, "40-46",C804&lt;54, "47-53", TRUE, "54+")</f>
        <v>33-39</v>
      </c>
      <c r="E804">
        <v>910365</v>
      </c>
      <c r="F804" s="1">
        <v>37244</v>
      </c>
      <c r="G804" t="s">
        <v>62</v>
      </c>
      <c r="H804" t="s">
        <v>45</v>
      </c>
      <c r="I804">
        <v>1000</v>
      </c>
      <c r="J804">
        <v>828.42</v>
      </c>
      <c r="K804">
        <v>3000000</v>
      </c>
      <c r="L804">
        <v>467762</v>
      </c>
      <c r="M804" t="s">
        <v>75</v>
      </c>
      <c r="N804" t="s">
        <v>146</v>
      </c>
      <c r="O804" t="s">
        <v>106</v>
      </c>
      <c r="P804" t="s">
        <v>184</v>
      </c>
      <c r="Q804" t="s">
        <v>65</v>
      </c>
      <c r="R804">
        <v>0</v>
      </c>
      <c r="S804">
        <v>0</v>
      </c>
      <c r="T804" s="1">
        <v>42026</v>
      </c>
      <c r="U804" t="s">
        <v>51</v>
      </c>
      <c r="V804" t="s">
        <v>91</v>
      </c>
      <c r="W804" t="s">
        <v>112</v>
      </c>
      <c r="X804" t="s">
        <v>54</v>
      </c>
      <c r="Y804" t="s">
        <v>82</v>
      </c>
      <c r="Z804" t="s">
        <v>92</v>
      </c>
      <c r="AA804" t="s">
        <v>986</v>
      </c>
      <c r="AB804">
        <v>10</v>
      </c>
      <c r="AC804" t="str">
        <f t="shared" si="37"/>
        <v>Morning</v>
      </c>
      <c r="AD804">
        <v>1</v>
      </c>
      <c r="AE804" t="s">
        <v>67</v>
      </c>
      <c r="AF804">
        <v>2</v>
      </c>
      <c r="AG804">
        <v>2</v>
      </c>
      <c r="AH804" t="s">
        <v>84</v>
      </c>
      <c r="AI804">
        <v>56000</v>
      </c>
      <c r="AJ804">
        <v>5600</v>
      </c>
      <c r="AK804">
        <v>5600</v>
      </c>
      <c r="AL804">
        <v>44800</v>
      </c>
      <c r="AM804" t="s">
        <v>94</v>
      </c>
      <c r="AN804" t="s">
        <v>250</v>
      </c>
      <c r="AO804">
        <v>2015</v>
      </c>
      <c r="AP804">
        <v>2009</v>
      </c>
      <c r="AQ804">
        <f t="shared" si="38"/>
        <v>6</v>
      </c>
      <c r="AR804" t="s">
        <v>87</v>
      </c>
    </row>
    <row r="805" spans="1:44" x14ac:dyDescent="0.25">
      <c r="A805">
        <v>123</v>
      </c>
      <c r="B805" t="str">
        <f t="shared" si="36"/>
        <v>10+ years</v>
      </c>
      <c r="C805">
        <v>29</v>
      </c>
      <c r="D805" t="str" cm="1">
        <f t="array" ref="D805">_xlfn.IFS(C805&lt;26, "19-25", C805&lt;33, "26-32", C805&lt;40, "33-39", C805&lt;47, "40-46",C805&lt;54, "47-53", TRUE, "54+")</f>
        <v>26-32</v>
      </c>
      <c r="E805">
        <v>379268</v>
      </c>
      <c r="F805" s="1">
        <v>41126</v>
      </c>
      <c r="G805" t="s">
        <v>62</v>
      </c>
      <c r="H805" t="s">
        <v>45</v>
      </c>
      <c r="I805">
        <v>500</v>
      </c>
      <c r="J805">
        <v>1209.6300000000001</v>
      </c>
      <c r="K805">
        <v>0</v>
      </c>
      <c r="L805">
        <v>447188</v>
      </c>
      <c r="M805" t="s">
        <v>75</v>
      </c>
      <c r="N805" t="s">
        <v>129</v>
      </c>
      <c r="O805" t="s">
        <v>63</v>
      </c>
      <c r="P805" t="s">
        <v>173</v>
      </c>
      <c r="Q805" t="s">
        <v>147</v>
      </c>
      <c r="R805">
        <v>64800</v>
      </c>
      <c r="S805">
        <v>-44200</v>
      </c>
      <c r="T805" s="1">
        <v>42018</v>
      </c>
      <c r="U805" t="s">
        <v>51</v>
      </c>
      <c r="V805" t="s">
        <v>81</v>
      </c>
      <c r="W805" t="s">
        <v>68</v>
      </c>
      <c r="X805" t="s">
        <v>141</v>
      </c>
      <c r="Y805" t="s">
        <v>126</v>
      </c>
      <c r="Z805" t="s">
        <v>92</v>
      </c>
      <c r="AA805" t="s">
        <v>987</v>
      </c>
      <c r="AB805">
        <v>17</v>
      </c>
      <c r="AC805" t="str">
        <f t="shared" si="37"/>
        <v>Afternoon</v>
      </c>
      <c r="AD805">
        <v>1</v>
      </c>
      <c r="AE805" t="s">
        <v>58</v>
      </c>
      <c r="AF805">
        <v>1</v>
      </c>
      <c r="AG805">
        <v>0</v>
      </c>
      <c r="AH805" t="s">
        <v>58</v>
      </c>
      <c r="AI805">
        <v>73260</v>
      </c>
      <c r="AJ805">
        <v>16280</v>
      </c>
      <c r="AK805">
        <v>0</v>
      </c>
      <c r="AL805">
        <v>56980</v>
      </c>
      <c r="AM805" t="s">
        <v>219</v>
      </c>
      <c r="AN805" t="s">
        <v>263</v>
      </c>
      <c r="AO805">
        <v>2015</v>
      </c>
      <c r="AP805">
        <v>2014</v>
      </c>
      <c r="AQ805">
        <f t="shared" si="38"/>
        <v>1</v>
      </c>
      <c r="AR805" t="s">
        <v>61</v>
      </c>
    </row>
    <row r="806" spans="1:44" x14ac:dyDescent="0.25">
      <c r="A806">
        <v>267</v>
      </c>
      <c r="B806" t="str">
        <f t="shared" si="36"/>
        <v>10+ years</v>
      </c>
      <c r="C806">
        <v>46</v>
      </c>
      <c r="D806" t="str" cm="1">
        <f t="array" ref="D806">_xlfn.IFS(C806&lt;26, "19-25", C806&lt;33, "26-32", C806&lt;40, "33-39", C806&lt;47, "40-46",C806&lt;54, "47-53", TRUE, "54+")</f>
        <v>40-46</v>
      </c>
      <c r="E806">
        <v>362843</v>
      </c>
      <c r="F806" s="1">
        <v>38208</v>
      </c>
      <c r="G806" t="s">
        <v>44</v>
      </c>
      <c r="H806" t="s">
        <v>45</v>
      </c>
      <c r="I806">
        <v>2000</v>
      </c>
      <c r="J806">
        <v>1111.17</v>
      </c>
      <c r="K806">
        <v>0</v>
      </c>
      <c r="L806">
        <v>469438</v>
      </c>
      <c r="M806" t="s">
        <v>46</v>
      </c>
      <c r="N806" t="s">
        <v>47</v>
      </c>
      <c r="O806" t="s">
        <v>48</v>
      </c>
      <c r="P806" t="s">
        <v>111</v>
      </c>
      <c r="Q806" t="s">
        <v>90</v>
      </c>
      <c r="R806">
        <v>35000</v>
      </c>
      <c r="S806">
        <v>0</v>
      </c>
      <c r="T806" s="1">
        <v>42038</v>
      </c>
      <c r="U806" t="s">
        <v>143</v>
      </c>
      <c r="V806" t="s">
        <v>67</v>
      </c>
      <c r="W806" t="s">
        <v>217</v>
      </c>
      <c r="X806" t="s">
        <v>98</v>
      </c>
      <c r="Y806" t="s">
        <v>118</v>
      </c>
      <c r="Z806" t="s">
        <v>92</v>
      </c>
      <c r="AA806" t="s">
        <v>988</v>
      </c>
      <c r="AB806">
        <v>3</v>
      </c>
      <c r="AC806" t="str">
        <f t="shared" si="37"/>
        <v>Night</v>
      </c>
      <c r="AD806">
        <v>1</v>
      </c>
      <c r="AE806" t="s">
        <v>58</v>
      </c>
      <c r="AF806">
        <v>2</v>
      </c>
      <c r="AG806">
        <v>3</v>
      </c>
      <c r="AH806" t="s">
        <v>58</v>
      </c>
      <c r="AI806">
        <v>4950</v>
      </c>
      <c r="AJ806">
        <v>900</v>
      </c>
      <c r="AK806">
        <v>450</v>
      </c>
      <c r="AL806">
        <v>3600</v>
      </c>
      <c r="AM806" t="s">
        <v>120</v>
      </c>
      <c r="AN806" t="s">
        <v>121</v>
      </c>
      <c r="AO806">
        <v>2015</v>
      </c>
      <c r="AP806">
        <v>1995</v>
      </c>
      <c r="AQ806">
        <f t="shared" si="38"/>
        <v>20</v>
      </c>
      <c r="AR806" t="s">
        <v>87</v>
      </c>
    </row>
    <row r="807" spans="1:44" x14ac:dyDescent="0.25">
      <c r="A807">
        <v>290</v>
      </c>
      <c r="B807" t="str">
        <f t="shared" si="36"/>
        <v>10+ years</v>
      </c>
      <c r="C807">
        <v>42</v>
      </c>
      <c r="D807" t="str" cm="1">
        <f t="array" ref="D807">_xlfn.IFS(C807&lt;26, "19-25", C807&lt;33, "26-32", C807&lt;40, "33-39", C807&lt;47, "40-46",C807&lt;54, "47-53", TRUE, "54+")</f>
        <v>40-46</v>
      </c>
      <c r="E807">
        <v>135400</v>
      </c>
      <c r="F807" s="1">
        <v>41659</v>
      </c>
      <c r="G807" t="s">
        <v>62</v>
      </c>
      <c r="H807" t="s">
        <v>96</v>
      </c>
      <c r="I807">
        <v>500</v>
      </c>
      <c r="J807">
        <v>989.97</v>
      </c>
      <c r="K807">
        <v>0</v>
      </c>
      <c r="L807">
        <v>462519</v>
      </c>
      <c r="M807" t="s">
        <v>46</v>
      </c>
      <c r="N807" t="s">
        <v>129</v>
      </c>
      <c r="O807" t="s">
        <v>63</v>
      </c>
      <c r="P807" t="s">
        <v>175</v>
      </c>
      <c r="Q807" t="s">
        <v>79</v>
      </c>
      <c r="R807">
        <v>32500</v>
      </c>
      <c r="S807">
        <v>0</v>
      </c>
      <c r="T807" s="1">
        <v>42024</v>
      </c>
      <c r="U807" t="s">
        <v>51</v>
      </c>
      <c r="V807" t="s">
        <v>81</v>
      </c>
      <c r="W807" t="s">
        <v>68</v>
      </c>
      <c r="X807" t="s">
        <v>141</v>
      </c>
      <c r="Y807" t="s">
        <v>118</v>
      </c>
      <c r="Z807" t="s">
        <v>127</v>
      </c>
      <c r="AA807" t="s">
        <v>989</v>
      </c>
      <c r="AB807">
        <v>10</v>
      </c>
      <c r="AC807" t="str">
        <f t="shared" si="37"/>
        <v>Morning</v>
      </c>
      <c r="AD807">
        <v>1</v>
      </c>
      <c r="AE807" t="s">
        <v>84</v>
      </c>
      <c r="AF807">
        <v>0</v>
      </c>
      <c r="AG807">
        <v>1</v>
      </c>
      <c r="AH807" t="s">
        <v>84</v>
      </c>
      <c r="AI807">
        <v>48000</v>
      </c>
      <c r="AJ807">
        <v>4800</v>
      </c>
      <c r="AK807">
        <v>9600</v>
      </c>
      <c r="AL807">
        <v>33600</v>
      </c>
      <c r="AM807" t="s">
        <v>59</v>
      </c>
      <c r="AN807">
        <v>95</v>
      </c>
      <c r="AO807">
        <v>2015</v>
      </c>
      <c r="AP807">
        <v>2013</v>
      </c>
      <c r="AQ807">
        <f t="shared" si="38"/>
        <v>2</v>
      </c>
      <c r="AR807" t="s">
        <v>87</v>
      </c>
    </row>
    <row r="808" spans="1:44" x14ac:dyDescent="0.25">
      <c r="A808">
        <v>45</v>
      </c>
      <c r="B808" t="str">
        <f t="shared" si="36"/>
        <v>2-5 years</v>
      </c>
      <c r="C808">
        <v>37</v>
      </c>
      <c r="D808" t="str" cm="1">
        <f t="array" ref="D808">_xlfn.IFS(C808&lt;26, "19-25", C808&lt;33, "26-32", C808&lt;40, "33-39", C808&lt;47, "40-46",C808&lt;54, "47-53", TRUE, "54+")</f>
        <v>33-39</v>
      </c>
      <c r="E808">
        <v>798579</v>
      </c>
      <c r="F808" s="1">
        <v>40896</v>
      </c>
      <c r="G808" t="s">
        <v>62</v>
      </c>
      <c r="H808" t="s">
        <v>45</v>
      </c>
      <c r="I808">
        <v>1000</v>
      </c>
      <c r="J808">
        <v>1114.23</v>
      </c>
      <c r="K808">
        <v>0</v>
      </c>
      <c r="L808">
        <v>432534</v>
      </c>
      <c r="M808" t="s">
        <v>46</v>
      </c>
      <c r="N808" t="s">
        <v>146</v>
      </c>
      <c r="O808" t="s">
        <v>106</v>
      </c>
      <c r="P808" t="s">
        <v>131</v>
      </c>
      <c r="Q808" t="s">
        <v>124</v>
      </c>
      <c r="R808">
        <v>0</v>
      </c>
      <c r="S808">
        <v>0</v>
      </c>
      <c r="T808" s="1">
        <v>42005</v>
      </c>
      <c r="U808" t="s">
        <v>51</v>
      </c>
      <c r="V808" t="s">
        <v>52</v>
      </c>
      <c r="W808" t="s">
        <v>53</v>
      </c>
      <c r="X808" t="s">
        <v>104</v>
      </c>
      <c r="Y808" t="s">
        <v>55</v>
      </c>
      <c r="Z808" t="s">
        <v>92</v>
      </c>
      <c r="AA808" t="s">
        <v>990</v>
      </c>
      <c r="AB808">
        <v>1</v>
      </c>
      <c r="AC808" t="str">
        <f t="shared" si="37"/>
        <v>Night</v>
      </c>
      <c r="AD808">
        <v>1</v>
      </c>
      <c r="AE808" t="s">
        <v>58</v>
      </c>
      <c r="AF808">
        <v>0</v>
      </c>
      <c r="AG808">
        <v>1</v>
      </c>
      <c r="AH808" t="s">
        <v>58</v>
      </c>
      <c r="AI808">
        <v>52200</v>
      </c>
      <c r="AJ808">
        <v>10440</v>
      </c>
      <c r="AK808">
        <v>5220</v>
      </c>
      <c r="AL808">
        <v>36540</v>
      </c>
      <c r="AM808" t="s">
        <v>109</v>
      </c>
      <c r="AN808" t="s">
        <v>110</v>
      </c>
      <c r="AO808">
        <v>2015</v>
      </c>
      <c r="AP808">
        <v>2005</v>
      </c>
      <c r="AQ808">
        <f t="shared" si="38"/>
        <v>10</v>
      </c>
      <c r="AR808" t="s">
        <v>87</v>
      </c>
    </row>
    <row r="809" spans="1:44" x14ac:dyDescent="0.25">
      <c r="A809">
        <v>186</v>
      </c>
      <c r="B809" t="str">
        <f t="shared" si="36"/>
        <v>10+ years</v>
      </c>
      <c r="C809">
        <v>38</v>
      </c>
      <c r="D809" t="str" cm="1">
        <f t="array" ref="D809">_xlfn.IFS(C809&lt;26, "19-25", C809&lt;33, "26-32", C809&lt;40, "33-39", C809&lt;47, "40-46",C809&lt;54, "47-53", TRUE, "54+")</f>
        <v>33-39</v>
      </c>
      <c r="E809">
        <v>250833</v>
      </c>
      <c r="F809" s="1">
        <v>39657</v>
      </c>
      <c r="G809" t="s">
        <v>62</v>
      </c>
      <c r="H809" t="s">
        <v>45</v>
      </c>
      <c r="I809">
        <v>2000</v>
      </c>
      <c r="J809">
        <v>1347.31</v>
      </c>
      <c r="K809">
        <v>0</v>
      </c>
      <c r="L809">
        <v>436467</v>
      </c>
      <c r="M809" t="s">
        <v>75</v>
      </c>
      <c r="N809" t="s">
        <v>166</v>
      </c>
      <c r="O809" t="s">
        <v>140</v>
      </c>
      <c r="P809" t="s">
        <v>131</v>
      </c>
      <c r="Q809" t="s">
        <v>90</v>
      </c>
      <c r="R809">
        <v>80900</v>
      </c>
      <c r="S809">
        <v>-111100</v>
      </c>
      <c r="T809" s="1">
        <v>42037</v>
      </c>
      <c r="U809" t="s">
        <v>80</v>
      </c>
      <c r="V809" t="s">
        <v>81</v>
      </c>
      <c r="W809" t="s">
        <v>68</v>
      </c>
      <c r="X809" t="s">
        <v>141</v>
      </c>
      <c r="Y809" t="s">
        <v>82</v>
      </c>
      <c r="Z809" t="s">
        <v>107</v>
      </c>
      <c r="AA809" t="s">
        <v>991</v>
      </c>
      <c r="AB809">
        <v>1</v>
      </c>
      <c r="AC809" t="str">
        <f t="shared" si="37"/>
        <v>Night</v>
      </c>
      <c r="AD809">
        <v>3</v>
      </c>
      <c r="AE809" t="s">
        <v>84</v>
      </c>
      <c r="AF809">
        <v>2</v>
      </c>
      <c r="AG809">
        <v>3</v>
      </c>
      <c r="AH809" t="s">
        <v>67</v>
      </c>
      <c r="AI809">
        <v>73800</v>
      </c>
      <c r="AJ809">
        <v>12300</v>
      </c>
      <c r="AK809">
        <v>12300</v>
      </c>
      <c r="AL809">
        <v>49200</v>
      </c>
      <c r="AM809" t="s">
        <v>114</v>
      </c>
      <c r="AN809" t="s">
        <v>139</v>
      </c>
      <c r="AO809">
        <v>2015</v>
      </c>
      <c r="AP809">
        <v>1995</v>
      </c>
      <c r="AQ809">
        <f t="shared" si="38"/>
        <v>20</v>
      </c>
      <c r="AR809" t="s">
        <v>87</v>
      </c>
    </row>
    <row r="810" spans="1:44" x14ac:dyDescent="0.25">
      <c r="A810">
        <v>135</v>
      </c>
      <c r="B810" t="str">
        <f t="shared" si="36"/>
        <v>10+ years</v>
      </c>
      <c r="C810">
        <v>34</v>
      </c>
      <c r="D810" t="str" cm="1">
        <f t="array" ref="D810">_xlfn.IFS(C810&lt;26, "19-25", C810&lt;33, "26-32", C810&lt;40, "33-39", C810&lt;47, "40-46",C810&lt;54, "47-53", TRUE, "54+")</f>
        <v>33-39</v>
      </c>
      <c r="E810">
        <v>824116</v>
      </c>
      <c r="F810" s="1">
        <v>35920</v>
      </c>
      <c r="G810" t="s">
        <v>88</v>
      </c>
      <c r="H810" t="s">
        <v>45</v>
      </c>
      <c r="I810">
        <v>2000</v>
      </c>
      <c r="J810">
        <v>1687.53</v>
      </c>
      <c r="K810">
        <v>0</v>
      </c>
      <c r="L810">
        <v>465674</v>
      </c>
      <c r="M810" t="s">
        <v>75</v>
      </c>
      <c r="N810" t="s">
        <v>166</v>
      </c>
      <c r="O810" t="s">
        <v>140</v>
      </c>
      <c r="P810" t="s">
        <v>111</v>
      </c>
      <c r="Q810" t="s">
        <v>65</v>
      </c>
      <c r="R810">
        <v>0</v>
      </c>
      <c r="S810">
        <v>-69600</v>
      </c>
      <c r="T810" s="1">
        <v>42027</v>
      </c>
      <c r="U810" t="s">
        <v>51</v>
      </c>
      <c r="V810" t="s">
        <v>52</v>
      </c>
      <c r="W810" t="s">
        <v>112</v>
      </c>
      <c r="X810" t="s">
        <v>104</v>
      </c>
      <c r="Y810" t="s">
        <v>126</v>
      </c>
      <c r="Z810" t="s">
        <v>132</v>
      </c>
      <c r="AA810" t="s">
        <v>992</v>
      </c>
      <c r="AB810">
        <v>7</v>
      </c>
      <c r="AC810" t="str">
        <f t="shared" si="37"/>
        <v>Morning</v>
      </c>
      <c r="AD810">
        <v>1</v>
      </c>
      <c r="AE810" t="s">
        <v>67</v>
      </c>
      <c r="AF810">
        <v>1</v>
      </c>
      <c r="AG810">
        <v>2</v>
      </c>
      <c r="AH810" t="s">
        <v>84</v>
      </c>
      <c r="AI810">
        <v>78200</v>
      </c>
      <c r="AJ810">
        <v>15640</v>
      </c>
      <c r="AK810">
        <v>7820</v>
      </c>
      <c r="AL810">
        <v>54740</v>
      </c>
      <c r="AM810" t="s">
        <v>114</v>
      </c>
      <c r="AN810" t="s">
        <v>139</v>
      </c>
      <c r="AO810">
        <v>2015</v>
      </c>
      <c r="AP810">
        <v>2009</v>
      </c>
      <c r="AQ810">
        <f t="shared" si="38"/>
        <v>6</v>
      </c>
      <c r="AR810" t="s">
        <v>87</v>
      </c>
    </row>
    <row r="811" spans="1:44" x14ac:dyDescent="0.25">
      <c r="A811">
        <v>110</v>
      </c>
      <c r="B811" t="str">
        <f t="shared" si="36"/>
        <v>5-10 years</v>
      </c>
      <c r="C811">
        <v>33</v>
      </c>
      <c r="D811" t="str" cm="1">
        <f t="array" ref="D811">_xlfn.IFS(C811&lt;26, "19-25", C811&lt;33, "26-32", C811&lt;40, "33-39", C811&lt;47, "40-46",C811&lt;54, "47-53", TRUE, "54+")</f>
        <v>33-39</v>
      </c>
      <c r="E811">
        <v>322613</v>
      </c>
      <c r="F811" s="1">
        <v>34805</v>
      </c>
      <c r="G811" t="s">
        <v>62</v>
      </c>
      <c r="H811" t="s">
        <v>45</v>
      </c>
      <c r="I811">
        <v>1000</v>
      </c>
      <c r="J811">
        <v>1183.48</v>
      </c>
      <c r="K811">
        <v>0</v>
      </c>
      <c r="L811">
        <v>442389</v>
      </c>
      <c r="M811" t="s">
        <v>46</v>
      </c>
      <c r="N811" t="s">
        <v>97</v>
      </c>
      <c r="O811" t="s">
        <v>116</v>
      </c>
      <c r="P811" t="s">
        <v>103</v>
      </c>
      <c r="Q811" t="s">
        <v>50</v>
      </c>
      <c r="R811">
        <v>0</v>
      </c>
      <c r="S811">
        <v>0</v>
      </c>
      <c r="T811" s="1">
        <v>42030</v>
      </c>
      <c r="U811" t="s">
        <v>51</v>
      </c>
      <c r="V811" t="s">
        <v>81</v>
      </c>
      <c r="W811" t="s">
        <v>53</v>
      </c>
      <c r="X811" t="s">
        <v>141</v>
      </c>
      <c r="Y811" t="s">
        <v>69</v>
      </c>
      <c r="Z811" t="s">
        <v>132</v>
      </c>
      <c r="AA811" t="s">
        <v>993</v>
      </c>
      <c r="AB811">
        <v>19</v>
      </c>
      <c r="AC811" t="str">
        <f t="shared" si="37"/>
        <v>Evening</v>
      </c>
      <c r="AD811">
        <v>1</v>
      </c>
      <c r="AE811" t="s">
        <v>67</v>
      </c>
      <c r="AF811">
        <v>2</v>
      </c>
      <c r="AG811">
        <v>3</v>
      </c>
      <c r="AH811" t="s">
        <v>84</v>
      </c>
      <c r="AI811">
        <v>55200</v>
      </c>
      <c r="AJ811">
        <v>13800</v>
      </c>
      <c r="AK811">
        <v>9200</v>
      </c>
      <c r="AL811">
        <v>32200</v>
      </c>
      <c r="AM811" t="s">
        <v>59</v>
      </c>
      <c r="AN811">
        <v>93</v>
      </c>
      <c r="AO811">
        <v>2015</v>
      </c>
      <c r="AP811">
        <v>2015</v>
      </c>
      <c r="AQ811">
        <f t="shared" si="38"/>
        <v>0</v>
      </c>
      <c r="AR811" t="s">
        <v>61</v>
      </c>
    </row>
    <row r="812" spans="1:44" x14ac:dyDescent="0.25">
      <c r="A812">
        <v>259</v>
      </c>
      <c r="B812" t="str">
        <f t="shared" si="36"/>
        <v>10+ years</v>
      </c>
      <c r="C812">
        <v>43</v>
      </c>
      <c r="D812" t="str" cm="1">
        <f t="array" ref="D812">_xlfn.IFS(C812&lt;26, "19-25", C812&lt;33, "26-32", C812&lt;40, "33-39", C812&lt;47, "40-46",C812&lt;54, "47-53", TRUE, "54+")</f>
        <v>40-46</v>
      </c>
      <c r="E812">
        <v>871305</v>
      </c>
      <c r="F812" s="1">
        <v>33648</v>
      </c>
      <c r="G812" t="s">
        <v>88</v>
      </c>
      <c r="H812" t="s">
        <v>96</v>
      </c>
      <c r="I812">
        <v>2000</v>
      </c>
      <c r="J812">
        <v>1537.13</v>
      </c>
      <c r="K812">
        <v>0</v>
      </c>
      <c r="L812">
        <v>471614</v>
      </c>
      <c r="M812" t="s">
        <v>75</v>
      </c>
      <c r="N812" t="s">
        <v>76</v>
      </c>
      <c r="O812" t="s">
        <v>164</v>
      </c>
      <c r="P812" t="s">
        <v>175</v>
      </c>
      <c r="Q812" t="s">
        <v>79</v>
      </c>
      <c r="R812">
        <v>0</v>
      </c>
      <c r="S812">
        <v>-58300</v>
      </c>
      <c r="T812" s="1">
        <v>42006</v>
      </c>
      <c r="U812" t="s">
        <v>80</v>
      </c>
      <c r="V812" t="s">
        <v>52</v>
      </c>
      <c r="W812" t="s">
        <v>112</v>
      </c>
      <c r="X812" t="s">
        <v>125</v>
      </c>
      <c r="Y812" t="s">
        <v>82</v>
      </c>
      <c r="Z812" t="s">
        <v>132</v>
      </c>
      <c r="AA812" t="s">
        <v>994</v>
      </c>
      <c r="AB812">
        <v>3</v>
      </c>
      <c r="AC812" t="str">
        <f t="shared" si="37"/>
        <v>Night</v>
      </c>
      <c r="AD812">
        <v>3</v>
      </c>
      <c r="AE812" t="s">
        <v>84</v>
      </c>
      <c r="AF812">
        <v>0</v>
      </c>
      <c r="AG812">
        <v>2</v>
      </c>
      <c r="AH812" t="s">
        <v>58</v>
      </c>
      <c r="AI812">
        <v>57060</v>
      </c>
      <c r="AJ812">
        <v>6340</v>
      </c>
      <c r="AK812">
        <v>6340</v>
      </c>
      <c r="AL812">
        <v>44380</v>
      </c>
      <c r="AM812" t="s">
        <v>134</v>
      </c>
      <c r="AN812" t="s">
        <v>254</v>
      </c>
      <c r="AO812">
        <v>2015</v>
      </c>
      <c r="AP812">
        <v>2012</v>
      </c>
      <c r="AQ812">
        <f t="shared" si="38"/>
        <v>3</v>
      </c>
      <c r="AR812" t="s">
        <v>87</v>
      </c>
    </row>
    <row r="813" spans="1:44" x14ac:dyDescent="0.25">
      <c r="A813">
        <v>114</v>
      </c>
      <c r="B813" t="str">
        <f t="shared" si="36"/>
        <v>5-10 years</v>
      </c>
      <c r="C813">
        <v>30</v>
      </c>
      <c r="D813" t="str" cm="1">
        <f t="array" ref="D813">_xlfn.IFS(C813&lt;26, "19-25", C813&lt;33, "26-32", C813&lt;40, "33-39", C813&lt;47, "40-46",C813&lt;54, "47-53", TRUE, "54+")</f>
        <v>26-32</v>
      </c>
      <c r="E813">
        <v>488037</v>
      </c>
      <c r="F813" s="1">
        <v>39274</v>
      </c>
      <c r="G813" t="s">
        <v>44</v>
      </c>
      <c r="H813" t="s">
        <v>45</v>
      </c>
      <c r="I813">
        <v>1000</v>
      </c>
      <c r="J813">
        <v>1173.25</v>
      </c>
      <c r="K813">
        <v>0</v>
      </c>
      <c r="L813">
        <v>442936</v>
      </c>
      <c r="M813" t="s">
        <v>75</v>
      </c>
      <c r="N813" t="s">
        <v>129</v>
      </c>
      <c r="O813" t="s">
        <v>140</v>
      </c>
      <c r="P813" t="s">
        <v>131</v>
      </c>
      <c r="Q813" t="s">
        <v>50</v>
      </c>
      <c r="R813">
        <v>0</v>
      </c>
      <c r="S813">
        <v>-34700</v>
      </c>
      <c r="T813" s="1">
        <v>42060</v>
      </c>
      <c r="U813" t="s">
        <v>66</v>
      </c>
      <c r="V813" t="s">
        <v>67</v>
      </c>
      <c r="W813" t="s">
        <v>68</v>
      </c>
      <c r="X813" t="s">
        <v>98</v>
      </c>
      <c r="Y813" t="s">
        <v>118</v>
      </c>
      <c r="Z813" t="s">
        <v>92</v>
      </c>
      <c r="AA813" t="s">
        <v>995</v>
      </c>
      <c r="AB813">
        <v>3</v>
      </c>
      <c r="AC813" t="str">
        <f t="shared" si="37"/>
        <v>Night</v>
      </c>
      <c r="AD813">
        <v>1</v>
      </c>
      <c r="AE813" t="s">
        <v>84</v>
      </c>
      <c r="AF813">
        <v>0</v>
      </c>
      <c r="AG813">
        <v>3</v>
      </c>
      <c r="AH813" t="s">
        <v>58</v>
      </c>
      <c r="AI813">
        <v>4680</v>
      </c>
      <c r="AJ813">
        <v>520</v>
      </c>
      <c r="AK813">
        <v>520</v>
      </c>
      <c r="AL813">
        <v>3640</v>
      </c>
      <c r="AM813" t="s">
        <v>94</v>
      </c>
      <c r="AN813" t="s">
        <v>250</v>
      </c>
      <c r="AO813">
        <v>2015</v>
      </c>
      <c r="AP813">
        <v>2013</v>
      </c>
      <c r="AQ813">
        <f t="shared" si="38"/>
        <v>2</v>
      </c>
      <c r="AR813" t="s">
        <v>87</v>
      </c>
    </row>
    <row r="814" spans="1:44" x14ac:dyDescent="0.25">
      <c r="A814">
        <v>404</v>
      </c>
      <c r="B814" t="str">
        <f t="shared" si="36"/>
        <v>10+ years</v>
      </c>
      <c r="C814">
        <v>56</v>
      </c>
      <c r="D814" t="str" cm="1">
        <f t="array" ref="D814">_xlfn.IFS(C814&lt;26, "19-25", C814&lt;33, "26-32", C814&lt;40, "33-39", C814&lt;47, "40-46",C814&lt;54, "47-53", TRUE, "54+")</f>
        <v>54+</v>
      </c>
      <c r="E814">
        <v>485813</v>
      </c>
      <c r="F814" s="1">
        <v>40275</v>
      </c>
      <c r="G814" t="s">
        <v>62</v>
      </c>
      <c r="H814" t="s">
        <v>45</v>
      </c>
      <c r="I814">
        <v>1000</v>
      </c>
      <c r="J814">
        <v>1361.16</v>
      </c>
      <c r="K814">
        <v>4000000</v>
      </c>
      <c r="L814">
        <v>437944</v>
      </c>
      <c r="M814" t="s">
        <v>75</v>
      </c>
      <c r="N814" t="s">
        <v>129</v>
      </c>
      <c r="O814" t="s">
        <v>150</v>
      </c>
      <c r="P814" t="s">
        <v>247</v>
      </c>
      <c r="Q814" t="s">
        <v>147</v>
      </c>
      <c r="R814">
        <v>0</v>
      </c>
      <c r="S814">
        <v>-63700</v>
      </c>
      <c r="T814" s="1">
        <v>42019</v>
      </c>
      <c r="U814" t="s">
        <v>51</v>
      </c>
      <c r="V814" t="s">
        <v>91</v>
      </c>
      <c r="W814" t="s">
        <v>68</v>
      </c>
      <c r="X814" t="s">
        <v>141</v>
      </c>
      <c r="Y814" t="s">
        <v>69</v>
      </c>
      <c r="Z814" t="s">
        <v>127</v>
      </c>
      <c r="AA814" t="s">
        <v>996</v>
      </c>
      <c r="AB814">
        <v>23</v>
      </c>
      <c r="AC814" t="str">
        <f t="shared" si="37"/>
        <v>Evening</v>
      </c>
      <c r="AD814">
        <v>1</v>
      </c>
      <c r="AE814" t="s">
        <v>84</v>
      </c>
      <c r="AF814">
        <v>2</v>
      </c>
      <c r="AG814">
        <v>0</v>
      </c>
      <c r="AH814" t="s">
        <v>58</v>
      </c>
      <c r="AI814">
        <v>53100</v>
      </c>
      <c r="AJ814">
        <v>5310</v>
      </c>
      <c r="AK814">
        <v>5310</v>
      </c>
      <c r="AL814">
        <v>42480</v>
      </c>
      <c r="AM814" t="s">
        <v>100</v>
      </c>
      <c r="AN814" t="s">
        <v>153</v>
      </c>
      <c r="AO814">
        <v>2015</v>
      </c>
      <c r="AP814">
        <v>2005</v>
      </c>
      <c r="AQ814">
        <f t="shared" si="38"/>
        <v>10</v>
      </c>
      <c r="AR814" t="s">
        <v>61</v>
      </c>
    </row>
    <row r="815" spans="1:44" x14ac:dyDescent="0.25">
      <c r="A815">
        <v>282</v>
      </c>
      <c r="B815" t="str">
        <f t="shared" si="36"/>
        <v>10+ years</v>
      </c>
      <c r="C815">
        <v>48</v>
      </c>
      <c r="D815" t="str" cm="1">
        <f t="array" ref="D815">_xlfn.IFS(C815&lt;26, "19-25", C815&lt;33, "26-32", C815&lt;40, "33-39", C815&lt;47, "40-46",C815&lt;54, "47-53", TRUE, "54+")</f>
        <v>47-53</v>
      </c>
      <c r="E815">
        <v>886473</v>
      </c>
      <c r="F815" s="1">
        <v>33307</v>
      </c>
      <c r="G815" t="s">
        <v>44</v>
      </c>
      <c r="H815" t="s">
        <v>96</v>
      </c>
      <c r="I815">
        <v>2000</v>
      </c>
      <c r="J815">
        <v>1422.56</v>
      </c>
      <c r="K815">
        <v>7000000</v>
      </c>
      <c r="L815">
        <v>473705</v>
      </c>
      <c r="M815" t="s">
        <v>75</v>
      </c>
      <c r="N815" t="s">
        <v>47</v>
      </c>
      <c r="O815" t="s">
        <v>106</v>
      </c>
      <c r="P815" t="s">
        <v>186</v>
      </c>
      <c r="Q815" t="s">
        <v>50</v>
      </c>
      <c r="R815">
        <v>26900</v>
      </c>
      <c r="S815">
        <v>-55300</v>
      </c>
      <c r="T815" s="1">
        <v>42044</v>
      </c>
      <c r="U815" t="s">
        <v>66</v>
      </c>
      <c r="V815" t="s">
        <v>67</v>
      </c>
      <c r="W815" t="s">
        <v>68</v>
      </c>
      <c r="X815" t="s">
        <v>98</v>
      </c>
      <c r="Y815" t="s">
        <v>118</v>
      </c>
      <c r="Z815" t="s">
        <v>107</v>
      </c>
      <c r="AA815" t="s">
        <v>997</v>
      </c>
      <c r="AB815">
        <v>7</v>
      </c>
      <c r="AC815" t="str">
        <f t="shared" si="37"/>
        <v>Morning</v>
      </c>
      <c r="AD815">
        <v>1</v>
      </c>
      <c r="AE815" t="s">
        <v>67</v>
      </c>
      <c r="AF815">
        <v>1</v>
      </c>
      <c r="AG815">
        <v>2</v>
      </c>
      <c r="AH815" t="s">
        <v>84</v>
      </c>
      <c r="AI815">
        <v>3520</v>
      </c>
      <c r="AJ815">
        <v>640</v>
      </c>
      <c r="AK815">
        <v>320</v>
      </c>
      <c r="AL815">
        <v>2560</v>
      </c>
      <c r="AM815" t="s">
        <v>100</v>
      </c>
      <c r="AN815" t="s">
        <v>153</v>
      </c>
      <c r="AO815">
        <v>2015</v>
      </c>
      <c r="AP815">
        <v>2013</v>
      </c>
      <c r="AQ815">
        <f t="shared" si="38"/>
        <v>2</v>
      </c>
      <c r="AR815" t="s">
        <v>87</v>
      </c>
    </row>
    <row r="816" spans="1:44" x14ac:dyDescent="0.25">
      <c r="A816">
        <v>57</v>
      </c>
      <c r="B816" t="str">
        <f t="shared" si="36"/>
        <v>2-5 years</v>
      </c>
      <c r="C816">
        <v>25</v>
      </c>
      <c r="D816" t="str" cm="1">
        <f t="array" ref="D816">_xlfn.IFS(C816&lt;26, "19-25", C816&lt;33, "26-32", C816&lt;40, "33-39", C816&lt;47, "40-46",C816&lt;54, "47-53", TRUE, "54+")</f>
        <v>19-25</v>
      </c>
      <c r="E816">
        <v>907113</v>
      </c>
      <c r="F816" s="1">
        <v>35084</v>
      </c>
      <c r="G816" t="s">
        <v>88</v>
      </c>
      <c r="H816" t="s">
        <v>96</v>
      </c>
      <c r="I816">
        <v>2000</v>
      </c>
      <c r="J816">
        <v>1143.06</v>
      </c>
      <c r="K816">
        <v>0</v>
      </c>
      <c r="L816">
        <v>469363</v>
      </c>
      <c r="M816" t="s">
        <v>75</v>
      </c>
      <c r="N816" t="s">
        <v>129</v>
      </c>
      <c r="O816" t="s">
        <v>102</v>
      </c>
      <c r="P816" t="s">
        <v>131</v>
      </c>
      <c r="Q816" t="s">
        <v>79</v>
      </c>
      <c r="R816">
        <v>63100</v>
      </c>
      <c r="S816">
        <v>-54100</v>
      </c>
      <c r="T816" s="1">
        <v>42020</v>
      </c>
      <c r="U816" t="s">
        <v>80</v>
      </c>
      <c r="V816" t="s">
        <v>91</v>
      </c>
      <c r="W816" t="s">
        <v>112</v>
      </c>
      <c r="X816" t="s">
        <v>141</v>
      </c>
      <c r="Y816" t="s">
        <v>69</v>
      </c>
      <c r="Z816" t="s">
        <v>70</v>
      </c>
      <c r="AA816" t="s">
        <v>998</v>
      </c>
      <c r="AB816">
        <v>0</v>
      </c>
      <c r="AC816" t="str">
        <f t="shared" si="37"/>
        <v>Night</v>
      </c>
      <c r="AD816">
        <v>3</v>
      </c>
      <c r="AE816" t="s">
        <v>84</v>
      </c>
      <c r="AF816">
        <v>0</v>
      </c>
      <c r="AG816">
        <v>1</v>
      </c>
      <c r="AH816" t="s">
        <v>58</v>
      </c>
      <c r="AI816">
        <v>72900</v>
      </c>
      <c r="AJ816">
        <v>14580</v>
      </c>
      <c r="AK816">
        <v>14580</v>
      </c>
      <c r="AL816">
        <v>43740</v>
      </c>
      <c r="AM816" t="s">
        <v>109</v>
      </c>
      <c r="AN816" t="s">
        <v>156</v>
      </c>
      <c r="AO816">
        <v>2015</v>
      </c>
      <c r="AP816">
        <v>2010</v>
      </c>
      <c r="AQ816">
        <f t="shared" si="38"/>
        <v>5</v>
      </c>
      <c r="AR816" t="s">
        <v>87</v>
      </c>
    </row>
    <row r="817" spans="1:44" x14ac:dyDescent="0.25">
      <c r="A817">
        <v>215</v>
      </c>
      <c r="B817" t="str">
        <f t="shared" si="36"/>
        <v>10+ years</v>
      </c>
      <c r="C817">
        <v>38</v>
      </c>
      <c r="D817" t="str" cm="1">
        <f t="array" ref="D817">_xlfn.IFS(C817&lt;26, "19-25", C817&lt;33, "26-32", C817&lt;40, "33-39", C817&lt;47, "40-46",C817&lt;54, "47-53", TRUE, "54+")</f>
        <v>33-39</v>
      </c>
      <c r="E817">
        <v>833321</v>
      </c>
      <c r="F817" s="1">
        <v>40238</v>
      </c>
      <c r="G817" t="s">
        <v>62</v>
      </c>
      <c r="H817" t="s">
        <v>45</v>
      </c>
      <c r="I817">
        <v>500</v>
      </c>
      <c r="J817">
        <v>1405.71</v>
      </c>
      <c r="K817">
        <v>0</v>
      </c>
      <c r="L817">
        <v>465376</v>
      </c>
      <c r="M817" t="s">
        <v>75</v>
      </c>
      <c r="N817" t="s">
        <v>76</v>
      </c>
      <c r="O817" t="s">
        <v>48</v>
      </c>
      <c r="P817" t="s">
        <v>123</v>
      </c>
      <c r="Q817" t="s">
        <v>90</v>
      </c>
      <c r="R817">
        <v>0</v>
      </c>
      <c r="S817">
        <v>0</v>
      </c>
      <c r="T817" s="1">
        <v>42036</v>
      </c>
      <c r="U817" t="s">
        <v>51</v>
      </c>
      <c r="V817" t="s">
        <v>81</v>
      </c>
      <c r="W817" t="s">
        <v>112</v>
      </c>
      <c r="X817" t="s">
        <v>54</v>
      </c>
      <c r="Y817" t="s">
        <v>55</v>
      </c>
      <c r="Z817" t="s">
        <v>92</v>
      </c>
      <c r="AA817" t="s">
        <v>999</v>
      </c>
      <c r="AB817">
        <v>10</v>
      </c>
      <c r="AC817" t="str">
        <f t="shared" si="37"/>
        <v>Morning</v>
      </c>
      <c r="AD817">
        <v>1</v>
      </c>
      <c r="AE817" t="s">
        <v>67</v>
      </c>
      <c r="AF817">
        <v>0</v>
      </c>
      <c r="AG817">
        <v>1</v>
      </c>
      <c r="AH817" t="s">
        <v>84</v>
      </c>
      <c r="AI817">
        <v>70700</v>
      </c>
      <c r="AJ817">
        <v>7070</v>
      </c>
      <c r="AK817">
        <v>14140</v>
      </c>
      <c r="AL817">
        <v>49490</v>
      </c>
      <c r="AM817" t="s">
        <v>219</v>
      </c>
      <c r="AN817" t="s">
        <v>220</v>
      </c>
      <c r="AO817">
        <v>2015</v>
      </c>
      <c r="AP817">
        <v>2008</v>
      </c>
      <c r="AQ817">
        <f t="shared" si="38"/>
        <v>7</v>
      </c>
      <c r="AR817" t="s">
        <v>87</v>
      </c>
    </row>
    <row r="818" spans="1:44" x14ac:dyDescent="0.25">
      <c r="A818">
        <v>140</v>
      </c>
      <c r="B818" t="str">
        <f t="shared" si="36"/>
        <v>10+ years</v>
      </c>
      <c r="C818">
        <v>30</v>
      </c>
      <c r="D818" t="str" cm="1">
        <f t="array" ref="D818">_xlfn.IFS(C818&lt;26, "19-25", C818&lt;33, "26-32", C818&lt;40, "33-39", C818&lt;47, "40-46",C818&lt;54, "47-53", TRUE, "54+")</f>
        <v>26-32</v>
      </c>
      <c r="E818">
        <v>521592</v>
      </c>
      <c r="F818" s="1">
        <v>41805</v>
      </c>
      <c r="G818" t="s">
        <v>88</v>
      </c>
      <c r="H818" t="s">
        <v>74</v>
      </c>
      <c r="I818">
        <v>500</v>
      </c>
      <c r="J818">
        <v>1354.2</v>
      </c>
      <c r="K818">
        <v>0</v>
      </c>
      <c r="L818">
        <v>438775</v>
      </c>
      <c r="M818" t="s">
        <v>75</v>
      </c>
      <c r="N818" t="s">
        <v>146</v>
      </c>
      <c r="O818" t="s">
        <v>190</v>
      </c>
      <c r="P818" t="s">
        <v>103</v>
      </c>
      <c r="Q818" t="s">
        <v>124</v>
      </c>
      <c r="R818">
        <v>100500</v>
      </c>
      <c r="S818">
        <v>0</v>
      </c>
      <c r="T818" s="1">
        <v>42045</v>
      </c>
      <c r="U818" t="s">
        <v>80</v>
      </c>
      <c r="V818" t="s">
        <v>52</v>
      </c>
      <c r="W818" t="s">
        <v>68</v>
      </c>
      <c r="X818" t="s">
        <v>125</v>
      </c>
      <c r="Y818" t="s">
        <v>55</v>
      </c>
      <c r="Z818" t="s">
        <v>56</v>
      </c>
      <c r="AA818" t="s">
        <v>1000</v>
      </c>
      <c r="AB818">
        <v>4</v>
      </c>
      <c r="AC818" t="str">
        <f t="shared" si="37"/>
        <v>Night</v>
      </c>
      <c r="AD818">
        <v>4</v>
      </c>
      <c r="AE818" t="s">
        <v>67</v>
      </c>
      <c r="AF818">
        <v>0</v>
      </c>
      <c r="AG818">
        <v>0</v>
      </c>
      <c r="AH818" t="s">
        <v>67</v>
      </c>
      <c r="AI818">
        <v>60170</v>
      </c>
      <c r="AJ818">
        <v>5470</v>
      </c>
      <c r="AK818">
        <v>10940</v>
      </c>
      <c r="AL818">
        <v>43760</v>
      </c>
      <c r="AM818" t="s">
        <v>109</v>
      </c>
      <c r="AN818" t="s">
        <v>110</v>
      </c>
      <c r="AO818">
        <v>2015</v>
      </c>
      <c r="AP818">
        <v>2006</v>
      </c>
      <c r="AQ818">
        <f t="shared" si="38"/>
        <v>9</v>
      </c>
      <c r="AR818" t="s">
        <v>87</v>
      </c>
    </row>
    <row r="819" spans="1:44" x14ac:dyDescent="0.25">
      <c r="A819">
        <v>250</v>
      </c>
      <c r="B819" t="str">
        <f t="shared" si="36"/>
        <v>10+ years</v>
      </c>
      <c r="C819">
        <v>42</v>
      </c>
      <c r="D819" t="str" cm="1">
        <f t="array" ref="D819">_xlfn.IFS(C819&lt;26, "19-25", C819&lt;33, "26-32", C819&lt;40, "33-39", C819&lt;47, "40-46",C819&lt;54, "47-53", TRUE, "54+")</f>
        <v>40-46</v>
      </c>
      <c r="E819">
        <v>254837</v>
      </c>
      <c r="F819" s="1">
        <v>38316</v>
      </c>
      <c r="G819" t="s">
        <v>62</v>
      </c>
      <c r="H819" t="s">
        <v>74</v>
      </c>
      <c r="I819">
        <v>500</v>
      </c>
      <c r="J819">
        <v>1055.5999999999999</v>
      </c>
      <c r="K819">
        <v>0</v>
      </c>
      <c r="L819">
        <v>457962</v>
      </c>
      <c r="M819" t="s">
        <v>46</v>
      </c>
      <c r="N819" t="s">
        <v>136</v>
      </c>
      <c r="O819" t="s">
        <v>130</v>
      </c>
      <c r="P819" t="s">
        <v>170</v>
      </c>
      <c r="Q819" t="s">
        <v>50</v>
      </c>
      <c r="R819">
        <v>69500</v>
      </c>
      <c r="S819">
        <v>-40700</v>
      </c>
      <c r="T819" s="1">
        <v>42007</v>
      </c>
      <c r="U819" t="s">
        <v>51</v>
      </c>
      <c r="V819" t="s">
        <v>81</v>
      </c>
      <c r="W819" t="s">
        <v>53</v>
      </c>
      <c r="X819" t="s">
        <v>125</v>
      </c>
      <c r="Y819" t="s">
        <v>55</v>
      </c>
      <c r="Z819" t="s">
        <v>56</v>
      </c>
      <c r="AA819" t="s">
        <v>1001</v>
      </c>
      <c r="AB819">
        <v>16</v>
      </c>
      <c r="AC819" t="str">
        <f t="shared" si="37"/>
        <v>Afternoon</v>
      </c>
      <c r="AD819">
        <v>1</v>
      </c>
      <c r="AE819" t="s">
        <v>67</v>
      </c>
      <c r="AF819">
        <v>1</v>
      </c>
      <c r="AG819">
        <v>1</v>
      </c>
      <c r="AH819" t="s">
        <v>67</v>
      </c>
      <c r="AI819">
        <v>74800</v>
      </c>
      <c r="AJ819">
        <v>13600</v>
      </c>
      <c r="AK819">
        <v>6800</v>
      </c>
      <c r="AL819">
        <v>54400</v>
      </c>
      <c r="AM819" t="s">
        <v>134</v>
      </c>
      <c r="AN819" t="s">
        <v>254</v>
      </c>
      <c r="AO819">
        <v>2015</v>
      </c>
      <c r="AP819">
        <v>2009</v>
      </c>
      <c r="AQ819">
        <f t="shared" si="38"/>
        <v>6</v>
      </c>
      <c r="AR819" t="s">
        <v>61</v>
      </c>
    </row>
    <row r="820" spans="1:44" x14ac:dyDescent="0.25">
      <c r="A820">
        <v>286</v>
      </c>
      <c r="B820" t="str">
        <f t="shared" si="36"/>
        <v>10+ years</v>
      </c>
      <c r="C820">
        <v>41</v>
      </c>
      <c r="D820" t="str" cm="1">
        <f t="array" ref="D820">_xlfn.IFS(C820&lt;26, "19-25", C820&lt;33, "26-32", C820&lt;40, "33-39", C820&lt;47, "40-46",C820&lt;54, "47-53", TRUE, "54+")</f>
        <v>40-46</v>
      </c>
      <c r="E820">
        <v>634499</v>
      </c>
      <c r="F820" s="1">
        <v>36764</v>
      </c>
      <c r="G820" t="s">
        <v>88</v>
      </c>
      <c r="H820" t="s">
        <v>45</v>
      </c>
      <c r="I820">
        <v>1000</v>
      </c>
      <c r="J820">
        <v>999.43</v>
      </c>
      <c r="K820">
        <v>0</v>
      </c>
      <c r="L820">
        <v>477947</v>
      </c>
      <c r="M820" t="s">
        <v>46</v>
      </c>
      <c r="N820" t="s">
        <v>146</v>
      </c>
      <c r="O820" t="s">
        <v>106</v>
      </c>
      <c r="P820" t="s">
        <v>170</v>
      </c>
      <c r="Q820" t="s">
        <v>124</v>
      </c>
      <c r="R820">
        <v>25800</v>
      </c>
      <c r="S820">
        <v>0</v>
      </c>
      <c r="T820" s="1">
        <v>42005</v>
      </c>
      <c r="U820" t="s">
        <v>66</v>
      </c>
      <c r="V820" t="s">
        <v>67</v>
      </c>
      <c r="W820" t="s">
        <v>217</v>
      </c>
      <c r="X820" t="s">
        <v>54</v>
      </c>
      <c r="Y820" t="s">
        <v>118</v>
      </c>
      <c r="Z820" t="s">
        <v>132</v>
      </c>
      <c r="AA820" t="s">
        <v>1002</v>
      </c>
      <c r="AB820">
        <v>3</v>
      </c>
      <c r="AC820" t="str">
        <f t="shared" si="37"/>
        <v>Night</v>
      </c>
      <c r="AD820">
        <v>1</v>
      </c>
      <c r="AE820" t="s">
        <v>58</v>
      </c>
      <c r="AF820">
        <v>2</v>
      </c>
      <c r="AG820">
        <v>0</v>
      </c>
      <c r="AH820" t="s">
        <v>67</v>
      </c>
      <c r="AI820">
        <v>4100</v>
      </c>
      <c r="AJ820">
        <v>820</v>
      </c>
      <c r="AK820">
        <v>410</v>
      </c>
      <c r="AL820">
        <v>2870</v>
      </c>
      <c r="AM820" t="s">
        <v>94</v>
      </c>
      <c r="AN820" t="s">
        <v>250</v>
      </c>
      <c r="AO820">
        <v>2015</v>
      </c>
      <c r="AP820">
        <v>2009</v>
      </c>
      <c r="AQ820">
        <f t="shared" si="38"/>
        <v>6</v>
      </c>
      <c r="AR820" t="s">
        <v>87</v>
      </c>
    </row>
    <row r="821" spans="1:44" x14ac:dyDescent="0.25">
      <c r="A821">
        <v>356</v>
      </c>
      <c r="B821" t="str">
        <f t="shared" si="36"/>
        <v>10+ years</v>
      </c>
      <c r="C821">
        <v>47</v>
      </c>
      <c r="D821" t="str" cm="1">
        <f t="array" ref="D821">_xlfn.IFS(C821&lt;26, "19-25", C821&lt;33, "26-32", C821&lt;40, "33-39", C821&lt;47, "40-46",C821&lt;54, "47-53", TRUE, "54+")</f>
        <v>47-53</v>
      </c>
      <c r="E821">
        <v>574707</v>
      </c>
      <c r="F821" s="1">
        <v>38587</v>
      </c>
      <c r="G821" t="s">
        <v>62</v>
      </c>
      <c r="H821" t="s">
        <v>45</v>
      </c>
      <c r="I821">
        <v>2000</v>
      </c>
      <c r="J821">
        <v>1155.97</v>
      </c>
      <c r="K821">
        <v>0</v>
      </c>
      <c r="L821">
        <v>431104</v>
      </c>
      <c r="M821" t="s">
        <v>46</v>
      </c>
      <c r="N821" t="s">
        <v>136</v>
      </c>
      <c r="O821" t="s">
        <v>106</v>
      </c>
      <c r="P821" t="s">
        <v>123</v>
      </c>
      <c r="Q821" t="s">
        <v>50</v>
      </c>
      <c r="R821">
        <v>0</v>
      </c>
      <c r="S821">
        <v>0</v>
      </c>
      <c r="T821" s="1">
        <v>42058</v>
      </c>
      <c r="U821" t="s">
        <v>51</v>
      </c>
      <c r="V821" t="s">
        <v>52</v>
      </c>
      <c r="W821" t="s">
        <v>68</v>
      </c>
      <c r="X821" t="s">
        <v>125</v>
      </c>
      <c r="Y821" t="s">
        <v>55</v>
      </c>
      <c r="Z821" t="s">
        <v>56</v>
      </c>
      <c r="AA821" t="s">
        <v>1003</v>
      </c>
      <c r="AB821">
        <v>5</v>
      </c>
      <c r="AC821" t="str">
        <f t="shared" si="37"/>
        <v>Night</v>
      </c>
      <c r="AD821">
        <v>1</v>
      </c>
      <c r="AE821" t="s">
        <v>58</v>
      </c>
      <c r="AF821">
        <v>0</v>
      </c>
      <c r="AG821">
        <v>3</v>
      </c>
      <c r="AH821" t="s">
        <v>67</v>
      </c>
      <c r="AI821">
        <v>61490</v>
      </c>
      <c r="AJ821">
        <v>5590</v>
      </c>
      <c r="AK821">
        <v>11180</v>
      </c>
      <c r="AL821">
        <v>44720</v>
      </c>
      <c r="AM821" t="s">
        <v>85</v>
      </c>
      <c r="AN821" t="s">
        <v>86</v>
      </c>
      <c r="AO821">
        <v>2015</v>
      </c>
      <c r="AP821">
        <v>2009</v>
      </c>
      <c r="AQ821">
        <f t="shared" si="38"/>
        <v>6</v>
      </c>
      <c r="AR821" t="s">
        <v>87</v>
      </c>
    </row>
    <row r="822" spans="1:44" x14ac:dyDescent="0.25">
      <c r="A822">
        <v>65</v>
      </c>
      <c r="B822" t="str">
        <f t="shared" si="36"/>
        <v>5-10 years</v>
      </c>
      <c r="C822">
        <v>29</v>
      </c>
      <c r="D822" t="str" cm="1">
        <f t="array" ref="D822">_xlfn.IFS(C822&lt;26, "19-25", C822&lt;33, "26-32", C822&lt;40, "33-39", C822&lt;47, "40-46",C822&lt;54, "47-53", TRUE, "54+")</f>
        <v>26-32</v>
      </c>
      <c r="E822">
        <v>476839</v>
      </c>
      <c r="F822" s="1">
        <v>33094</v>
      </c>
      <c r="G822" t="s">
        <v>88</v>
      </c>
      <c r="H822" t="s">
        <v>45</v>
      </c>
      <c r="I822">
        <v>1000</v>
      </c>
      <c r="J822">
        <v>1726.91</v>
      </c>
      <c r="K822">
        <v>0</v>
      </c>
      <c r="L822">
        <v>456570</v>
      </c>
      <c r="M822" t="s">
        <v>46</v>
      </c>
      <c r="N822" t="s">
        <v>136</v>
      </c>
      <c r="O822" t="s">
        <v>116</v>
      </c>
      <c r="P822" t="s">
        <v>184</v>
      </c>
      <c r="Q822" t="s">
        <v>79</v>
      </c>
      <c r="R822">
        <v>0</v>
      </c>
      <c r="S822">
        <v>0</v>
      </c>
      <c r="T822" s="1">
        <v>42032</v>
      </c>
      <c r="U822" t="s">
        <v>66</v>
      </c>
      <c r="V822" t="s">
        <v>67</v>
      </c>
      <c r="W822" t="s">
        <v>217</v>
      </c>
      <c r="X822" t="s">
        <v>98</v>
      </c>
      <c r="Y822" t="s">
        <v>69</v>
      </c>
      <c r="Z822" t="s">
        <v>127</v>
      </c>
      <c r="AA822" t="s">
        <v>1004</v>
      </c>
      <c r="AB822">
        <v>14</v>
      </c>
      <c r="AC822" t="str">
        <f t="shared" si="37"/>
        <v>Afternoon</v>
      </c>
      <c r="AD822">
        <v>1</v>
      </c>
      <c r="AE822" t="s">
        <v>67</v>
      </c>
      <c r="AF822">
        <v>0</v>
      </c>
      <c r="AG822">
        <v>0</v>
      </c>
      <c r="AH822" t="s">
        <v>67</v>
      </c>
      <c r="AI822">
        <v>7200</v>
      </c>
      <c r="AJ822">
        <v>720</v>
      </c>
      <c r="AK822">
        <v>1440</v>
      </c>
      <c r="AL822">
        <v>5040</v>
      </c>
      <c r="AM822" t="s">
        <v>114</v>
      </c>
      <c r="AN822" t="s">
        <v>115</v>
      </c>
      <c r="AO822">
        <v>2015</v>
      </c>
      <c r="AP822">
        <v>1999</v>
      </c>
      <c r="AQ822">
        <f t="shared" si="38"/>
        <v>16</v>
      </c>
      <c r="AR822" t="s">
        <v>87</v>
      </c>
    </row>
    <row r="823" spans="1:44" x14ac:dyDescent="0.25">
      <c r="A823">
        <v>187</v>
      </c>
      <c r="B823" t="str">
        <f t="shared" si="36"/>
        <v>10+ years</v>
      </c>
      <c r="C823">
        <v>34</v>
      </c>
      <c r="D823" t="str" cm="1">
        <f t="array" ref="D823">_xlfn.IFS(C823&lt;26, "19-25", C823&lt;33, "26-32", C823&lt;40, "33-39", C823&lt;47, "40-46",C823&lt;54, "47-53", TRUE, "54+")</f>
        <v>33-39</v>
      </c>
      <c r="E823">
        <v>149601</v>
      </c>
      <c r="F823" s="1">
        <v>37708</v>
      </c>
      <c r="G823" t="s">
        <v>62</v>
      </c>
      <c r="H823" t="s">
        <v>96</v>
      </c>
      <c r="I823">
        <v>500</v>
      </c>
      <c r="J823">
        <v>1232.57</v>
      </c>
      <c r="K823">
        <v>0</v>
      </c>
      <c r="L823">
        <v>612986</v>
      </c>
      <c r="M823" t="s">
        <v>75</v>
      </c>
      <c r="N823" t="s">
        <v>76</v>
      </c>
      <c r="O823" t="s">
        <v>63</v>
      </c>
      <c r="P823" t="s">
        <v>178</v>
      </c>
      <c r="Q823" t="s">
        <v>147</v>
      </c>
      <c r="R823">
        <v>59500</v>
      </c>
      <c r="S823">
        <v>0</v>
      </c>
      <c r="T823" s="1">
        <v>42057</v>
      </c>
      <c r="U823" t="s">
        <v>80</v>
      </c>
      <c r="V823" t="s">
        <v>52</v>
      </c>
      <c r="W823" t="s">
        <v>68</v>
      </c>
      <c r="X823" t="s">
        <v>104</v>
      </c>
      <c r="Y823" t="s">
        <v>82</v>
      </c>
      <c r="Z823" t="s">
        <v>92</v>
      </c>
      <c r="AA823" t="s">
        <v>1005</v>
      </c>
      <c r="AB823">
        <v>7</v>
      </c>
      <c r="AC823" t="str">
        <f t="shared" si="37"/>
        <v>Morning</v>
      </c>
      <c r="AD823">
        <v>3</v>
      </c>
      <c r="AE823" t="s">
        <v>67</v>
      </c>
      <c r="AF823">
        <v>0</v>
      </c>
      <c r="AG823">
        <v>0</v>
      </c>
      <c r="AH823" t="s">
        <v>67</v>
      </c>
      <c r="AI823">
        <v>45100</v>
      </c>
      <c r="AJ823">
        <v>8200</v>
      </c>
      <c r="AK823">
        <v>4100</v>
      </c>
      <c r="AL823">
        <v>32800</v>
      </c>
      <c r="AM823" t="s">
        <v>109</v>
      </c>
      <c r="AN823" t="s">
        <v>110</v>
      </c>
      <c r="AO823">
        <v>2015</v>
      </c>
      <c r="AP823">
        <v>2011</v>
      </c>
      <c r="AQ823">
        <f t="shared" si="38"/>
        <v>4</v>
      </c>
      <c r="AR823" t="s">
        <v>87</v>
      </c>
    </row>
    <row r="824" spans="1:44" x14ac:dyDescent="0.25">
      <c r="A824">
        <v>386</v>
      </c>
      <c r="B824" t="str">
        <f t="shared" si="36"/>
        <v>10+ years</v>
      </c>
      <c r="C824">
        <v>53</v>
      </c>
      <c r="D824" t="str" cm="1">
        <f t="array" ref="D824">_xlfn.IFS(C824&lt;26, "19-25", C824&lt;33, "26-32", C824&lt;40, "33-39", C824&lt;47, "40-46",C824&lt;54, "47-53", TRUE, "54+")</f>
        <v>47-53</v>
      </c>
      <c r="E824">
        <v>630683</v>
      </c>
      <c r="F824" s="1">
        <v>39378</v>
      </c>
      <c r="G824" t="s">
        <v>44</v>
      </c>
      <c r="H824" t="s">
        <v>45</v>
      </c>
      <c r="I824">
        <v>500</v>
      </c>
      <c r="J824">
        <v>1078.6500000000001</v>
      </c>
      <c r="K824">
        <v>0</v>
      </c>
      <c r="L824">
        <v>615730</v>
      </c>
      <c r="M824" t="s">
        <v>46</v>
      </c>
      <c r="N824" t="s">
        <v>166</v>
      </c>
      <c r="O824" t="s">
        <v>48</v>
      </c>
      <c r="P824" t="s">
        <v>123</v>
      </c>
      <c r="Q824" t="s">
        <v>147</v>
      </c>
      <c r="R824">
        <v>36800</v>
      </c>
      <c r="S824">
        <v>0</v>
      </c>
      <c r="T824" s="1">
        <v>42007</v>
      </c>
      <c r="U824" t="s">
        <v>51</v>
      </c>
      <c r="V824" t="s">
        <v>91</v>
      </c>
      <c r="W824" t="s">
        <v>68</v>
      </c>
      <c r="X824" t="s">
        <v>54</v>
      </c>
      <c r="Y824" t="s">
        <v>118</v>
      </c>
      <c r="Z824" t="s">
        <v>132</v>
      </c>
      <c r="AA824" t="s">
        <v>1006</v>
      </c>
      <c r="AB824">
        <v>16</v>
      </c>
      <c r="AC824" t="str">
        <f t="shared" si="37"/>
        <v>Afternoon</v>
      </c>
      <c r="AD824">
        <v>1</v>
      </c>
      <c r="AE824" t="s">
        <v>67</v>
      </c>
      <c r="AF824">
        <v>2</v>
      </c>
      <c r="AG824">
        <v>3</v>
      </c>
      <c r="AH824" t="s">
        <v>58</v>
      </c>
      <c r="AI824">
        <v>66660</v>
      </c>
      <c r="AJ824">
        <v>12120</v>
      </c>
      <c r="AK824">
        <v>6060</v>
      </c>
      <c r="AL824">
        <v>48480</v>
      </c>
      <c r="AM824" t="s">
        <v>214</v>
      </c>
      <c r="AN824" t="s">
        <v>215</v>
      </c>
      <c r="AO824">
        <v>2015</v>
      </c>
      <c r="AP824">
        <v>2006</v>
      </c>
      <c r="AQ824">
        <f t="shared" si="38"/>
        <v>9</v>
      </c>
      <c r="AR824" t="s">
        <v>87</v>
      </c>
    </row>
    <row r="825" spans="1:44" x14ac:dyDescent="0.25">
      <c r="A825">
        <v>197</v>
      </c>
      <c r="B825" t="str">
        <f t="shared" si="36"/>
        <v>10+ years</v>
      </c>
      <c r="C825">
        <v>41</v>
      </c>
      <c r="D825" t="str" cm="1">
        <f t="array" ref="D825">_xlfn.IFS(C825&lt;26, "19-25", C825&lt;33, "26-32", C825&lt;40, "33-39", C825&lt;47, "40-46",C825&lt;54, "47-53", TRUE, "54+")</f>
        <v>40-46</v>
      </c>
      <c r="E825">
        <v>500639</v>
      </c>
      <c r="F825" s="1">
        <v>35243</v>
      </c>
      <c r="G825" t="s">
        <v>44</v>
      </c>
      <c r="H825" t="s">
        <v>96</v>
      </c>
      <c r="I825">
        <v>1000</v>
      </c>
      <c r="J825">
        <v>1324.78</v>
      </c>
      <c r="K825">
        <v>0</v>
      </c>
      <c r="L825">
        <v>478640</v>
      </c>
      <c r="M825" t="s">
        <v>75</v>
      </c>
      <c r="N825" t="s">
        <v>76</v>
      </c>
      <c r="O825" t="s">
        <v>106</v>
      </c>
      <c r="P825" t="s">
        <v>184</v>
      </c>
      <c r="Q825" t="s">
        <v>147</v>
      </c>
      <c r="R825">
        <v>0</v>
      </c>
      <c r="S825">
        <v>-64500</v>
      </c>
      <c r="T825" s="1">
        <v>42014</v>
      </c>
      <c r="U825" t="s">
        <v>51</v>
      </c>
      <c r="V825" t="s">
        <v>91</v>
      </c>
      <c r="W825" t="s">
        <v>53</v>
      </c>
      <c r="X825" t="s">
        <v>54</v>
      </c>
      <c r="Y825" t="s">
        <v>126</v>
      </c>
      <c r="Z825" t="s">
        <v>161</v>
      </c>
      <c r="AA825" t="s">
        <v>1007</v>
      </c>
      <c r="AB825">
        <v>6</v>
      </c>
      <c r="AC825" t="str">
        <f t="shared" si="37"/>
        <v>Morning</v>
      </c>
      <c r="AD825">
        <v>1</v>
      </c>
      <c r="AE825" t="s">
        <v>84</v>
      </c>
      <c r="AF825">
        <v>2</v>
      </c>
      <c r="AG825">
        <v>2</v>
      </c>
      <c r="AH825" t="s">
        <v>58</v>
      </c>
      <c r="AI825">
        <v>76400</v>
      </c>
      <c r="AJ825">
        <v>15280</v>
      </c>
      <c r="AK825">
        <v>7640</v>
      </c>
      <c r="AL825">
        <v>53480</v>
      </c>
      <c r="AM825" t="s">
        <v>219</v>
      </c>
      <c r="AN825" t="s">
        <v>263</v>
      </c>
      <c r="AO825">
        <v>2015</v>
      </c>
      <c r="AP825">
        <v>1997</v>
      </c>
      <c r="AQ825">
        <f t="shared" si="38"/>
        <v>18</v>
      </c>
      <c r="AR825" t="s">
        <v>61</v>
      </c>
    </row>
    <row r="826" spans="1:44" x14ac:dyDescent="0.25">
      <c r="A826">
        <v>166</v>
      </c>
      <c r="B826" t="str">
        <f t="shared" si="36"/>
        <v>10+ years</v>
      </c>
      <c r="C826">
        <v>37</v>
      </c>
      <c r="D826" t="str" cm="1">
        <f t="array" ref="D826">_xlfn.IFS(C826&lt;26, "19-25", C826&lt;33, "26-32", C826&lt;40, "33-39", C826&lt;47, "40-46",C826&lt;54, "47-53", TRUE, "54+")</f>
        <v>33-39</v>
      </c>
      <c r="E826">
        <v>352120</v>
      </c>
      <c r="F826" s="1">
        <v>34679</v>
      </c>
      <c r="G826" t="s">
        <v>62</v>
      </c>
      <c r="H826" t="s">
        <v>45</v>
      </c>
      <c r="I826">
        <v>500</v>
      </c>
      <c r="J826">
        <v>1518.54</v>
      </c>
      <c r="K826">
        <v>0</v>
      </c>
      <c r="L826">
        <v>470510</v>
      </c>
      <c r="M826" t="s">
        <v>75</v>
      </c>
      <c r="N826" t="s">
        <v>47</v>
      </c>
      <c r="O826" t="s">
        <v>48</v>
      </c>
      <c r="P826" t="s">
        <v>175</v>
      </c>
      <c r="Q826" t="s">
        <v>147</v>
      </c>
      <c r="R826">
        <v>0</v>
      </c>
      <c r="S826">
        <v>0</v>
      </c>
      <c r="T826" s="1">
        <v>42029</v>
      </c>
      <c r="U826" t="s">
        <v>51</v>
      </c>
      <c r="V826" t="s">
        <v>81</v>
      </c>
      <c r="W826" t="s">
        <v>112</v>
      </c>
      <c r="X826" t="s">
        <v>141</v>
      </c>
      <c r="Y826" t="s">
        <v>180</v>
      </c>
      <c r="Z826" t="s">
        <v>70</v>
      </c>
      <c r="AA826" t="s">
        <v>1008</v>
      </c>
      <c r="AB826">
        <v>10</v>
      </c>
      <c r="AC826" t="str">
        <f t="shared" si="37"/>
        <v>Morning</v>
      </c>
      <c r="AD826">
        <v>1</v>
      </c>
      <c r="AE826" t="s">
        <v>58</v>
      </c>
      <c r="AF826">
        <v>1</v>
      </c>
      <c r="AG826">
        <v>1</v>
      </c>
      <c r="AH826" t="s">
        <v>84</v>
      </c>
      <c r="AI826">
        <v>58300</v>
      </c>
      <c r="AJ826">
        <v>10600</v>
      </c>
      <c r="AK826">
        <v>10600</v>
      </c>
      <c r="AL826">
        <v>37100</v>
      </c>
      <c r="AM826" t="s">
        <v>134</v>
      </c>
      <c r="AN826" t="s">
        <v>135</v>
      </c>
      <c r="AO826">
        <v>2015</v>
      </c>
      <c r="AP826">
        <v>2001</v>
      </c>
      <c r="AQ826">
        <f t="shared" si="38"/>
        <v>14</v>
      </c>
      <c r="AR826" t="s">
        <v>87</v>
      </c>
    </row>
    <row r="827" spans="1:44" x14ac:dyDescent="0.25">
      <c r="A827">
        <v>293</v>
      </c>
      <c r="B827" t="str">
        <f t="shared" si="36"/>
        <v>10+ years</v>
      </c>
      <c r="C827">
        <v>49</v>
      </c>
      <c r="D827" t="str" cm="1">
        <f t="array" ref="D827">_xlfn.IFS(C827&lt;26, "19-25", C827&lt;33, "26-32", C827&lt;40, "33-39", C827&lt;47, "40-46",C827&lt;54, "47-53", TRUE, "54+")</f>
        <v>47-53</v>
      </c>
      <c r="E827">
        <v>569245</v>
      </c>
      <c r="F827" s="1">
        <v>35038</v>
      </c>
      <c r="G827" t="s">
        <v>88</v>
      </c>
      <c r="H827" t="s">
        <v>74</v>
      </c>
      <c r="I827">
        <v>2000</v>
      </c>
      <c r="J827">
        <v>1239.06</v>
      </c>
      <c r="K827">
        <v>0</v>
      </c>
      <c r="L827">
        <v>439360</v>
      </c>
      <c r="M827" t="s">
        <v>75</v>
      </c>
      <c r="N827" t="s">
        <v>166</v>
      </c>
      <c r="O827" t="s">
        <v>150</v>
      </c>
      <c r="P827" t="s">
        <v>137</v>
      </c>
      <c r="Q827" t="s">
        <v>50</v>
      </c>
      <c r="R827">
        <v>34900</v>
      </c>
      <c r="S827">
        <v>0</v>
      </c>
      <c r="T827" s="1">
        <v>42014</v>
      </c>
      <c r="U827" t="s">
        <v>51</v>
      </c>
      <c r="V827" t="s">
        <v>91</v>
      </c>
      <c r="W827" t="s">
        <v>112</v>
      </c>
      <c r="X827" t="s">
        <v>54</v>
      </c>
      <c r="Y827" t="s">
        <v>55</v>
      </c>
      <c r="Z827" t="s">
        <v>70</v>
      </c>
      <c r="AA827" t="s">
        <v>1009</v>
      </c>
      <c r="AB827">
        <v>19</v>
      </c>
      <c r="AC827" t="str">
        <f t="shared" si="37"/>
        <v>Evening</v>
      </c>
      <c r="AD827">
        <v>1</v>
      </c>
      <c r="AE827" t="s">
        <v>67</v>
      </c>
      <c r="AF827">
        <v>1</v>
      </c>
      <c r="AG827">
        <v>1</v>
      </c>
      <c r="AH827" t="s">
        <v>67</v>
      </c>
      <c r="AI827">
        <v>57310</v>
      </c>
      <c r="AJ827">
        <v>5210</v>
      </c>
      <c r="AK827">
        <v>10420</v>
      </c>
      <c r="AL827">
        <v>41680</v>
      </c>
      <c r="AM827" t="s">
        <v>219</v>
      </c>
      <c r="AN827" t="s">
        <v>220</v>
      </c>
      <c r="AO827">
        <v>2015</v>
      </c>
      <c r="AP827">
        <v>2002</v>
      </c>
      <c r="AQ827">
        <f t="shared" si="38"/>
        <v>13</v>
      </c>
      <c r="AR827" t="s">
        <v>87</v>
      </c>
    </row>
    <row r="828" spans="1:44" x14ac:dyDescent="0.25">
      <c r="A828">
        <v>179</v>
      </c>
      <c r="B828" t="str">
        <f t="shared" si="36"/>
        <v>10+ years</v>
      </c>
      <c r="C828">
        <v>32</v>
      </c>
      <c r="D828" t="str" cm="1">
        <f t="array" ref="D828">_xlfn.IFS(C828&lt;26, "19-25", C828&lt;33, "26-32", C828&lt;40, "33-39", C828&lt;47, "40-46",C828&lt;54, "47-53", TRUE, "54+")</f>
        <v>26-32</v>
      </c>
      <c r="E828">
        <v>907012</v>
      </c>
      <c r="F828" s="1">
        <v>35414</v>
      </c>
      <c r="G828" t="s">
        <v>44</v>
      </c>
      <c r="H828" t="s">
        <v>96</v>
      </c>
      <c r="I828">
        <v>2000</v>
      </c>
      <c r="J828">
        <v>1246.68</v>
      </c>
      <c r="K828">
        <v>0</v>
      </c>
      <c r="L828">
        <v>440251</v>
      </c>
      <c r="M828" t="s">
        <v>75</v>
      </c>
      <c r="N828" t="s">
        <v>76</v>
      </c>
      <c r="O828" t="s">
        <v>122</v>
      </c>
      <c r="P828" t="s">
        <v>151</v>
      </c>
      <c r="Q828" t="s">
        <v>79</v>
      </c>
      <c r="R828">
        <v>0</v>
      </c>
      <c r="S828">
        <v>0</v>
      </c>
      <c r="T828" s="1">
        <v>42032</v>
      </c>
      <c r="U828" t="s">
        <v>51</v>
      </c>
      <c r="V828" t="s">
        <v>91</v>
      </c>
      <c r="W828" t="s">
        <v>68</v>
      </c>
      <c r="X828" t="s">
        <v>104</v>
      </c>
      <c r="Y828" t="s">
        <v>82</v>
      </c>
      <c r="Z828" t="s">
        <v>92</v>
      </c>
      <c r="AA828" t="s">
        <v>1010</v>
      </c>
      <c r="AB828">
        <v>10</v>
      </c>
      <c r="AC828" t="str">
        <f t="shared" si="37"/>
        <v>Morning</v>
      </c>
      <c r="AD828">
        <v>1</v>
      </c>
      <c r="AE828" t="s">
        <v>67</v>
      </c>
      <c r="AF828">
        <v>0</v>
      </c>
      <c r="AG828">
        <v>1</v>
      </c>
      <c r="AH828" t="s">
        <v>67</v>
      </c>
      <c r="AI828">
        <v>53100</v>
      </c>
      <c r="AJ828">
        <v>5900</v>
      </c>
      <c r="AK828">
        <v>5900</v>
      </c>
      <c r="AL828">
        <v>41300</v>
      </c>
      <c r="AM828" t="s">
        <v>158</v>
      </c>
      <c r="AN828" t="s">
        <v>168</v>
      </c>
      <c r="AO828">
        <v>2015</v>
      </c>
      <c r="AP828">
        <v>2006</v>
      </c>
      <c r="AQ828">
        <f t="shared" si="38"/>
        <v>9</v>
      </c>
      <c r="AR828" t="s">
        <v>87</v>
      </c>
    </row>
    <row r="829" spans="1:44" x14ac:dyDescent="0.25">
      <c r="A829">
        <v>76</v>
      </c>
      <c r="B829" t="str">
        <f t="shared" si="36"/>
        <v>5-10 years</v>
      </c>
      <c r="C829">
        <v>24</v>
      </c>
      <c r="D829" t="str" cm="1">
        <f t="array" ref="D829">_xlfn.IFS(C829&lt;26, "19-25", C829&lt;33, "26-32", C829&lt;40, "33-39", C829&lt;47, "40-46",C829&lt;54, "47-53", TRUE, "54+")</f>
        <v>19-25</v>
      </c>
      <c r="E829">
        <v>700074</v>
      </c>
      <c r="F829" s="1">
        <v>40700</v>
      </c>
      <c r="G829" t="s">
        <v>44</v>
      </c>
      <c r="H829" t="s">
        <v>45</v>
      </c>
      <c r="I829">
        <v>1000</v>
      </c>
      <c r="J829">
        <v>1622.67</v>
      </c>
      <c r="K829">
        <v>0</v>
      </c>
      <c r="L829">
        <v>600313</v>
      </c>
      <c r="M829" t="s">
        <v>75</v>
      </c>
      <c r="N829" t="s">
        <v>47</v>
      </c>
      <c r="O829" t="s">
        <v>122</v>
      </c>
      <c r="P829" t="s">
        <v>170</v>
      </c>
      <c r="Q829" t="s">
        <v>50</v>
      </c>
      <c r="R829">
        <v>0</v>
      </c>
      <c r="S829">
        <v>0</v>
      </c>
      <c r="T829" s="1">
        <v>42053</v>
      </c>
      <c r="U829" t="s">
        <v>80</v>
      </c>
      <c r="V829" t="s">
        <v>52</v>
      </c>
      <c r="W829" t="s">
        <v>112</v>
      </c>
      <c r="X829" t="s">
        <v>141</v>
      </c>
      <c r="Y829" t="s">
        <v>118</v>
      </c>
      <c r="Z829" t="s">
        <v>70</v>
      </c>
      <c r="AA829" t="s">
        <v>1011</v>
      </c>
      <c r="AB829">
        <v>6</v>
      </c>
      <c r="AC829" t="str">
        <f t="shared" si="37"/>
        <v>Morning</v>
      </c>
      <c r="AD829">
        <v>3</v>
      </c>
      <c r="AE829" t="s">
        <v>84</v>
      </c>
      <c r="AF829">
        <v>1</v>
      </c>
      <c r="AG829">
        <v>1</v>
      </c>
      <c r="AH829" t="s">
        <v>67</v>
      </c>
      <c r="AI829">
        <v>74700</v>
      </c>
      <c r="AJ829">
        <v>14940</v>
      </c>
      <c r="AK829">
        <v>7470</v>
      </c>
      <c r="AL829">
        <v>52290</v>
      </c>
      <c r="AM829" t="s">
        <v>158</v>
      </c>
      <c r="AN829" t="s">
        <v>172</v>
      </c>
      <c r="AO829">
        <v>2015</v>
      </c>
      <c r="AP829">
        <v>1997</v>
      </c>
      <c r="AQ829">
        <f t="shared" si="38"/>
        <v>18</v>
      </c>
      <c r="AR829" t="s">
        <v>87</v>
      </c>
    </row>
    <row r="830" spans="1:44" x14ac:dyDescent="0.25">
      <c r="A830">
        <v>105</v>
      </c>
      <c r="B830" t="str">
        <f t="shared" si="36"/>
        <v>5-10 years</v>
      </c>
      <c r="C830">
        <v>28</v>
      </c>
      <c r="D830" t="str" cm="1">
        <f t="array" ref="D830">_xlfn.IFS(C830&lt;26, "19-25", C830&lt;33, "26-32", C830&lt;40, "33-39", C830&lt;47, "40-46",C830&lt;54, "47-53", TRUE, "54+")</f>
        <v>26-32</v>
      </c>
      <c r="E830">
        <v>866805</v>
      </c>
      <c r="F830" s="1">
        <v>35046</v>
      </c>
      <c r="G830" t="s">
        <v>44</v>
      </c>
      <c r="H830" t="s">
        <v>45</v>
      </c>
      <c r="I830">
        <v>500</v>
      </c>
      <c r="J830">
        <v>1082.3599999999999</v>
      </c>
      <c r="K830">
        <v>0</v>
      </c>
      <c r="L830">
        <v>452216</v>
      </c>
      <c r="M830" t="s">
        <v>75</v>
      </c>
      <c r="N830" t="s">
        <v>97</v>
      </c>
      <c r="O830" t="s">
        <v>106</v>
      </c>
      <c r="P830" t="s">
        <v>117</v>
      </c>
      <c r="Q830" t="s">
        <v>79</v>
      </c>
      <c r="R830">
        <v>0</v>
      </c>
      <c r="S830">
        <v>0</v>
      </c>
      <c r="T830" s="1">
        <v>42028</v>
      </c>
      <c r="U830" t="s">
        <v>80</v>
      </c>
      <c r="V830" t="s">
        <v>81</v>
      </c>
      <c r="W830" t="s">
        <v>53</v>
      </c>
      <c r="X830" t="s">
        <v>104</v>
      </c>
      <c r="Y830" t="s">
        <v>55</v>
      </c>
      <c r="Z830" t="s">
        <v>70</v>
      </c>
      <c r="AA830" t="s">
        <v>1012</v>
      </c>
      <c r="AB830">
        <v>12</v>
      </c>
      <c r="AC830" t="str">
        <f t="shared" si="37"/>
        <v>Afternoon</v>
      </c>
      <c r="AD830">
        <v>3</v>
      </c>
      <c r="AE830" t="s">
        <v>84</v>
      </c>
      <c r="AF830">
        <v>2</v>
      </c>
      <c r="AG830">
        <v>2</v>
      </c>
      <c r="AH830" t="s">
        <v>84</v>
      </c>
      <c r="AI830">
        <v>60500</v>
      </c>
      <c r="AJ830">
        <v>12100</v>
      </c>
      <c r="AK830">
        <v>6050</v>
      </c>
      <c r="AL830">
        <v>42350</v>
      </c>
      <c r="AM830" t="s">
        <v>114</v>
      </c>
      <c r="AN830" t="s">
        <v>115</v>
      </c>
      <c r="AO830">
        <v>2015</v>
      </c>
      <c r="AP830">
        <v>1995</v>
      </c>
      <c r="AQ830">
        <f t="shared" si="38"/>
        <v>20</v>
      </c>
      <c r="AR830" t="s">
        <v>87</v>
      </c>
    </row>
    <row r="831" spans="1:44" x14ac:dyDescent="0.25">
      <c r="A831">
        <v>97</v>
      </c>
      <c r="B831" t="str">
        <f t="shared" si="36"/>
        <v>5-10 years</v>
      </c>
      <c r="C831">
        <v>26</v>
      </c>
      <c r="D831" t="str" cm="1">
        <f t="array" ref="D831">_xlfn.IFS(C831&lt;26, "19-25", C831&lt;33, "26-32", C831&lt;40, "33-39", C831&lt;47, "40-46",C831&lt;54, "47-53", TRUE, "54+")</f>
        <v>26-32</v>
      </c>
      <c r="E831">
        <v>951863</v>
      </c>
      <c r="F831" s="1">
        <v>35731</v>
      </c>
      <c r="G831" t="s">
        <v>44</v>
      </c>
      <c r="H831" t="s">
        <v>45</v>
      </c>
      <c r="I831">
        <v>1000</v>
      </c>
      <c r="J831">
        <v>1270.55</v>
      </c>
      <c r="K831">
        <v>0</v>
      </c>
      <c r="L831">
        <v>478532</v>
      </c>
      <c r="M831" t="s">
        <v>46</v>
      </c>
      <c r="N831" t="s">
        <v>129</v>
      </c>
      <c r="O831" t="s">
        <v>140</v>
      </c>
      <c r="P831" t="s">
        <v>173</v>
      </c>
      <c r="Q831" t="s">
        <v>90</v>
      </c>
      <c r="R831">
        <v>0</v>
      </c>
      <c r="S831">
        <v>-72100</v>
      </c>
      <c r="T831" s="1">
        <v>42024</v>
      </c>
      <c r="U831" t="s">
        <v>80</v>
      </c>
      <c r="V831" t="s">
        <v>52</v>
      </c>
      <c r="W831" t="s">
        <v>112</v>
      </c>
      <c r="X831" t="s">
        <v>125</v>
      </c>
      <c r="Y831" t="s">
        <v>126</v>
      </c>
      <c r="Z831" t="s">
        <v>70</v>
      </c>
      <c r="AA831" t="s">
        <v>1013</v>
      </c>
      <c r="AB831">
        <v>10</v>
      </c>
      <c r="AC831" t="str">
        <f t="shared" si="37"/>
        <v>Morning</v>
      </c>
      <c r="AD831">
        <v>3</v>
      </c>
      <c r="AE831" t="s">
        <v>58</v>
      </c>
      <c r="AF831">
        <v>2</v>
      </c>
      <c r="AG831">
        <v>3</v>
      </c>
      <c r="AH831" t="s">
        <v>84</v>
      </c>
      <c r="AI831">
        <v>84920</v>
      </c>
      <c r="AJ831">
        <v>7720</v>
      </c>
      <c r="AK831">
        <v>15440</v>
      </c>
      <c r="AL831">
        <v>61760</v>
      </c>
      <c r="AM831" t="s">
        <v>202</v>
      </c>
      <c r="AN831" t="s">
        <v>203</v>
      </c>
      <c r="AO831">
        <v>2015</v>
      </c>
      <c r="AP831">
        <v>2006</v>
      </c>
      <c r="AQ831">
        <f t="shared" si="38"/>
        <v>9</v>
      </c>
      <c r="AR831" t="s">
        <v>61</v>
      </c>
    </row>
    <row r="832" spans="1:44" x14ac:dyDescent="0.25">
      <c r="A832">
        <v>148</v>
      </c>
      <c r="B832" t="str">
        <f t="shared" si="36"/>
        <v>10+ years</v>
      </c>
      <c r="C832">
        <v>36</v>
      </c>
      <c r="D832" t="str" cm="1">
        <f t="array" ref="D832">_xlfn.IFS(C832&lt;26, "19-25", C832&lt;33, "26-32", C832&lt;40, "33-39", C832&lt;47, "40-46",C832&lt;54, "47-53", TRUE, "54+")</f>
        <v>33-39</v>
      </c>
      <c r="E832">
        <v>211578</v>
      </c>
      <c r="F832" s="1">
        <v>35068</v>
      </c>
      <c r="G832" t="s">
        <v>88</v>
      </c>
      <c r="H832" t="s">
        <v>96</v>
      </c>
      <c r="I832">
        <v>1000</v>
      </c>
      <c r="J832">
        <v>1236.32</v>
      </c>
      <c r="K832">
        <v>5000000</v>
      </c>
      <c r="L832">
        <v>616929</v>
      </c>
      <c r="M832" t="s">
        <v>75</v>
      </c>
      <c r="N832" t="s">
        <v>47</v>
      </c>
      <c r="O832" t="s">
        <v>190</v>
      </c>
      <c r="P832" t="s">
        <v>154</v>
      </c>
      <c r="Q832" t="s">
        <v>79</v>
      </c>
      <c r="R832">
        <v>55100</v>
      </c>
      <c r="S832">
        <v>0</v>
      </c>
      <c r="T832" s="1">
        <v>42014</v>
      </c>
      <c r="U832" t="s">
        <v>51</v>
      </c>
      <c r="V832" t="s">
        <v>52</v>
      </c>
      <c r="W832" t="s">
        <v>112</v>
      </c>
      <c r="X832" t="s">
        <v>54</v>
      </c>
      <c r="Y832" t="s">
        <v>180</v>
      </c>
      <c r="Z832" t="s">
        <v>161</v>
      </c>
      <c r="AA832" t="s">
        <v>1014</v>
      </c>
      <c r="AB832">
        <v>0</v>
      </c>
      <c r="AC832" t="str">
        <f t="shared" si="37"/>
        <v>Night</v>
      </c>
      <c r="AD832">
        <v>1</v>
      </c>
      <c r="AE832" t="s">
        <v>84</v>
      </c>
      <c r="AF832">
        <v>2</v>
      </c>
      <c r="AG832">
        <v>0</v>
      </c>
      <c r="AH832" t="s">
        <v>84</v>
      </c>
      <c r="AI832">
        <v>61050</v>
      </c>
      <c r="AJ832">
        <v>5550</v>
      </c>
      <c r="AK832">
        <v>11100</v>
      </c>
      <c r="AL832">
        <v>44400</v>
      </c>
      <c r="AM832" t="s">
        <v>85</v>
      </c>
      <c r="AN832" t="s">
        <v>149</v>
      </c>
      <c r="AO832">
        <v>2015</v>
      </c>
      <c r="AP832">
        <v>2009</v>
      </c>
      <c r="AQ832">
        <f t="shared" si="38"/>
        <v>6</v>
      </c>
      <c r="AR832" t="s">
        <v>87</v>
      </c>
    </row>
    <row r="833" spans="1:44" x14ac:dyDescent="0.25">
      <c r="A833">
        <v>77</v>
      </c>
      <c r="B833" t="str">
        <f t="shared" si="36"/>
        <v>5-10 years</v>
      </c>
      <c r="C833">
        <v>26</v>
      </c>
      <c r="D833" t="str" cm="1">
        <f t="array" ref="D833">_xlfn.IFS(C833&lt;26, "19-25", C833&lt;33, "26-32", C833&lt;40, "33-39", C833&lt;47, "40-46",C833&lt;54, "47-53", TRUE, "54+")</f>
        <v>26-32</v>
      </c>
      <c r="E833">
        <v>357394</v>
      </c>
      <c r="F833" s="1">
        <v>39577</v>
      </c>
      <c r="G833" t="s">
        <v>88</v>
      </c>
      <c r="H833" t="s">
        <v>45</v>
      </c>
      <c r="I833">
        <v>2000</v>
      </c>
      <c r="J833">
        <v>785.82</v>
      </c>
      <c r="K833">
        <v>0</v>
      </c>
      <c r="L833">
        <v>620207</v>
      </c>
      <c r="M833" t="s">
        <v>46</v>
      </c>
      <c r="N833" t="s">
        <v>166</v>
      </c>
      <c r="O833" t="s">
        <v>130</v>
      </c>
      <c r="P833" t="s">
        <v>151</v>
      </c>
      <c r="Q833" t="s">
        <v>65</v>
      </c>
      <c r="R833">
        <v>49700</v>
      </c>
      <c r="S833">
        <v>0</v>
      </c>
      <c r="T833" s="1">
        <v>42011</v>
      </c>
      <c r="U833" t="s">
        <v>80</v>
      </c>
      <c r="V833" t="s">
        <v>81</v>
      </c>
      <c r="W833" t="s">
        <v>53</v>
      </c>
      <c r="X833" t="s">
        <v>54</v>
      </c>
      <c r="Y833" t="s">
        <v>82</v>
      </c>
      <c r="Z833" t="s">
        <v>127</v>
      </c>
      <c r="AA833" t="s">
        <v>1015</v>
      </c>
      <c r="AB833">
        <v>12</v>
      </c>
      <c r="AC833" t="str">
        <f t="shared" si="37"/>
        <v>Afternoon</v>
      </c>
      <c r="AD833">
        <v>3</v>
      </c>
      <c r="AE833" t="s">
        <v>58</v>
      </c>
      <c r="AF833">
        <v>2</v>
      </c>
      <c r="AG833">
        <v>0</v>
      </c>
      <c r="AH833" t="s">
        <v>67</v>
      </c>
      <c r="AI833">
        <v>69080</v>
      </c>
      <c r="AJ833">
        <v>12560</v>
      </c>
      <c r="AK833">
        <v>6280</v>
      </c>
      <c r="AL833">
        <v>50240</v>
      </c>
      <c r="AM833" t="s">
        <v>114</v>
      </c>
      <c r="AN833" t="s">
        <v>115</v>
      </c>
      <c r="AO833">
        <v>2015</v>
      </c>
      <c r="AP833">
        <v>2009</v>
      </c>
      <c r="AQ833">
        <f t="shared" si="38"/>
        <v>6</v>
      </c>
      <c r="AR833" t="s">
        <v>61</v>
      </c>
    </row>
    <row r="834" spans="1:44" x14ac:dyDescent="0.25">
      <c r="A834">
        <v>295</v>
      </c>
      <c r="B834" t="str">
        <f t="shared" si="36"/>
        <v>10+ years</v>
      </c>
      <c r="C834">
        <v>46</v>
      </c>
      <c r="D834" t="str" cm="1">
        <f t="array" ref="D834">_xlfn.IFS(C834&lt;26, "19-25", C834&lt;33, "26-32", C834&lt;40, "33-39", C834&lt;47, "40-46",C834&lt;54, "47-53", TRUE, "54+")</f>
        <v>40-46</v>
      </c>
      <c r="E834">
        <v>863749</v>
      </c>
      <c r="F834" s="1">
        <v>40152</v>
      </c>
      <c r="G834" t="s">
        <v>62</v>
      </c>
      <c r="H834" t="s">
        <v>45</v>
      </c>
      <c r="I834">
        <v>500</v>
      </c>
      <c r="J834">
        <v>1265.8399999999999</v>
      </c>
      <c r="K834">
        <v>0</v>
      </c>
      <c r="L834">
        <v>605743</v>
      </c>
      <c r="M834" t="s">
        <v>75</v>
      </c>
      <c r="N834" t="s">
        <v>166</v>
      </c>
      <c r="O834" t="s">
        <v>106</v>
      </c>
      <c r="P834" t="s">
        <v>170</v>
      </c>
      <c r="Q834" t="s">
        <v>79</v>
      </c>
      <c r="R834">
        <v>52200</v>
      </c>
      <c r="S834">
        <v>-44500</v>
      </c>
      <c r="T834" s="1">
        <v>42020</v>
      </c>
      <c r="U834" t="s">
        <v>66</v>
      </c>
      <c r="V834" t="s">
        <v>67</v>
      </c>
      <c r="W834" t="s">
        <v>68</v>
      </c>
      <c r="X834" t="s">
        <v>98</v>
      </c>
      <c r="Y834" t="s">
        <v>69</v>
      </c>
      <c r="Z834" t="s">
        <v>92</v>
      </c>
      <c r="AA834" t="s">
        <v>1016</v>
      </c>
      <c r="AB834">
        <v>10</v>
      </c>
      <c r="AC834" t="str">
        <f t="shared" si="37"/>
        <v>Morning</v>
      </c>
      <c r="AD834">
        <v>1</v>
      </c>
      <c r="AE834" t="s">
        <v>58</v>
      </c>
      <c r="AF834">
        <v>1</v>
      </c>
      <c r="AG834">
        <v>3</v>
      </c>
      <c r="AH834" t="s">
        <v>58</v>
      </c>
      <c r="AI834">
        <v>4560</v>
      </c>
      <c r="AJ834">
        <v>760</v>
      </c>
      <c r="AK834">
        <v>380</v>
      </c>
      <c r="AL834">
        <v>3420</v>
      </c>
      <c r="AM834" t="s">
        <v>109</v>
      </c>
      <c r="AN834" t="s">
        <v>110</v>
      </c>
      <c r="AO834">
        <v>2015</v>
      </c>
      <c r="AP834">
        <v>2007</v>
      </c>
      <c r="AQ834">
        <f t="shared" si="38"/>
        <v>8</v>
      </c>
      <c r="AR834" t="s">
        <v>87</v>
      </c>
    </row>
    <row r="835" spans="1:44" x14ac:dyDescent="0.25">
      <c r="A835">
        <v>126</v>
      </c>
      <c r="B835" t="str">
        <f t="shared" ref="B835:B898" si="39">IF(A835&lt;=24, "0-2 years", IF(A835&lt;=60, "2-5 years", IF(A835&lt;=120, "5-10 years", "10+ years")))</f>
        <v>10+ years</v>
      </c>
      <c r="C835">
        <v>28</v>
      </c>
      <c r="D835" t="str" cm="1">
        <f t="array" ref="D835">_xlfn.IFS(C835&lt;26, "19-25", C835&lt;33, "26-32", C835&lt;40, "33-39", C835&lt;47, "40-46",C835&lt;54, "47-53", TRUE, "54+")</f>
        <v>26-32</v>
      </c>
      <c r="E835">
        <v>596914</v>
      </c>
      <c r="F835" s="1">
        <v>33608</v>
      </c>
      <c r="G835" t="s">
        <v>62</v>
      </c>
      <c r="H835" t="s">
        <v>45</v>
      </c>
      <c r="I835">
        <v>500</v>
      </c>
      <c r="J835">
        <v>1508.9</v>
      </c>
      <c r="K835">
        <v>0</v>
      </c>
      <c r="L835">
        <v>472814</v>
      </c>
      <c r="M835" t="s">
        <v>75</v>
      </c>
      <c r="N835" t="s">
        <v>166</v>
      </c>
      <c r="O835" t="s">
        <v>63</v>
      </c>
      <c r="P835" t="s">
        <v>137</v>
      </c>
      <c r="Q835" t="s">
        <v>65</v>
      </c>
      <c r="R835">
        <v>0</v>
      </c>
      <c r="S835">
        <v>0</v>
      </c>
      <c r="T835" s="1">
        <v>42005</v>
      </c>
      <c r="U835" t="s">
        <v>80</v>
      </c>
      <c r="V835" t="s">
        <v>81</v>
      </c>
      <c r="W835" t="s">
        <v>112</v>
      </c>
      <c r="X835" t="s">
        <v>54</v>
      </c>
      <c r="Y835" t="s">
        <v>118</v>
      </c>
      <c r="Z835" t="s">
        <v>132</v>
      </c>
      <c r="AA835" t="s">
        <v>1017</v>
      </c>
      <c r="AB835">
        <v>3</v>
      </c>
      <c r="AC835" t="str">
        <f t="shared" ref="AC835:AC898" si="40">IF(AB835&lt;6, "Night", IF(AB835&lt;12, "Morning", IF(AB835&lt;18, "Afternoon", "Evening")))</f>
        <v>Night</v>
      </c>
      <c r="AD835">
        <v>4</v>
      </c>
      <c r="AE835" t="s">
        <v>84</v>
      </c>
      <c r="AF835">
        <v>0</v>
      </c>
      <c r="AG835">
        <v>1</v>
      </c>
      <c r="AH835" t="s">
        <v>67</v>
      </c>
      <c r="AI835">
        <v>67800</v>
      </c>
      <c r="AJ835">
        <v>11300</v>
      </c>
      <c r="AK835">
        <v>11300</v>
      </c>
      <c r="AL835">
        <v>45200</v>
      </c>
      <c r="AM835" t="s">
        <v>134</v>
      </c>
      <c r="AN835" t="s">
        <v>135</v>
      </c>
      <c r="AO835">
        <v>2015</v>
      </c>
      <c r="AP835">
        <v>2011</v>
      </c>
      <c r="AQ835">
        <f t="shared" ref="AQ835:AQ898" si="41">AO835-AP835</f>
        <v>4</v>
      </c>
      <c r="AR835" t="s">
        <v>87</v>
      </c>
    </row>
    <row r="836" spans="1:44" x14ac:dyDescent="0.25">
      <c r="A836">
        <v>132</v>
      </c>
      <c r="B836" t="str">
        <f t="shared" si="39"/>
        <v>10+ years</v>
      </c>
      <c r="C836">
        <v>32</v>
      </c>
      <c r="D836" t="str" cm="1">
        <f t="array" ref="D836">_xlfn.IFS(C836&lt;26, "19-25", C836&lt;33, "26-32", C836&lt;40, "33-39", C836&lt;47, "40-46",C836&lt;54, "47-53", TRUE, "54+")</f>
        <v>26-32</v>
      </c>
      <c r="E836">
        <v>684653</v>
      </c>
      <c r="F836" s="1">
        <v>35749</v>
      </c>
      <c r="G836" t="s">
        <v>44</v>
      </c>
      <c r="H836" t="s">
        <v>45</v>
      </c>
      <c r="I836">
        <v>2000</v>
      </c>
      <c r="J836">
        <v>1106.8399999999999</v>
      </c>
      <c r="K836">
        <v>0</v>
      </c>
      <c r="L836">
        <v>464362</v>
      </c>
      <c r="M836" t="s">
        <v>46</v>
      </c>
      <c r="N836" t="s">
        <v>76</v>
      </c>
      <c r="O836" t="s">
        <v>116</v>
      </c>
      <c r="P836" t="s">
        <v>64</v>
      </c>
      <c r="Q836" t="s">
        <v>124</v>
      </c>
      <c r="R836">
        <v>43100</v>
      </c>
      <c r="S836">
        <v>-31900</v>
      </c>
      <c r="T836" s="1">
        <v>42011</v>
      </c>
      <c r="U836" t="s">
        <v>66</v>
      </c>
      <c r="V836" t="s">
        <v>67</v>
      </c>
      <c r="W836" t="s">
        <v>68</v>
      </c>
      <c r="X836" t="s">
        <v>54</v>
      </c>
      <c r="Y836" t="s">
        <v>55</v>
      </c>
      <c r="Z836" t="s">
        <v>70</v>
      </c>
      <c r="AA836" t="s">
        <v>1018</v>
      </c>
      <c r="AB836">
        <v>21</v>
      </c>
      <c r="AC836" t="str">
        <f t="shared" si="40"/>
        <v>Evening</v>
      </c>
      <c r="AD836">
        <v>1</v>
      </c>
      <c r="AE836" t="s">
        <v>58</v>
      </c>
      <c r="AF836">
        <v>1</v>
      </c>
      <c r="AG836">
        <v>1</v>
      </c>
      <c r="AH836" t="s">
        <v>58</v>
      </c>
      <c r="AI836">
        <v>5600</v>
      </c>
      <c r="AJ836">
        <v>1120</v>
      </c>
      <c r="AK836">
        <v>560</v>
      </c>
      <c r="AL836">
        <v>3920</v>
      </c>
      <c r="AM836" t="s">
        <v>158</v>
      </c>
      <c r="AN836" t="s">
        <v>159</v>
      </c>
      <c r="AO836">
        <v>2015</v>
      </c>
      <c r="AP836">
        <v>2005</v>
      </c>
      <c r="AQ836">
        <f t="shared" si="41"/>
        <v>10</v>
      </c>
      <c r="AR836" t="s">
        <v>87</v>
      </c>
    </row>
    <row r="837" spans="1:44" x14ac:dyDescent="0.25">
      <c r="A837">
        <v>370</v>
      </c>
      <c r="B837" t="str">
        <f t="shared" si="39"/>
        <v>10+ years</v>
      </c>
      <c r="C837">
        <v>55</v>
      </c>
      <c r="D837" t="str" cm="1">
        <f t="array" ref="D837">_xlfn.IFS(C837&lt;26, "19-25", C837&lt;33, "26-32", C837&lt;40, "33-39", C837&lt;47, "40-46",C837&lt;54, "47-53", TRUE, "54+")</f>
        <v>54+</v>
      </c>
      <c r="E837">
        <v>528259</v>
      </c>
      <c r="F837" s="1">
        <v>41265</v>
      </c>
      <c r="G837" t="s">
        <v>62</v>
      </c>
      <c r="H837" t="s">
        <v>96</v>
      </c>
      <c r="I837">
        <v>2000</v>
      </c>
      <c r="J837">
        <v>1389.13</v>
      </c>
      <c r="K837">
        <v>7000000</v>
      </c>
      <c r="L837">
        <v>456203</v>
      </c>
      <c r="M837" t="s">
        <v>46</v>
      </c>
      <c r="N837" t="s">
        <v>166</v>
      </c>
      <c r="O837" t="s">
        <v>116</v>
      </c>
      <c r="P837" t="s">
        <v>184</v>
      </c>
      <c r="Q837" t="s">
        <v>124</v>
      </c>
      <c r="R837">
        <v>0</v>
      </c>
      <c r="S837">
        <v>-53200</v>
      </c>
      <c r="T837" s="1">
        <v>42052</v>
      </c>
      <c r="U837" t="s">
        <v>66</v>
      </c>
      <c r="V837" t="s">
        <v>67</v>
      </c>
      <c r="W837" t="s">
        <v>68</v>
      </c>
      <c r="X837" t="s">
        <v>98</v>
      </c>
      <c r="Y837" t="s">
        <v>126</v>
      </c>
      <c r="Z837" t="s">
        <v>161</v>
      </c>
      <c r="AA837" t="s">
        <v>1019</v>
      </c>
      <c r="AB837">
        <v>6</v>
      </c>
      <c r="AC837" t="str">
        <f t="shared" si="40"/>
        <v>Morning</v>
      </c>
      <c r="AD837">
        <v>1</v>
      </c>
      <c r="AE837" t="s">
        <v>67</v>
      </c>
      <c r="AF837">
        <v>0</v>
      </c>
      <c r="AG837">
        <v>2</v>
      </c>
      <c r="AH837" t="s">
        <v>67</v>
      </c>
      <c r="AI837">
        <v>9000</v>
      </c>
      <c r="AJ837">
        <v>900</v>
      </c>
      <c r="AK837">
        <v>1800</v>
      </c>
      <c r="AL837">
        <v>6300</v>
      </c>
      <c r="AM837" t="s">
        <v>72</v>
      </c>
      <c r="AN837" t="s">
        <v>276</v>
      </c>
      <c r="AO837">
        <v>2015</v>
      </c>
      <c r="AP837">
        <v>2015</v>
      </c>
      <c r="AQ837">
        <f t="shared" si="41"/>
        <v>0</v>
      </c>
      <c r="AR837" t="s">
        <v>87</v>
      </c>
    </row>
    <row r="838" spans="1:44" x14ac:dyDescent="0.25">
      <c r="A838">
        <v>257</v>
      </c>
      <c r="B838" t="str">
        <f t="shared" si="39"/>
        <v>10+ years</v>
      </c>
      <c r="C838">
        <v>43</v>
      </c>
      <c r="D838" t="str" cm="1">
        <f t="array" ref="D838">_xlfn.IFS(C838&lt;26, "19-25", C838&lt;33, "26-32", C838&lt;40, "33-39", C838&lt;47, "40-46",C838&lt;54, "47-53", TRUE, "54+")</f>
        <v>40-46</v>
      </c>
      <c r="E838">
        <v>797636</v>
      </c>
      <c r="F838" s="1">
        <v>33743</v>
      </c>
      <c r="G838" t="s">
        <v>62</v>
      </c>
      <c r="H838" t="s">
        <v>74</v>
      </c>
      <c r="I838">
        <v>1000</v>
      </c>
      <c r="J838">
        <v>974.84</v>
      </c>
      <c r="K838">
        <v>0</v>
      </c>
      <c r="L838">
        <v>468984</v>
      </c>
      <c r="M838" t="s">
        <v>75</v>
      </c>
      <c r="N838" t="s">
        <v>166</v>
      </c>
      <c r="O838" t="s">
        <v>150</v>
      </c>
      <c r="P838" t="s">
        <v>175</v>
      </c>
      <c r="Q838" t="s">
        <v>65</v>
      </c>
      <c r="R838">
        <v>52100</v>
      </c>
      <c r="S838">
        <v>0</v>
      </c>
      <c r="T838" s="1">
        <v>42061</v>
      </c>
      <c r="U838" t="s">
        <v>51</v>
      </c>
      <c r="V838" t="s">
        <v>81</v>
      </c>
      <c r="W838" t="s">
        <v>112</v>
      </c>
      <c r="X838" t="s">
        <v>54</v>
      </c>
      <c r="Y838" t="s">
        <v>69</v>
      </c>
      <c r="Z838" t="s">
        <v>132</v>
      </c>
      <c r="AA838" t="s">
        <v>1020</v>
      </c>
      <c r="AB838">
        <v>0</v>
      </c>
      <c r="AC838" t="str">
        <f t="shared" si="40"/>
        <v>Night</v>
      </c>
      <c r="AD838">
        <v>1</v>
      </c>
      <c r="AE838" t="s">
        <v>84</v>
      </c>
      <c r="AF838">
        <v>0</v>
      </c>
      <c r="AG838">
        <v>1</v>
      </c>
      <c r="AH838" t="s">
        <v>58</v>
      </c>
      <c r="AI838">
        <v>85320</v>
      </c>
      <c r="AJ838">
        <v>21330</v>
      </c>
      <c r="AK838">
        <v>7110</v>
      </c>
      <c r="AL838">
        <v>56880</v>
      </c>
      <c r="AM838" t="s">
        <v>109</v>
      </c>
      <c r="AN838" t="s">
        <v>110</v>
      </c>
      <c r="AO838">
        <v>2015</v>
      </c>
      <c r="AP838">
        <v>2006</v>
      </c>
      <c r="AQ838">
        <f t="shared" si="41"/>
        <v>9</v>
      </c>
      <c r="AR838" t="s">
        <v>87</v>
      </c>
    </row>
    <row r="839" spans="1:44" x14ac:dyDescent="0.25">
      <c r="A839">
        <v>9</v>
      </c>
      <c r="B839" t="str">
        <f t="shared" si="39"/>
        <v>0-2 years</v>
      </c>
      <c r="C839">
        <v>24</v>
      </c>
      <c r="D839" t="str" cm="1">
        <f t="array" ref="D839">_xlfn.IFS(C839&lt;26, "19-25", C839&lt;33, "26-32", C839&lt;40, "33-39", C839&lt;47, "40-46",C839&lt;54, "47-53", TRUE, "54+")</f>
        <v>19-25</v>
      </c>
      <c r="E839">
        <v>326180</v>
      </c>
      <c r="F839" s="1">
        <v>37401</v>
      </c>
      <c r="G839" t="s">
        <v>88</v>
      </c>
      <c r="H839" t="s">
        <v>74</v>
      </c>
      <c r="I839">
        <v>2000</v>
      </c>
      <c r="J839">
        <v>1304.46</v>
      </c>
      <c r="K839">
        <v>0</v>
      </c>
      <c r="L839">
        <v>473349</v>
      </c>
      <c r="M839" t="s">
        <v>75</v>
      </c>
      <c r="N839" t="s">
        <v>76</v>
      </c>
      <c r="O839" t="s">
        <v>63</v>
      </c>
      <c r="P839" t="s">
        <v>117</v>
      </c>
      <c r="Q839" t="s">
        <v>65</v>
      </c>
      <c r="R839">
        <v>51700</v>
      </c>
      <c r="S839">
        <v>-33300</v>
      </c>
      <c r="T839" s="1">
        <v>42035</v>
      </c>
      <c r="U839" t="s">
        <v>66</v>
      </c>
      <c r="V839" t="s">
        <v>67</v>
      </c>
      <c r="W839" t="s">
        <v>217</v>
      </c>
      <c r="X839" t="s">
        <v>98</v>
      </c>
      <c r="Y839" t="s">
        <v>126</v>
      </c>
      <c r="Z839" t="s">
        <v>92</v>
      </c>
      <c r="AA839" t="s">
        <v>1021</v>
      </c>
      <c r="AB839">
        <v>6</v>
      </c>
      <c r="AC839" t="str">
        <f t="shared" si="40"/>
        <v>Morning</v>
      </c>
      <c r="AD839">
        <v>1</v>
      </c>
      <c r="AE839" t="s">
        <v>84</v>
      </c>
      <c r="AF839">
        <v>0</v>
      </c>
      <c r="AG839">
        <v>3</v>
      </c>
      <c r="AH839" t="s">
        <v>58</v>
      </c>
      <c r="AI839">
        <v>5940</v>
      </c>
      <c r="AJ839">
        <v>540</v>
      </c>
      <c r="AK839">
        <v>1080</v>
      </c>
      <c r="AL839">
        <v>4320</v>
      </c>
      <c r="AM839" t="s">
        <v>114</v>
      </c>
      <c r="AN839" t="s">
        <v>115</v>
      </c>
      <c r="AO839">
        <v>2015</v>
      </c>
      <c r="AP839">
        <v>2001</v>
      </c>
      <c r="AQ839">
        <f t="shared" si="41"/>
        <v>14</v>
      </c>
      <c r="AR839" t="s">
        <v>61</v>
      </c>
    </row>
    <row r="840" spans="1:44" x14ac:dyDescent="0.25">
      <c r="A840">
        <v>185</v>
      </c>
      <c r="B840" t="str">
        <f t="shared" si="39"/>
        <v>10+ years</v>
      </c>
      <c r="C840">
        <v>34</v>
      </c>
      <c r="D840" t="str" cm="1">
        <f t="array" ref="D840">_xlfn.IFS(C840&lt;26, "19-25", C840&lt;33, "26-32", C840&lt;40, "33-39", C840&lt;47, "40-46",C840&lt;54, "47-53", TRUE, "54+")</f>
        <v>33-39</v>
      </c>
      <c r="E840">
        <v>620075</v>
      </c>
      <c r="F840" s="1">
        <v>40289</v>
      </c>
      <c r="G840" t="s">
        <v>44</v>
      </c>
      <c r="H840" t="s">
        <v>45</v>
      </c>
      <c r="I840">
        <v>500</v>
      </c>
      <c r="J840">
        <v>1257.3599999999999</v>
      </c>
      <c r="K840">
        <v>0</v>
      </c>
      <c r="L840">
        <v>474771</v>
      </c>
      <c r="M840" t="s">
        <v>75</v>
      </c>
      <c r="N840" t="s">
        <v>76</v>
      </c>
      <c r="O840" t="s">
        <v>89</v>
      </c>
      <c r="P840" t="s">
        <v>151</v>
      </c>
      <c r="Q840" t="s">
        <v>50</v>
      </c>
      <c r="R840">
        <v>0</v>
      </c>
      <c r="S840">
        <v>0</v>
      </c>
      <c r="T840" s="1">
        <v>42062</v>
      </c>
      <c r="U840" t="s">
        <v>80</v>
      </c>
      <c r="V840" t="s">
        <v>52</v>
      </c>
      <c r="W840" t="s">
        <v>53</v>
      </c>
      <c r="X840" t="s">
        <v>104</v>
      </c>
      <c r="Y840" t="s">
        <v>55</v>
      </c>
      <c r="Z840" t="s">
        <v>92</v>
      </c>
      <c r="AA840" t="s">
        <v>1022</v>
      </c>
      <c r="AB840">
        <v>20</v>
      </c>
      <c r="AC840" t="str">
        <f t="shared" si="40"/>
        <v>Evening</v>
      </c>
      <c r="AD840">
        <v>3</v>
      </c>
      <c r="AE840" t="s">
        <v>58</v>
      </c>
      <c r="AF840">
        <v>1</v>
      </c>
      <c r="AG840">
        <v>1</v>
      </c>
      <c r="AH840" t="s">
        <v>67</v>
      </c>
      <c r="AI840">
        <v>51370</v>
      </c>
      <c r="AJ840">
        <v>9340</v>
      </c>
      <c r="AK840">
        <v>4670</v>
      </c>
      <c r="AL840">
        <v>37360</v>
      </c>
      <c r="AM840" t="s">
        <v>192</v>
      </c>
      <c r="AN840" t="s">
        <v>206</v>
      </c>
      <c r="AO840">
        <v>2015</v>
      </c>
      <c r="AP840">
        <v>2000</v>
      </c>
      <c r="AQ840">
        <f t="shared" si="41"/>
        <v>15</v>
      </c>
      <c r="AR840" t="s">
        <v>61</v>
      </c>
    </row>
    <row r="841" spans="1:44" x14ac:dyDescent="0.25">
      <c r="A841">
        <v>234</v>
      </c>
      <c r="B841" t="str">
        <f t="shared" si="39"/>
        <v>10+ years</v>
      </c>
      <c r="C841">
        <v>43</v>
      </c>
      <c r="D841" t="str" cm="1">
        <f t="array" ref="D841">_xlfn.IFS(C841&lt;26, "19-25", C841&lt;33, "26-32", C841&lt;40, "33-39", C841&lt;47, "40-46",C841&lt;54, "47-53", TRUE, "54+")</f>
        <v>40-46</v>
      </c>
      <c r="E841">
        <v>965187</v>
      </c>
      <c r="F841" s="1">
        <v>32958</v>
      </c>
      <c r="G841" t="s">
        <v>44</v>
      </c>
      <c r="H841" t="s">
        <v>45</v>
      </c>
      <c r="I841">
        <v>500</v>
      </c>
      <c r="J841">
        <v>1257.04</v>
      </c>
      <c r="K841">
        <v>0</v>
      </c>
      <c r="L841">
        <v>448294</v>
      </c>
      <c r="M841" t="s">
        <v>46</v>
      </c>
      <c r="N841" t="s">
        <v>97</v>
      </c>
      <c r="O841" t="s">
        <v>140</v>
      </c>
      <c r="P841" t="s">
        <v>64</v>
      </c>
      <c r="Q841" t="s">
        <v>79</v>
      </c>
      <c r="R841">
        <v>0</v>
      </c>
      <c r="S841">
        <v>-48800</v>
      </c>
      <c r="T841" s="1">
        <v>42064</v>
      </c>
      <c r="U841" t="s">
        <v>51</v>
      </c>
      <c r="V841" t="s">
        <v>81</v>
      </c>
      <c r="W841" t="s">
        <v>53</v>
      </c>
      <c r="X841" t="s">
        <v>54</v>
      </c>
      <c r="Y841" t="s">
        <v>55</v>
      </c>
      <c r="Z841" t="s">
        <v>161</v>
      </c>
      <c r="AA841" t="s">
        <v>1023</v>
      </c>
      <c r="AB841">
        <v>4</v>
      </c>
      <c r="AC841" t="str">
        <f t="shared" si="40"/>
        <v>Night</v>
      </c>
      <c r="AD841">
        <v>1</v>
      </c>
      <c r="AE841" t="s">
        <v>84</v>
      </c>
      <c r="AF841">
        <v>2</v>
      </c>
      <c r="AG841">
        <v>2</v>
      </c>
      <c r="AH841" t="s">
        <v>58</v>
      </c>
      <c r="AI841">
        <v>51600</v>
      </c>
      <c r="AJ841">
        <v>10320</v>
      </c>
      <c r="AK841">
        <v>5160</v>
      </c>
      <c r="AL841">
        <v>36120</v>
      </c>
      <c r="AM841" t="s">
        <v>85</v>
      </c>
      <c r="AN841" t="s">
        <v>149</v>
      </c>
      <c r="AO841">
        <v>2015</v>
      </c>
      <c r="AP841">
        <v>2011</v>
      </c>
      <c r="AQ841">
        <f t="shared" si="41"/>
        <v>4</v>
      </c>
      <c r="AR841" t="s">
        <v>87</v>
      </c>
    </row>
    <row r="842" spans="1:44" x14ac:dyDescent="0.25">
      <c r="A842">
        <v>253</v>
      </c>
      <c r="B842" t="str">
        <f t="shared" si="39"/>
        <v>10+ years</v>
      </c>
      <c r="C842">
        <v>44</v>
      </c>
      <c r="D842" t="str" cm="1">
        <f t="array" ref="D842">_xlfn.IFS(C842&lt;26, "19-25", C842&lt;33, "26-32", C842&lt;40, "33-39", C842&lt;47, "40-46",C842&lt;54, "47-53", TRUE, "54+")</f>
        <v>40-46</v>
      </c>
      <c r="E842">
        <v>516182</v>
      </c>
      <c r="F842" s="1">
        <v>39214</v>
      </c>
      <c r="G842" t="s">
        <v>44</v>
      </c>
      <c r="H842" t="s">
        <v>74</v>
      </c>
      <c r="I842">
        <v>2000</v>
      </c>
      <c r="J842">
        <v>719.52</v>
      </c>
      <c r="K842">
        <v>0</v>
      </c>
      <c r="L842">
        <v>606606</v>
      </c>
      <c r="M842" t="s">
        <v>75</v>
      </c>
      <c r="N842" t="s">
        <v>136</v>
      </c>
      <c r="O842" t="s">
        <v>194</v>
      </c>
      <c r="P842" t="s">
        <v>117</v>
      </c>
      <c r="Q842" t="s">
        <v>79</v>
      </c>
      <c r="R842">
        <v>45800</v>
      </c>
      <c r="S842">
        <v>0</v>
      </c>
      <c r="T842" s="1">
        <v>42048</v>
      </c>
      <c r="U842" t="s">
        <v>143</v>
      </c>
      <c r="V842" t="s">
        <v>67</v>
      </c>
      <c r="W842" t="s">
        <v>217</v>
      </c>
      <c r="X842" t="s">
        <v>98</v>
      </c>
      <c r="Y842" t="s">
        <v>55</v>
      </c>
      <c r="Z842" t="s">
        <v>92</v>
      </c>
      <c r="AA842" t="s">
        <v>1024</v>
      </c>
      <c r="AB842">
        <v>9</v>
      </c>
      <c r="AC842" t="str">
        <f t="shared" si="40"/>
        <v>Morning</v>
      </c>
      <c r="AD842">
        <v>1</v>
      </c>
      <c r="AE842" t="s">
        <v>84</v>
      </c>
      <c r="AF842">
        <v>0</v>
      </c>
      <c r="AG842">
        <v>3</v>
      </c>
      <c r="AH842" t="s">
        <v>67</v>
      </c>
      <c r="AI842">
        <v>5400</v>
      </c>
      <c r="AJ842">
        <v>600</v>
      </c>
      <c r="AK842">
        <v>600</v>
      </c>
      <c r="AL842">
        <v>4200</v>
      </c>
      <c r="AM842" t="s">
        <v>94</v>
      </c>
      <c r="AN842" t="s">
        <v>250</v>
      </c>
      <c r="AO842">
        <v>2015</v>
      </c>
      <c r="AP842">
        <v>1998</v>
      </c>
      <c r="AQ842">
        <f t="shared" si="41"/>
        <v>17</v>
      </c>
      <c r="AR842" t="s">
        <v>87</v>
      </c>
    </row>
    <row r="843" spans="1:44" x14ac:dyDescent="0.25">
      <c r="A843">
        <v>233</v>
      </c>
      <c r="B843" t="str">
        <f t="shared" si="39"/>
        <v>10+ years</v>
      </c>
      <c r="C843">
        <v>39</v>
      </c>
      <c r="D843" t="str" cm="1">
        <f t="array" ref="D843">_xlfn.IFS(C843&lt;26, "19-25", C843&lt;33, "26-32", C843&lt;40, "33-39", C843&lt;47, "40-46",C843&lt;54, "47-53", TRUE, "54+")</f>
        <v>33-39</v>
      </c>
      <c r="E843">
        <v>728839</v>
      </c>
      <c r="F843" s="1">
        <v>36893</v>
      </c>
      <c r="G843" t="s">
        <v>44</v>
      </c>
      <c r="H843" t="s">
        <v>96</v>
      </c>
      <c r="I843">
        <v>2000</v>
      </c>
      <c r="J843">
        <v>1524.18</v>
      </c>
      <c r="K843">
        <v>0</v>
      </c>
      <c r="L843">
        <v>605220</v>
      </c>
      <c r="M843" t="s">
        <v>46</v>
      </c>
      <c r="N843" t="s">
        <v>166</v>
      </c>
      <c r="O843" t="s">
        <v>48</v>
      </c>
      <c r="P843" t="s">
        <v>64</v>
      </c>
      <c r="Q843" t="s">
        <v>90</v>
      </c>
      <c r="R843">
        <v>0</v>
      </c>
      <c r="S843">
        <v>0</v>
      </c>
      <c r="T843" s="1">
        <v>42012</v>
      </c>
      <c r="U843" t="s">
        <v>80</v>
      </c>
      <c r="V843" t="s">
        <v>81</v>
      </c>
      <c r="W843" t="s">
        <v>68</v>
      </c>
      <c r="X843" t="s">
        <v>104</v>
      </c>
      <c r="Y843" t="s">
        <v>55</v>
      </c>
      <c r="Z843" t="s">
        <v>161</v>
      </c>
      <c r="AA843" t="s">
        <v>1025</v>
      </c>
      <c r="AB843">
        <v>20</v>
      </c>
      <c r="AC843" t="str">
        <f t="shared" si="40"/>
        <v>Evening</v>
      </c>
      <c r="AD843">
        <v>3</v>
      </c>
      <c r="AE843" t="s">
        <v>67</v>
      </c>
      <c r="AF843">
        <v>1</v>
      </c>
      <c r="AG843">
        <v>0</v>
      </c>
      <c r="AH843" t="s">
        <v>58</v>
      </c>
      <c r="AI843">
        <v>48870</v>
      </c>
      <c r="AJ843">
        <v>5430</v>
      </c>
      <c r="AK843">
        <v>5430</v>
      </c>
      <c r="AL843">
        <v>38010</v>
      </c>
      <c r="AM843" t="s">
        <v>59</v>
      </c>
      <c r="AN843">
        <v>95</v>
      </c>
      <c r="AO843">
        <v>2015</v>
      </c>
      <c r="AP843">
        <v>1999</v>
      </c>
      <c r="AQ843">
        <f t="shared" si="41"/>
        <v>16</v>
      </c>
      <c r="AR843" t="s">
        <v>87</v>
      </c>
    </row>
    <row r="844" spans="1:44" x14ac:dyDescent="0.25">
      <c r="A844">
        <v>274</v>
      </c>
      <c r="B844" t="str">
        <f t="shared" si="39"/>
        <v>10+ years</v>
      </c>
      <c r="C844">
        <v>44</v>
      </c>
      <c r="D844" t="str" cm="1">
        <f t="array" ref="D844">_xlfn.IFS(C844&lt;26, "19-25", C844&lt;33, "26-32", C844&lt;40, "33-39", C844&lt;47, "40-46",C844&lt;54, "47-53", TRUE, "54+")</f>
        <v>40-46</v>
      </c>
      <c r="E844">
        <v>771509</v>
      </c>
      <c r="F844" s="1">
        <v>38939</v>
      </c>
      <c r="G844" t="s">
        <v>62</v>
      </c>
      <c r="H844" t="s">
        <v>96</v>
      </c>
      <c r="I844">
        <v>500</v>
      </c>
      <c r="J844">
        <v>1395.58</v>
      </c>
      <c r="K844">
        <v>0</v>
      </c>
      <c r="L844">
        <v>466612</v>
      </c>
      <c r="M844" t="s">
        <v>75</v>
      </c>
      <c r="N844" t="s">
        <v>166</v>
      </c>
      <c r="O844" t="s">
        <v>102</v>
      </c>
      <c r="P844" t="s">
        <v>64</v>
      </c>
      <c r="Q844" t="s">
        <v>50</v>
      </c>
      <c r="R844">
        <v>0</v>
      </c>
      <c r="S844">
        <v>0</v>
      </c>
      <c r="T844" s="1">
        <v>42040</v>
      </c>
      <c r="U844" t="s">
        <v>66</v>
      </c>
      <c r="V844" t="s">
        <v>67</v>
      </c>
      <c r="W844" t="s">
        <v>68</v>
      </c>
      <c r="X844" t="s">
        <v>54</v>
      </c>
      <c r="Y844" t="s">
        <v>118</v>
      </c>
      <c r="Z844" t="s">
        <v>107</v>
      </c>
      <c r="AA844" t="s">
        <v>1026</v>
      </c>
      <c r="AB844">
        <v>7</v>
      </c>
      <c r="AC844" t="str">
        <f t="shared" si="40"/>
        <v>Morning</v>
      </c>
      <c r="AD844">
        <v>1</v>
      </c>
      <c r="AE844" t="s">
        <v>84</v>
      </c>
      <c r="AF844">
        <v>2</v>
      </c>
      <c r="AG844">
        <v>1</v>
      </c>
      <c r="AH844" t="s">
        <v>67</v>
      </c>
      <c r="AI844">
        <v>5590</v>
      </c>
      <c r="AJ844">
        <v>860</v>
      </c>
      <c r="AK844">
        <v>860</v>
      </c>
      <c r="AL844">
        <v>3870</v>
      </c>
      <c r="AM844" t="s">
        <v>192</v>
      </c>
      <c r="AN844" t="s">
        <v>208</v>
      </c>
      <c r="AO844">
        <v>2015</v>
      </c>
      <c r="AP844">
        <v>2000</v>
      </c>
      <c r="AQ844">
        <f t="shared" si="41"/>
        <v>15</v>
      </c>
      <c r="AR844" t="s">
        <v>87</v>
      </c>
    </row>
    <row r="845" spans="1:44" x14ac:dyDescent="0.25">
      <c r="A845">
        <v>297</v>
      </c>
      <c r="B845" t="str">
        <f t="shared" si="39"/>
        <v>10+ years</v>
      </c>
      <c r="C845">
        <v>48</v>
      </c>
      <c r="D845" t="str" cm="1">
        <f t="array" ref="D845">_xlfn.IFS(C845&lt;26, "19-25", C845&lt;33, "26-32", C845&lt;40, "33-39", C845&lt;47, "40-46",C845&lt;54, "47-53", TRUE, "54+")</f>
        <v>47-53</v>
      </c>
      <c r="E845">
        <v>264221</v>
      </c>
      <c r="F845" s="1">
        <v>41848</v>
      </c>
      <c r="G845" t="s">
        <v>88</v>
      </c>
      <c r="H845" t="s">
        <v>96</v>
      </c>
      <c r="I845">
        <v>1000</v>
      </c>
      <c r="J845">
        <v>1243.68</v>
      </c>
      <c r="K845">
        <v>0</v>
      </c>
      <c r="L845">
        <v>463331</v>
      </c>
      <c r="M845" t="s">
        <v>46</v>
      </c>
      <c r="N845" t="s">
        <v>129</v>
      </c>
      <c r="O845" t="s">
        <v>140</v>
      </c>
      <c r="P845" t="s">
        <v>123</v>
      </c>
      <c r="Q845" t="s">
        <v>124</v>
      </c>
      <c r="R845">
        <v>0</v>
      </c>
      <c r="S845">
        <v>-71400</v>
      </c>
      <c r="T845" s="1">
        <v>42055</v>
      </c>
      <c r="U845" t="s">
        <v>80</v>
      </c>
      <c r="V845" t="s">
        <v>91</v>
      </c>
      <c r="W845" t="s">
        <v>53</v>
      </c>
      <c r="X845" t="s">
        <v>125</v>
      </c>
      <c r="Y845" t="s">
        <v>82</v>
      </c>
      <c r="Z845" t="s">
        <v>107</v>
      </c>
      <c r="AA845" t="s">
        <v>1027</v>
      </c>
      <c r="AB845">
        <v>18</v>
      </c>
      <c r="AC845" t="str">
        <f t="shared" si="40"/>
        <v>Evening</v>
      </c>
      <c r="AD845">
        <v>3</v>
      </c>
      <c r="AE845" t="s">
        <v>67</v>
      </c>
      <c r="AF845">
        <v>0</v>
      </c>
      <c r="AG845">
        <v>2</v>
      </c>
      <c r="AH845" t="s">
        <v>67</v>
      </c>
      <c r="AI845">
        <v>54960</v>
      </c>
      <c r="AJ845">
        <v>6870</v>
      </c>
      <c r="AK845">
        <v>0</v>
      </c>
      <c r="AL845">
        <v>48090</v>
      </c>
      <c r="AM845" t="s">
        <v>120</v>
      </c>
      <c r="AN845" t="s">
        <v>188</v>
      </c>
      <c r="AO845">
        <v>2015</v>
      </c>
      <c r="AP845">
        <v>2002</v>
      </c>
      <c r="AQ845">
        <f t="shared" si="41"/>
        <v>13</v>
      </c>
      <c r="AR845" t="s">
        <v>61</v>
      </c>
    </row>
    <row r="846" spans="1:44" x14ac:dyDescent="0.25">
      <c r="A846">
        <v>273</v>
      </c>
      <c r="B846" t="str">
        <f t="shared" si="39"/>
        <v>10+ years</v>
      </c>
      <c r="C846">
        <v>47</v>
      </c>
      <c r="D846" t="str" cm="1">
        <f t="array" ref="D846">_xlfn.IFS(C846&lt;26, "19-25", C846&lt;33, "26-32", C846&lt;40, "33-39", C846&lt;47, "40-46",C846&lt;54, "47-53", TRUE, "54+")</f>
        <v>47-53</v>
      </c>
      <c r="E846">
        <v>602704</v>
      </c>
      <c r="F846" s="1">
        <v>40813</v>
      </c>
      <c r="G846" t="s">
        <v>44</v>
      </c>
      <c r="H846" t="s">
        <v>96</v>
      </c>
      <c r="I846">
        <v>1000</v>
      </c>
      <c r="J846">
        <v>1189.04</v>
      </c>
      <c r="K846">
        <v>0</v>
      </c>
      <c r="L846">
        <v>457843</v>
      </c>
      <c r="M846" t="s">
        <v>75</v>
      </c>
      <c r="N846" t="s">
        <v>97</v>
      </c>
      <c r="O846" t="s">
        <v>106</v>
      </c>
      <c r="P846" t="s">
        <v>186</v>
      </c>
      <c r="Q846" t="s">
        <v>79</v>
      </c>
      <c r="R846">
        <v>59600</v>
      </c>
      <c r="S846">
        <v>0</v>
      </c>
      <c r="T846" s="1">
        <v>42028</v>
      </c>
      <c r="U846" t="s">
        <v>80</v>
      </c>
      <c r="V846" t="s">
        <v>52</v>
      </c>
      <c r="W846" t="s">
        <v>68</v>
      </c>
      <c r="X846" t="s">
        <v>54</v>
      </c>
      <c r="Y846" t="s">
        <v>69</v>
      </c>
      <c r="Z846" t="s">
        <v>161</v>
      </c>
      <c r="AA846" t="s">
        <v>1028</v>
      </c>
      <c r="AB846">
        <v>0</v>
      </c>
      <c r="AC846" t="str">
        <f t="shared" si="40"/>
        <v>Night</v>
      </c>
      <c r="AD846">
        <v>3</v>
      </c>
      <c r="AE846" t="s">
        <v>84</v>
      </c>
      <c r="AF846">
        <v>1</v>
      </c>
      <c r="AG846">
        <v>3</v>
      </c>
      <c r="AH846" t="s">
        <v>67</v>
      </c>
      <c r="AI846">
        <v>39800</v>
      </c>
      <c r="AJ846">
        <v>7960</v>
      </c>
      <c r="AK846">
        <v>3980</v>
      </c>
      <c r="AL846">
        <v>27860</v>
      </c>
      <c r="AM846" t="s">
        <v>202</v>
      </c>
      <c r="AN846" t="s">
        <v>203</v>
      </c>
      <c r="AO846">
        <v>2015</v>
      </c>
      <c r="AP846">
        <v>2014</v>
      </c>
      <c r="AQ846">
        <f t="shared" si="41"/>
        <v>1</v>
      </c>
      <c r="AR846" t="s">
        <v>87</v>
      </c>
    </row>
    <row r="847" spans="1:44" x14ac:dyDescent="0.25">
      <c r="A847">
        <v>147</v>
      </c>
      <c r="B847" t="str">
        <f t="shared" si="39"/>
        <v>10+ years</v>
      </c>
      <c r="C847">
        <v>37</v>
      </c>
      <c r="D847" t="str" cm="1">
        <f t="array" ref="D847">_xlfn.IFS(C847&lt;26, "19-25", C847&lt;33, "26-32", C847&lt;40, "33-39", C847&lt;47, "40-46",C847&lt;54, "47-53", TRUE, "54+")</f>
        <v>33-39</v>
      </c>
      <c r="E847">
        <v>672416</v>
      </c>
      <c r="F847" s="1">
        <v>41384</v>
      </c>
      <c r="G847" t="s">
        <v>62</v>
      </c>
      <c r="H847" t="s">
        <v>96</v>
      </c>
      <c r="I847">
        <v>2000</v>
      </c>
      <c r="J847">
        <v>1375.29</v>
      </c>
      <c r="K847">
        <v>0</v>
      </c>
      <c r="L847">
        <v>609226</v>
      </c>
      <c r="M847" t="s">
        <v>75</v>
      </c>
      <c r="N847" t="s">
        <v>129</v>
      </c>
      <c r="O847" t="s">
        <v>89</v>
      </c>
      <c r="P847" t="s">
        <v>173</v>
      </c>
      <c r="Q847" t="s">
        <v>79</v>
      </c>
      <c r="R847">
        <v>0</v>
      </c>
      <c r="S847">
        <v>0</v>
      </c>
      <c r="T847" s="1">
        <v>42035</v>
      </c>
      <c r="U847" t="s">
        <v>80</v>
      </c>
      <c r="V847" t="s">
        <v>52</v>
      </c>
      <c r="W847" t="s">
        <v>53</v>
      </c>
      <c r="X847" t="s">
        <v>141</v>
      </c>
      <c r="Y847" t="s">
        <v>55</v>
      </c>
      <c r="Z847" t="s">
        <v>56</v>
      </c>
      <c r="AA847" t="s">
        <v>1029</v>
      </c>
      <c r="AB847">
        <v>11</v>
      </c>
      <c r="AC847" t="str">
        <f t="shared" si="40"/>
        <v>Morning</v>
      </c>
      <c r="AD847">
        <v>3</v>
      </c>
      <c r="AE847" t="s">
        <v>67</v>
      </c>
      <c r="AF847">
        <v>0</v>
      </c>
      <c r="AG847">
        <v>1</v>
      </c>
      <c r="AH847" t="s">
        <v>67</v>
      </c>
      <c r="AI847">
        <v>56160</v>
      </c>
      <c r="AJ847">
        <v>6240</v>
      </c>
      <c r="AK847">
        <v>6240</v>
      </c>
      <c r="AL847">
        <v>43680</v>
      </c>
      <c r="AM847" t="s">
        <v>134</v>
      </c>
      <c r="AN847" t="s">
        <v>254</v>
      </c>
      <c r="AO847">
        <v>2015</v>
      </c>
      <c r="AP847">
        <v>2015</v>
      </c>
      <c r="AQ847">
        <f t="shared" si="41"/>
        <v>0</v>
      </c>
      <c r="AR847" t="s">
        <v>61</v>
      </c>
    </row>
    <row r="848" spans="1:44" x14ac:dyDescent="0.25">
      <c r="A848">
        <v>285</v>
      </c>
      <c r="B848" t="str">
        <f t="shared" si="39"/>
        <v>10+ years</v>
      </c>
      <c r="C848">
        <v>42</v>
      </c>
      <c r="D848" t="str" cm="1">
        <f t="array" ref="D848">_xlfn.IFS(C848&lt;26, "19-25", C848&lt;33, "26-32", C848&lt;40, "33-39", C848&lt;47, "40-46",C848&lt;54, "47-53", TRUE, "54+")</f>
        <v>40-46</v>
      </c>
      <c r="E848">
        <v>545506</v>
      </c>
      <c r="F848" s="1">
        <v>33317</v>
      </c>
      <c r="G848" t="s">
        <v>62</v>
      </c>
      <c r="H848" t="s">
        <v>74</v>
      </c>
      <c r="I848">
        <v>500</v>
      </c>
      <c r="J848">
        <v>1389.13</v>
      </c>
      <c r="K848">
        <v>0</v>
      </c>
      <c r="L848">
        <v>452942</v>
      </c>
      <c r="M848" t="s">
        <v>46</v>
      </c>
      <c r="N848" t="s">
        <v>97</v>
      </c>
      <c r="O848" t="s">
        <v>122</v>
      </c>
      <c r="P848" t="s">
        <v>117</v>
      </c>
      <c r="Q848" t="s">
        <v>147</v>
      </c>
      <c r="R848">
        <v>63100</v>
      </c>
      <c r="S848">
        <v>-79400</v>
      </c>
      <c r="T848" s="1">
        <v>42027</v>
      </c>
      <c r="U848" t="s">
        <v>51</v>
      </c>
      <c r="V848" t="s">
        <v>52</v>
      </c>
      <c r="W848" t="s">
        <v>112</v>
      </c>
      <c r="X848" t="s">
        <v>104</v>
      </c>
      <c r="Y848" t="s">
        <v>69</v>
      </c>
      <c r="Z848" t="s">
        <v>127</v>
      </c>
      <c r="AA848" t="s">
        <v>1030</v>
      </c>
      <c r="AB848">
        <v>13</v>
      </c>
      <c r="AC848" t="str">
        <f t="shared" si="40"/>
        <v>Afternoon</v>
      </c>
      <c r="AD848">
        <v>1</v>
      </c>
      <c r="AE848" t="s">
        <v>84</v>
      </c>
      <c r="AF848">
        <v>0</v>
      </c>
      <c r="AG848">
        <v>3</v>
      </c>
      <c r="AH848" t="s">
        <v>67</v>
      </c>
      <c r="AI848">
        <v>52700</v>
      </c>
      <c r="AJ848">
        <v>5270</v>
      </c>
      <c r="AK848">
        <v>10540</v>
      </c>
      <c r="AL848">
        <v>36890</v>
      </c>
      <c r="AM848" t="s">
        <v>120</v>
      </c>
      <c r="AN848" t="s">
        <v>188</v>
      </c>
      <c r="AO848">
        <v>2015</v>
      </c>
      <c r="AP848">
        <v>2005</v>
      </c>
      <c r="AQ848">
        <f t="shared" si="41"/>
        <v>10</v>
      </c>
      <c r="AR848" t="s">
        <v>87</v>
      </c>
    </row>
    <row r="849" spans="1:44" x14ac:dyDescent="0.25">
      <c r="A849">
        <v>289</v>
      </c>
      <c r="B849" t="str">
        <f t="shared" si="39"/>
        <v>10+ years</v>
      </c>
      <c r="C849">
        <v>43</v>
      </c>
      <c r="D849" t="str" cm="1">
        <f t="array" ref="D849">_xlfn.IFS(C849&lt;26, "19-25", C849&lt;33, "26-32", C849&lt;40, "33-39", C849&lt;47, "40-46",C849&lt;54, "47-53", TRUE, "54+")</f>
        <v>40-46</v>
      </c>
      <c r="E849">
        <v>777533</v>
      </c>
      <c r="F849" s="1">
        <v>37611</v>
      </c>
      <c r="G849" t="s">
        <v>44</v>
      </c>
      <c r="H849" t="s">
        <v>96</v>
      </c>
      <c r="I849">
        <v>1000</v>
      </c>
      <c r="J849">
        <v>1387.51</v>
      </c>
      <c r="K849">
        <v>0</v>
      </c>
      <c r="L849">
        <v>609390</v>
      </c>
      <c r="M849" t="s">
        <v>75</v>
      </c>
      <c r="N849" t="s">
        <v>97</v>
      </c>
      <c r="O849" t="s">
        <v>77</v>
      </c>
      <c r="P849" t="s">
        <v>111</v>
      </c>
      <c r="Q849" t="s">
        <v>147</v>
      </c>
      <c r="R849">
        <v>0</v>
      </c>
      <c r="S849">
        <v>0</v>
      </c>
      <c r="T849" s="1">
        <v>42015</v>
      </c>
      <c r="U849" t="s">
        <v>80</v>
      </c>
      <c r="V849" t="s">
        <v>52</v>
      </c>
      <c r="W849" t="s">
        <v>68</v>
      </c>
      <c r="X849" t="s">
        <v>104</v>
      </c>
      <c r="Y849" t="s">
        <v>82</v>
      </c>
      <c r="Z849" t="s">
        <v>70</v>
      </c>
      <c r="AA849" t="s">
        <v>1031</v>
      </c>
      <c r="AB849">
        <v>19</v>
      </c>
      <c r="AC849" t="str">
        <f t="shared" si="40"/>
        <v>Evening</v>
      </c>
      <c r="AD849">
        <v>3</v>
      </c>
      <c r="AE849" t="s">
        <v>58</v>
      </c>
      <c r="AF849">
        <v>1</v>
      </c>
      <c r="AG849">
        <v>3</v>
      </c>
      <c r="AH849" t="s">
        <v>67</v>
      </c>
      <c r="AI849">
        <v>68580</v>
      </c>
      <c r="AJ849">
        <v>7620</v>
      </c>
      <c r="AK849">
        <v>7620</v>
      </c>
      <c r="AL849">
        <v>53340</v>
      </c>
      <c r="AM849" t="s">
        <v>202</v>
      </c>
      <c r="AN849" t="s">
        <v>203</v>
      </c>
      <c r="AO849">
        <v>2015</v>
      </c>
      <c r="AP849">
        <v>2010</v>
      </c>
      <c r="AQ849">
        <f t="shared" si="41"/>
        <v>5</v>
      </c>
      <c r="AR849" t="s">
        <v>87</v>
      </c>
    </row>
    <row r="850" spans="1:44" x14ac:dyDescent="0.25">
      <c r="A850">
        <v>427</v>
      </c>
      <c r="B850" t="str">
        <f t="shared" si="39"/>
        <v>10+ years</v>
      </c>
      <c r="C850">
        <v>60</v>
      </c>
      <c r="D850" t="str" cm="1">
        <f t="array" ref="D850">_xlfn.IFS(C850&lt;26, "19-25", C850&lt;33, "26-32", C850&lt;40, "33-39", C850&lt;47, "40-46",C850&lt;54, "47-53", TRUE, "54+")</f>
        <v>54+</v>
      </c>
      <c r="E850">
        <v>953334</v>
      </c>
      <c r="F850" s="1">
        <v>38689</v>
      </c>
      <c r="G850" t="s">
        <v>62</v>
      </c>
      <c r="H850" t="s">
        <v>74</v>
      </c>
      <c r="I850">
        <v>1000</v>
      </c>
      <c r="J850">
        <v>1178.6099999999999</v>
      </c>
      <c r="K850">
        <v>7000000</v>
      </c>
      <c r="L850">
        <v>446608</v>
      </c>
      <c r="M850" t="s">
        <v>46</v>
      </c>
      <c r="N850" t="s">
        <v>47</v>
      </c>
      <c r="O850" t="s">
        <v>48</v>
      </c>
      <c r="P850" t="s">
        <v>78</v>
      </c>
      <c r="Q850" t="s">
        <v>79</v>
      </c>
      <c r="R850">
        <v>0</v>
      </c>
      <c r="S850">
        <v>-54400</v>
      </c>
      <c r="T850" s="1">
        <v>42055</v>
      </c>
      <c r="U850" t="s">
        <v>51</v>
      </c>
      <c r="V850" t="s">
        <v>52</v>
      </c>
      <c r="W850" t="s">
        <v>53</v>
      </c>
      <c r="X850" t="s">
        <v>141</v>
      </c>
      <c r="Y850" t="s">
        <v>82</v>
      </c>
      <c r="Z850" t="s">
        <v>107</v>
      </c>
      <c r="AA850" t="s">
        <v>1032</v>
      </c>
      <c r="AB850">
        <v>23</v>
      </c>
      <c r="AC850" t="str">
        <f t="shared" si="40"/>
        <v>Evening</v>
      </c>
      <c r="AD850">
        <v>1</v>
      </c>
      <c r="AE850" t="s">
        <v>58</v>
      </c>
      <c r="AF850">
        <v>1</v>
      </c>
      <c r="AG850">
        <v>2</v>
      </c>
      <c r="AH850" t="s">
        <v>58</v>
      </c>
      <c r="AI850">
        <v>90860</v>
      </c>
      <c r="AJ850">
        <v>12980</v>
      </c>
      <c r="AK850">
        <v>19470</v>
      </c>
      <c r="AL850">
        <v>58410</v>
      </c>
      <c r="AM850" t="s">
        <v>219</v>
      </c>
      <c r="AN850" t="s">
        <v>263</v>
      </c>
      <c r="AO850">
        <v>2015</v>
      </c>
      <c r="AP850">
        <v>2004</v>
      </c>
      <c r="AQ850">
        <f t="shared" si="41"/>
        <v>11</v>
      </c>
      <c r="AR850" t="s">
        <v>61</v>
      </c>
    </row>
    <row r="851" spans="1:44" x14ac:dyDescent="0.25">
      <c r="A851">
        <v>380</v>
      </c>
      <c r="B851" t="str">
        <f t="shared" si="39"/>
        <v>10+ years</v>
      </c>
      <c r="C851">
        <v>53</v>
      </c>
      <c r="D851" t="str" cm="1">
        <f t="array" ref="D851">_xlfn.IFS(C851&lt;26, "19-25", C851&lt;33, "26-32", C851&lt;40, "33-39", C851&lt;47, "40-46",C851&lt;54, "47-53", TRUE, "54+")</f>
        <v>47-53</v>
      </c>
      <c r="E851">
        <v>369781</v>
      </c>
      <c r="F851" s="1">
        <v>40688</v>
      </c>
      <c r="G851" t="s">
        <v>88</v>
      </c>
      <c r="H851" t="s">
        <v>45</v>
      </c>
      <c r="I851">
        <v>2000</v>
      </c>
      <c r="J851">
        <v>1166.6199999999999</v>
      </c>
      <c r="K851">
        <v>6000000</v>
      </c>
      <c r="L851">
        <v>602500</v>
      </c>
      <c r="M851" t="s">
        <v>46</v>
      </c>
      <c r="N851" t="s">
        <v>97</v>
      </c>
      <c r="O851" t="s">
        <v>122</v>
      </c>
      <c r="P851" t="s">
        <v>103</v>
      </c>
      <c r="Q851" t="s">
        <v>124</v>
      </c>
      <c r="R851">
        <v>0</v>
      </c>
      <c r="S851">
        <v>0</v>
      </c>
      <c r="T851" s="1">
        <v>42059</v>
      </c>
      <c r="U851" t="s">
        <v>143</v>
      </c>
      <c r="V851" t="s">
        <v>67</v>
      </c>
      <c r="W851" t="s">
        <v>217</v>
      </c>
      <c r="X851" t="s">
        <v>54</v>
      </c>
      <c r="Y851" t="s">
        <v>126</v>
      </c>
      <c r="Z851" t="s">
        <v>132</v>
      </c>
      <c r="AA851" t="s">
        <v>1033</v>
      </c>
      <c r="AB851">
        <v>23</v>
      </c>
      <c r="AC851" t="str">
        <f t="shared" si="40"/>
        <v>Evening</v>
      </c>
      <c r="AD851">
        <v>1</v>
      </c>
      <c r="AE851" t="s">
        <v>84</v>
      </c>
      <c r="AF851">
        <v>0</v>
      </c>
      <c r="AG851">
        <v>3</v>
      </c>
      <c r="AH851" t="s">
        <v>84</v>
      </c>
      <c r="AI851">
        <v>5700</v>
      </c>
      <c r="AJ851">
        <v>570</v>
      </c>
      <c r="AK851">
        <v>570</v>
      </c>
      <c r="AL851">
        <v>4560</v>
      </c>
      <c r="AM851" t="s">
        <v>59</v>
      </c>
      <c r="AN851">
        <v>93</v>
      </c>
      <c r="AO851">
        <v>2015</v>
      </c>
      <c r="AP851">
        <v>2001</v>
      </c>
      <c r="AQ851">
        <f t="shared" si="41"/>
        <v>14</v>
      </c>
      <c r="AR851" t="s">
        <v>87</v>
      </c>
    </row>
    <row r="852" spans="1:44" x14ac:dyDescent="0.25">
      <c r="A852">
        <v>13</v>
      </c>
      <c r="B852" t="str">
        <f t="shared" si="39"/>
        <v>0-2 years</v>
      </c>
      <c r="C852">
        <v>21</v>
      </c>
      <c r="D852" t="str" cm="1">
        <f t="array" ref="D852">_xlfn.IFS(C852&lt;26, "19-25", C852&lt;33, "26-32", C852&lt;40, "33-39", C852&lt;47, "40-46",C852&lt;54, "47-53", TRUE, "54+")</f>
        <v>19-25</v>
      </c>
      <c r="E852">
        <v>990998</v>
      </c>
      <c r="F852" s="1">
        <v>39008</v>
      </c>
      <c r="G852" t="s">
        <v>62</v>
      </c>
      <c r="H852" t="s">
        <v>74</v>
      </c>
      <c r="I852">
        <v>1000</v>
      </c>
      <c r="J852">
        <v>1556.31</v>
      </c>
      <c r="K852">
        <v>0</v>
      </c>
      <c r="L852">
        <v>463809</v>
      </c>
      <c r="M852" t="s">
        <v>46</v>
      </c>
      <c r="N852" t="s">
        <v>97</v>
      </c>
      <c r="O852" t="s">
        <v>106</v>
      </c>
      <c r="P852" t="s">
        <v>117</v>
      </c>
      <c r="Q852" t="s">
        <v>147</v>
      </c>
      <c r="R852">
        <v>0</v>
      </c>
      <c r="S852">
        <v>-75000</v>
      </c>
      <c r="T852" s="1">
        <v>42023</v>
      </c>
      <c r="U852" t="s">
        <v>80</v>
      </c>
      <c r="V852" t="s">
        <v>52</v>
      </c>
      <c r="W852" t="s">
        <v>112</v>
      </c>
      <c r="X852" t="s">
        <v>54</v>
      </c>
      <c r="Y852" t="s">
        <v>82</v>
      </c>
      <c r="Z852" t="s">
        <v>127</v>
      </c>
      <c r="AA852" t="s">
        <v>1034</v>
      </c>
      <c r="AB852">
        <v>19</v>
      </c>
      <c r="AC852" t="str">
        <f t="shared" si="40"/>
        <v>Evening</v>
      </c>
      <c r="AD852">
        <v>3</v>
      </c>
      <c r="AE852" t="s">
        <v>58</v>
      </c>
      <c r="AF852">
        <v>2</v>
      </c>
      <c r="AG852">
        <v>0</v>
      </c>
      <c r="AH852" t="s">
        <v>58</v>
      </c>
      <c r="AI852">
        <v>94930</v>
      </c>
      <c r="AJ852">
        <v>8630</v>
      </c>
      <c r="AK852">
        <v>8630</v>
      </c>
      <c r="AL852">
        <v>77670</v>
      </c>
      <c r="AM852" t="s">
        <v>100</v>
      </c>
      <c r="AN852" t="s">
        <v>101</v>
      </c>
      <c r="AO852">
        <v>2015</v>
      </c>
      <c r="AP852">
        <v>2014</v>
      </c>
      <c r="AQ852">
        <f t="shared" si="41"/>
        <v>1</v>
      </c>
      <c r="AR852" t="s">
        <v>87</v>
      </c>
    </row>
    <row r="853" spans="1:44" x14ac:dyDescent="0.25">
      <c r="A853">
        <v>282</v>
      </c>
      <c r="B853" t="str">
        <f t="shared" si="39"/>
        <v>10+ years</v>
      </c>
      <c r="C853">
        <v>43</v>
      </c>
      <c r="D853" t="str" cm="1">
        <f t="array" ref="D853">_xlfn.IFS(C853&lt;26, "19-25", C853&lt;33, "26-32", C853&lt;40, "33-39", C853&lt;47, "40-46",C853&lt;54, "47-53", TRUE, "54+")</f>
        <v>40-46</v>
      </c>
      <c r="E853">
        <v>982678</v>
      </c>
      <c r="F853" s="1">
        <v>38917</v>
      </c>
      <c r="G853" t="s">
        <v>44</v>
      </c>
      <c r="H853" t="s">
        <v>45</v>
      </c>
      <c r="I853">
        <v>500</v>
      </c>
      <c r="J853">
        <v>1452.27</v>
      </c>
      <c r="K853">
        <v>0</v>
      </c>
      <c r="L853">
        <v>611996</v>
      </c>
      <c r="M853" t="s">
        <v>46</v>
      </c>
      <c r="N853" t="s">
        <v>47</v>
      </c>
      <c r="O853" t="s">
        <v>194</v>
      </c>
      <c r="P853" t="s">
        <v>186</v>
      </c>
      <c r="Q853" t="s">
        <v>147</v>
      </c>
      <c r="R853">
        <v>75800</v>
      </c>
      <c r="S853">
        <v>0</v>
      </c>
      <c r="T853" s="1">
        <v>42012</v>
      </c>
      <c r="U853" t="s">
        <v>51</v>
      </c>
      <c r="V853" t="s">
        <v>52</v>
      </c>
      <c r="W853" t="s">
        <v>53</v>
      </c>
      <c r="X853" t="s">
        <v>141</v>
      </c>
      <c r="Y853" t="s">
        <v>55</v>
      </c>
      <c r="Z853" t="s">
        <v>132</v>
      </c>
      <c r="AA853" t="s">
        <v>1035</v>
      </c>
      <c r="AB853">
        <v>19</v>
      </c>
      <c r="AC853" t="str">
        <f t="shared" si="40"/>
        <v>Evening</v>
      </c>
      <c r="AD853">
        <v>1</v>
      </c>
      <c r="AE853" t="s">
        <v>84</v>
      </c>
      <c r="AF853">
        <v>1</v>
      </c>
      <c r="AG853">
        <v>2</v>
      </c>
      <c r="AH853" t="s">
        <v>84</v>
      </c>
      <c r="AI853">
        <v>46800</v>
      </c>
      <c r="AJ853">
        <v>4680</v>
      </c>
      <c r="AK853">
        <v>9360</v>
      </c>
      <c r="AL853">
        <v>32760</v>
      </c>
      <c r="AM853" t="s">
        <v>114</v>
      </c>
      <c r="AN853" t="s">
        <v>115</v>
      </c>
      <c r="AO853">
        <v>2015</v>
      </c>
      <c r="AP853">
        <v>2007</v>
      </c>
      <c r="AQ853">
        <f t="shared" si="41"/>
        <v>8</v>
      </c>
      <c r="AR853" t="s">
        <v>61</v>
      </c>
    </row>
    <row r="854" spans="1:44" x14ac:dyDescent="0.25">
      <c r="A854">
        <v>312</v>
      </c>
      <c r="B854" t="str">
        <f t="shared" si="39"/>
        <v>10+ years</v>
      </c>
      <c r="C854">
        <v>47</v>
      </c>
      <c r="D854" t="str" cm="1">
        <f t="array" ref="D854">_xlfn.IFS(C854&lt;26, "19-25", C854&lt;33, "26-32", C854&lt;40, "33-39", C854&lt;47, "40-46",C854&lt;54, "47-53", TRUE, "54+")</f>
        <v>47-53</v>
      </c>
      <c r="E854">
        <v>646069</v>
      </c>
      <c r="F854" s="1">
        <v>37415</v>
      </c>
      <c r="G854" t="s">
        <v>44</v>
      </c>
      <c r="H854" t="s">
        <v>96</v>
      </c>
      <c r="I854">
        <v>1000</v>
      </c>
      <c r="J854">
        <v>1212.07</v>
      </c>
      <c r="K854">
        <v>0</v>
      </c>
      <c r="L854">
        <v>459298</v>
      </c>
      <c r="M854" t="s">
        <v>75</v>
      </c>
      <c r="N854" t="s">
        <v>47</v>
      </c>
      <c r="O854" t="s">
        <v>130</v>
      </c>
      <c r="P854" t="s">
        <v>178</v>
      </c>
      <c r="Q854" t="s">
        <v>124</v>
      </c>
      <c r="R854">
        <v>66900</v>
      </c>
      <c r="S854">
        <v>-51800</v>
      </c>
      <c r="T854" s="1">
        <v>42064</v>
      </c>
      <c r="U854" t="s">
        <v>80</v>
      </c>
      <c r="V854" t="s">
        <v>52</v>
      </c>
      <c r="W854" t="s">
        <v>112</v>
      </c>
      <c r="X854" t="s">
        <v>104</v>
      </c>
      <c r="Y854" t="s">
        <v>82</v>
      </c>
      <c r="Z854" t="s">
        <v>132</v>
      </c>
      <c r="AA854" t="s">
        <v>1036</v>
      </c>
      <c r="AB854">
        <v>17</v>
      </c>
      <c r="AC854" t="str">
        <f t="shared" si="40"/>
        <v>Afternoon</v>
      </c>
      <c r="AD854">
        <v>3</v>
      </c>
      <c r="AE854" t="s">
        <v>84</v>
      </c>
      <c r="AF854">
        <v>2</v>
      </c>
      <c r="AG854">
        <v>3</v>
      </c>
      <c r="AH854" t="s">
        <v>84</v>
      </c>
      <c r="AI854">
        <v>56320</v>
      </c>
      <c r="AJ854">
        <v>7040</v>
      </c>
      <c r="AK854">
        <v>7040</v>
      </c>
      <c r="AL854">
        <v>42240</v>
      </c>
      <c r="AM854" t="s">
        <v>72</v>
      </c>
      <c r="AN854" t="s">
        <v>276</v>
      </c>
      <c r="AO854">
        <v>2015</v>
      </c>
      <c r="AP854">
        <v>2000</v>
      </c>
      <c r="AQ854">
        <f t="shared" si="41"/>
        <v>15</v>
      </c>
      <c r="AR854" t="s">
        <v>87</v>
      </c>
    </row>
    <row r="855" spans="1:44" x14ac:dyDescent="0.25">
      <c r="A855">
        <v>266</v>
      </c>
      <c r="B855" t="str">
        <f t="shared" si="39"/>
        <v>10+ years</v>
      </c>
      <c r="C855">
        <v>46</v>
      </c>
      <c r="D855" t="str" cm="1">
        <f t="array" ref="D855">_xlfn.IFS(C855&lt;26, "19-25", C855&lt;33, "26-32", C855&lt;40, "33-39", C855&lt;47, "40-46",C855&lt;54, "47-53", TRUE, "54+")</f>
        <v>40-46</v>
      </c>
      <c r="E855">
        <v>331683</v>
      </c>
      <c r="F855" s="1">
        <v>39856</v>
      </c>
      <c r="G855" t="s">
        <v>44</v>
      </c>
      <c r="H855" t="s">
        <v>74</v>
      </c>
      <c r="I855">
        <v>2000</v>
      </c>
      <c r="J855">
        <v>1578.54</v>
      </c>
      <c r="K855">
        <v>0</v>
      </c>
      <c r="L855">
        <v>468158</v>
      </c>
      <c r="M855" t="s">
        <v>46</v>
      </c>
      <c r="N855" t="s">
        <v>97</v>
      </c>
      <c r="O855" t="s">
        <v>164</v>
      </c>
      <c r="P855" t="s">
        <v>173</v>
      </c>
      <c r="Q855" t="s">
        <v>50</v>
      </c>
      <c r="R855">
        <v>0</v>
      </c>
      <c r="S855">
        <v>-41400</v>
      </c>
      <c r="T855" s="1">
        <v>42025</v>
      </c>
      <c r="U855" t="s">
        <v>51</v>
      </c>
      <c r="V855" t="s">
        <v>91</v>
      </c>
      <c r="W855" t="s">
        <v>68</v>
      </c>
      <c r="X855" t="s">
        <v>104</v>
      </c>
      <c r="Y855" t="s">
        <v>118</v>
      </c>
      <c r="Z855" t="s">
        <v>127</v>
      </c>
      <c r="AA855" t="s">
        <v>1037</v>
      </c>
      <c r="AB855">
        <v>18</v>
      </c>
      <c r="AC855" t="str">
        <f t="shared" si="40"/>
        <v>Evening</v>
      </c>
      <c r="AD855">
        <v>1</v>
      </c>
      <c r="AE855" t="s">
        <v>84</v>
      </c>
      <c r="AF855">
        <v>1</v>
      </c>
      <c r="AG855">
        <v>3</v>
      </c>
      <c r="AH855" t="s">
        <v>58</v>
      </c>
      <c r="AI855">
        <v>83490</v>
      </c>
      <c r="AJ855">
        <v>7590</v>
      </c>
      <c r="AK855">
        <v>15180</v>
      </c>
      <c r="AL855">
        <v>60720</v>
      </c>
      <c r="AM855" t="s">
        <v>109</v>
      </c>
      <c r="AN855" t="s">
        <v>110</v>
      </c>
      <c r="AO855">
        <v>2015</v>
      </c>
      <c r="AP855">
        <v>1996</v>
      </c>
      <c r="AQ855">
        <f t="shared" si="41"/>
        <v>19</v>
      </c>
      <c r="AR855" t="s">
        <v>87</v>
      </c>
    </row>
    <row r="856" spans="1:44" x14ac:dyDescent="0.25">
      <c r="A856">
        <v>30</v>
      </c>
      <c r="B856" t="str">
        <f t="shared" si="39"/>
        <v>2-5 years</v>
      </c>
      <c r="C856">
        <v>36</v>
      </c>
      <c r="D856" t="str" cm="1">
        <f t="array" ref="D856">_xlfn.IFS(C856&lt;26, "19-25", C856&lt;33, "26-32", C856&lt;40, "33-39", C856&lt;47, "40-46",C856&lt;54, "47-53", TRUE, "54+")</f>
        <v>33-39</v>
      </c>
      <c r="E856">
        <v>364055</v>
      </c>
      <c r="F856" s="1">
        <v>37025</v>
      </c>
      <c r="G856" t="s">
        <v>62</v>
      </c>
      <c r="H856" t="s">
        <v>96</v>
      </c>
      <c r="I856">
        <v>500</v>
      </c>
      <c r="J856">
        <v>1488.26</v>
      </c>
      <c r="K856">
        <v>0</v>
      </c>
      <c r="L856">
        <v>440831</v>
      </c>
      <c r="M856" t="s">
        <v>75</v>
      </c>
      <c r="N856" t="s">
        <v>146</v>
      </c>
      <c r="O856" t="s">
        <v>63</v>
      </c>
      <c r="P856" t="s">
        <v>117</v>
      </c>
      <c r="Q856" t="s">
        <v>124</v>
      </c>
      <c r="R856">
        <v>0</v>
      </c>
      <c r="S856">
        <v>-63500</v>
      </c>
      <c r="T856" s="1">
        <v>42063</v>
      </c>
      <c r="U856" t="s">
        <v>80</v>
      </c>
      <c r="V856" t="s">
        <v>52</v>
      </c>
      <c r="W856" t="s">
        <v>112</v>
      </c>
      <c r="X856" t="s">
        <v>54</v>
      </c>
      <c r="Y856" t="s">
        <v>118</v>
      </c>
      <c r="Z856" t="s">
        <v>161</v>
      </c>
      <c r="AA856" t="s">
        <v>1038</v>
      </c>
      <c r="AB856">
        <v>17</v>
      </c>
      <c r="AC856" t="str">
        <f t="shared" si="40"/>
        <v>Afternoon</v>
      </c>
      <c r="AD856">
        <v>3</v>
      </c>
      <c r="AE856" t="s">
        <v>84</v>
      </c>
      <c r="AF856">
        <v>2</v>
      </c>
      <c r="AG856">
        <v>2</v>
      </c>
      <c r="AH856" t="s">
        <v>67</v>
      </c>
      <c r="AI856">
        <v>57900</v>
      </c>
      <c r="AJ856">
        <v>5790</v>
      </c>
      <c r="AK856">
        <v>5790</v>
      </c>
      <c r="AL856">
        <v>46320</v>
      </c>
      <c r="AM856" t="s">
        <v>59</v>
      </c>
      <c r="AN856">
        <v>95</v>
      </c>
      <c r="AO856">
        <v>2015</v>
      </c>
      <c r="AP856">
        <v>2008</v>
      </c>
      <c r="AQ856">
        <f t="shared" si="41"/>
        <v>7</v>
      </c>
      <c r="AR856" t="s">
        <v>87</v>
      </c>
    </row>
    <row r="857" spans="1:44" x14ac:dyDescent="0.25">
      <c r="A857">
        <v>198</v>
      </c>
      <c r="B857" t="str">
        <f t="shared" si="39"/>
        <v>10+ years</v>
      </c>
      <c r="C857">
        <v>36</v>
      </c>
      <c r="D857" t="str" cm="1">
        <f t="array" ref="D857">_xlfn.IFS(C857&lt;26, "19-25", C857&lt;33, "26-32", C857&lt;40, "33-39", C857&lt;47, "40-46",C857&lt;54, "47-53", TRUE, "54+")</f>
        <v>33-39</v>
      </c>
      <c r="E857">
        <v>521854</v>
      </c>
      <c r="F857" s="1">
        <v>36938</v>
      </c>
      <c r="G857" t="s">
        <v>62</v>
      </c>
      <c r="H857" t="s">
        <v>45</v>
      </c>
      <c r="I857">
        <v>1000</v>
      </c>
      <c r="J857">
        <v>1096.3900000000001</v>
      </c>
      <c r="K857">
        <v>0</v>
      </c>
      <c r="L857">
        <v>603848</v>
      </c>
      <c r="M857" t="s">
        <v>46</v>
      </c>
      <c r="N857" t="s">
        <v>136</v>
      </c>
      <c r="O857" t="s">
        <v>89</v>
      </c>
      <c r="P857" t="s">
        <v>175</v>
      </c>
      <c r="Q857" t="s">
        <v>79</v>
      </c>
      <c r="R857">
        <v>0</v>
      </c>
      <c r="S857">
        <v>0</v>
      </c>
      <c r="T857" s="1">
        <v>42030</v>
      </c>
      <c r="U857" t="s">
        <v>80</v>
      </c>
      <c r="V857" t="s">
        <v>81</v>
      </c>
      <c r="W857" t="s">
        <v>112</v>
      </c>
      <c r="X857" t="s">
        <v>104</v>
      </c>
      <c r="Y857" t="s">
        <v>55</v>
      </c>
      <c r="Z857" t="s">
        <v>107</v>
      </c>
      <c r="AA857" t="s">
        <v>1039</v>
      </c>
      <c r="AB857">
        <v>11</v>
      </c>
      <c r="AC857" t="str">
        <f t="shared" si="40"/>
        <v>Morning</v>
      </c>
      <c r="AD857">
        <v>3</v>
      </c>
      <c r="AE857" t="s">
        <v>67</v>
      </c>
      <c r="AF857">
        <v>1</v>
      </c>
      <c r="AG857">
        <v>3</v>
      </c>
      <c r="AH857" t="s">
        <v>58</v>
      </c>
      <c r="AI857">
        <v>49410</v>
      </c>
      <c r="AJ857">
        <v>5490</v>
      </c>
      <c r="AK857">
        <v>5490</v>
      </c>
      <c r="AL857">
        <v>38430</v>
      </c>
      <c r="AM857" t="s">
        <v>114</v>
      </c>
      <c r="AN857" t="s">
        <v>139</v>
      </c>
      <c r="AO857">
        <v>2015</v>
      </c>
      <c r="AP857">
        <v>2015</v>
      </c>
      <c r="AQ857">
        <f t="shared" si="41"/>
        <v>0</v>
      </c>
      <c r="AR857" t="s">
        <v>87</v>
      </c>
    </row>
    <row r="858" spans="1:44" x14ac:dyDescent="0.25">
      <c r="A858">
        <v>290</v>
      </c>
      <c r="B858" t="str">
        <f t="shared" si="39"/>
        <v>10+ years</v>
      </c>
      <c r="C858">
        <v>45</v>
      </c>
      <c r="D858" t="str" cm="1">
        <f t="array" ref="D858">_xlfn.IFS(C858&lt;26, "19-25", C858&lt;33, "26-32", C858&lt;40, "33-39", C858&lt;47, "40-46",C858&lt;54, "47-53", TRUE, "54+")</f>
        <v>40-46</v>
      </c>
      <c r="E858">
        <v>737252</v>
      </c>
      <c r="F858" s="1">
        <v>34291</v>
      </c>
      <c r="G858" t="s">
        <v>44</v>
      </c>
      <c r="H858" t="s">
        <v>96</v>
      </c>
      <c r="I858">
        <v>2000</v>
      </c>
      <c r="J858">
        <v>1215.3599999999999</v>
      </c>
      <c r="K858">
        <v>0</v>
      </c>
      <c r="L858">
        <v>617739</v>
      </c>
      <c r="M858" t="s">
        <v>46</v>
      </c>
      <c r="N858" t="s">
        <v>97</v>
      </c>
      <c r="O858" t="s">
        <v>102</v>
      </c>
      <c r="P858" t="s">
        <v>64</v>
      </c>
      <c r="Q858" t="s">
        <v>79</v>
      </c>
      <c r="R858">
        <v>54400</v>
      </c>
      <c r="S858">
        <v>0</v>
      </c>
      <c r="T858" s="1">
        <v>42035</v>
      </c>
      <c r="U858" t="s">
        <v>80</v>
      </c>
      <c r="V858" t="s">
        <v>52</v>
      </c>
      <c r="W858" t="s">
        <v>68</v>
      </c>
      <c r="X858" t="s">
        <v>104</v>
      </c>
      <c r="Y858" t="s">
        <v>118</v>
      </c>
      <c r="Z858" t="s">
        <v>132</v>
      </c>
      <c r="AA858" t="s">
        <v>1040</v>
      </c>
      <c r="AB858">
        <v>22</v>
      </c>
      <c r="AC858" t="str">
        <f t="shared" si="40"/>
        <v>Evening</v>
      </c>
      <c r="AD858">
        <v>3</v>
      </c>
      <c r="AE858" t="s">
        <v>67</v>
      </c>
      <c r="AF858">
        <v>0</v>
      </c>
      <c r="AG858">
        <v>1</v>
      </c>
      <c r="AH858" t="s">
        <v>84</v>
      </c>
      <c r="AI858">
        <v>66200</v>
      </c>
      <c r="AJ858">
        <v>6620</v>
      </c>
      <c r="AK858">
        <v>6620</v>
      </c>
      <c r="AL858">
        <v>52960</v>
      </c>
      <c r="AM858" t="s">
        <v>158</v>
      </c>
      <c r="AN858" t="s">
        <v>168</v>
      </c>
      <c r="AO858">
        <v>2015</v>
      </c>
      <c r="AP858">
        <v>2012</v>
      </c>
      <c r="AQ858">
        <f t="shared" si="41"/>
        <v>3</v>
      </c>
      <c r="AR858" t="s">
        <v>87</v>
      </c>
    </row>
    <row r="859" spans="1:44" x14ac:dyDescent="0.25">
      <c r="A859">
        <v>260</v>
      </c>
      <c r="B859" t="str">
        <f t="shared" si="39"/>
        <v>10+ years</v>
      </c>
      <c r="C859">
        <v>46</v>
      </c>
      <c r="D859" t="str" cm="1">
        <f t="array" ref="D859">_xlfn.IFS(C859&lt;26, "19-25", C859&lt;33, "26-32", C859&lt;40, "33-39", C859&lt;47, "40-46",C859&lt;54, "47-53", TRUE, "54+")</f>
        <v>40-46</v>
      </c>
      <c r="E859">
        <v>344480</v>
      </c>
      <c r="F859" s="1">
        <v>32922</v>
      </c>
      <c r="G859" t="s">
        <v>44</v>
      </c>
      <c r="H859" t="s">
        <v>74</v>
      </c>
      <c r="I859">
        <v>2000</v>
      </c>
      <c r="J859">
        <v>1482.57</v>
      </c>
      <c r="K859">
        <v>0</v>
      </c>
      <c r="L859">
        <v>607133</v>
      </c>
      <c r="M859" t="s">
        <v>46</v>
      </c>
      <c r="N859" t="s">
        <v>47</v>
      </c>
      <c r="O859" t="s">
        <v>122</v>
      </c>
      <c r="P859" t="s">
        <v>64</v>
      </c>
      <c r="Q859" t="s">
        <v>50</v>
      </c>
      <c r="R859">
        <v>35000</v>
      </c>
      <c r="S859">
        <v>0</v>
      </c>
      <c r="T859" s="1">
        <v>42055</v>
      </c>
      <c r="U859" t="s">
        <v>51</v>
      </c>
      <c r="V859" t="s">
        <v>91</v>
      </c>
      <c r="W859" t="s">
        <v>68</v>
      </c>
      <c r="X859" t="s">
        <v>104</v>
      </c>
      <c r="Y859" t="s">
        <v>82</v>
      </c>
      <c r="Z859" t="s">
        <v>56</v>
      </c>
      <c r="AA859" t="s">
        <v>1041</v>
      </c>
      <c r="AB859">
        <v>7</v>
      </c>
      <c r="AC859" t="str">
        <f t="shared" si="40"/>
        <v>Morning</v>
      </c>
      <c r="AD859">
        <v>1</v>
      </c>
      <c r="AE859" t="s">
        <v>84</v>
      </c>
      <c r="AF859">
        <v>0</v>
      </c>
      <c r="AG859">
        <v>1</v>
      </c>
      <c r="AH859" t="s">
        <v>84</v>
      </c>
      <c r="AI859">
        <v>64080</v>
      </c>
      <c r="AJ859">
        <v>10680</v>
      </c>
      <c r="AK859">
        <v>10680</v>
      </c>
      <c r="AL859">
        <v>42720</v>
      </c>
      <c r="AM859" t="s">
        <v>120</v>
      </c>
      <c r="AN859" t="s">
        <v>121</v>
      </c>
      <c r="AO859">
        <v>2015</v>
      </c>
      <c r="AP859">
        <v>2005</v>
      </c>
      <c r="AQ859">
        <f t="shared" si="41"/>
        <v>10</v>
      </c>
      <c r="AR859" t="s">
        <v>87</v>
      </c>
    </row>
    <row r="860" spans="1:44" x14ac:dyDescent="0.25">
      <c r="A860">
        <v>233</v>
      </c>
      <c r="B860" t="str">
        <f t="shared" si="39"/>
        <v>10+ years</v>
      </c>
      <c r="C860">
        <v>43</v>
      </c>
      <c r="D860" t="str" cm="1">
        <f t="array" ref="D860">_xlfn.IFS(C860&lt;26, "19-25", C860&lt;33, "26-32", C860&lt;40, "33-39", C860&lt;47, "40-46",C860&lt;54, "47-53", TRUE, "54+")</f>
        <v>40-46</v>
      </c>
      <c r="E860">
        <v>898519</v>
      </c>
      <c r="F860" s="1">
        <v>36667</v>
      </c>
      <c r="G860" t="s">
        <v>44</v>
      </c>
      <c r="H860" t="s">
        <v>45</v>
      </c>
      <c r="I860">
        <v>1000</v>
      </c>
      <c r="J860">
        <v>954.18</v>
      </c>
      <c r="K860">
        <v>0</v>
      </c>
      <c r="L860">
        <v>437470</v>
      </c>
      <c r="M860" t="s">
        <v>75</v>
      </c>
      <c r="N860" t="s">
        <v>146</v>
      </c>
      <c r="O860" t="s">
        <v>102</v>
      </c>
      <c r="P860" t="s">
        <v>131</v>
      </c>
      <c r="Q860" t="s">
        <v>65</v>
      </c>
      <c r="R860">
        <v>0</v>
      </c>
      <c r="S860">
        <v>0</v>
      </c>
      <c r="T860" s="1">
        <v>42052</v>
      </c>
      <c r="U860" t="s">
        <v>80</v>
      </c>
      <c r="V860" t="s">
        <v>52</v>
      </c>
      <c r="W860" t="s">
        <v>68</v>
      </c>
      <c r="X860" t="s">
        <v>125</v>
      </c>
      <c r="Y860" t="s">
        <v>55</v>
      </c>
      <c r="Z860" t="s">
        <v>161</v>
      </c>
      <c r="AA860" t="s">
        <v>1042</v>
      </c>
      <c r="AB860">
        <v>17</v>
      </c>
      <c r="AC860" t="str">
        <f t="shared" si="40"/>
        <v>Afternoon</v>
      </c>
      <c r="AD860">
        <v>3</v>
      </c>
      <c r="AE860" t="s">
        <v>67</v>
      </c>
      <c r="AF860">
        <v>2</v>
      </c>
      <c r="AG860">
        <v>3</v>
      </c>
      <c r="AH860" t="s">
        <v>58</v>
      </c>
      <c r="AI860">
        <v>42500</v>
      </c>
      <c r="AJ860">
        <v>8500</v>
      </c>
      <c r="AK860">
        <v>4250</v>
      </c>
      <c r="AL860">
        <v>29750</v>
      </c>
      <c r="AM860" t="s">
        <v>109</v>
      </c>
      <c r="AN860" t="s">
        <v>110</v>
      </c>
      <c r="AO860">
        <v>2015</v>
      </c>
      <c r="AP860">
        <v>2000</v>
      </c>
      <c r="AQ860">
        <f t="shared" si="41"/>
        <v>15</v>
      </c>
      <c r="AR860" t="s">
        <v>87</v>
      </c>
    </row>
    <row r="861" spans="1:44" x14ac:dyDescent="0.25">
      <c r="A861">
        <v>130</v>
      </c>
      <c r="B861" t="str">
        <f t="shared" si="39"/>
        <v>10+ years</v>
      </c>
      <c r="C861">
        <v>30</v>
      </c>
      <c r="D861" t="str" cm="1">
        <f t="array" ref="D861">_xlfn.IFS(C861&lt;26, "19-25", C861&lt;33, "26-32", C861&lt;40, "33-39", C861&lt;47, "40-46",C861&lt;54, "47-53", TRUE, "54+")</f>
        <v>26-32</v>
      </c>
      <c r="E861">
        <v>957816</v>
      </c>
      <c r="F861" s="1">
        <v>41147</v>
      </c>
      <c r="G861" t="s">
        <v>88</v>
      </c>
      <c r="H861" t="s">
        <v>96</v>
      </c>
      <c r="I861">
        <v>2000</v>
      </c>
      <c r="J861">
        <v>1193.4000000000001</v>
      </c>
      <c r="K861">
        <v>0</v>
      </c>
      <c r="L861">
        <v>461372</v>
      </c>
      <c r="M861" t="s">
        <v>46</v>
      </c>
      <c r="N861" t="s">
        <v>76</v>
      </c>
      <c r="O861" t="s">
        <v>130</v>
      </c>
      <c r="P861" t="s">
        <v>103</v>
      </c>
      <c r="Q861" t="s">
        <v>79</v>
      </c>
      <c r="R861">
        <v>0</v>
      </c>
      <c r="S861">
        <v>-40800</v>
      </c>
      <c r="T861" s="1">
        <v>42037</v>
      </c>
      <c r="U861" t="s">
        <v>80</v>
      </c>
      <c r="V861" t="s">
        <v>52</v>
      </c>
      <c r="W861" t="s">
        <v>112</v>
      </c>
      <c r="X861" t="s">
        <v>125</v>
      </c>
      <c r="Y861" t="s">
        <v>55</v>
      </c>
      <c r="Z861" t="s">
        <v>56</v>
      </c>
      <c r="AA861" t="s">
        <v>1043</v>
      </c>
      <c r="AB861">
        <v>16</v>
      </c>
      <c r="AC861" t="str">
        <f t="shared" si="40"/>
        <v>Afternoon</v>
      </c>
      <c r="AD861">
        <v>3</v>
      </c>
      <c r="AE861" t="s">
        <v>84</v>
      </c>
      <c r="AF861">
        <v>2</v>
      </c>
      <c r="AG861">
        <v>3</v>
      </c>
      <c r="AH861" t="s">
        <v>67</v>
      </c>
      <c r="AI861">
        <v>48950</v>
      </c>
      <c r="AJ861">
        <v>8900</v>
      </c>
      <c r="AK861">
        <v>4450</v>
      </c>
      <c r="AL861">
        <v>35600</v>
      </c>
      <c r="AM861" t="s">
        <v>158</v>
      </c>
      <c r="AN861" t="s">
        <v>159</v>
      </c>
      <c r="AO861">
        <v>2015</v>
      </c>
      <c r="AP861">
        <v>2005</v>
      </c>
      <c r="AQ861">
        <f t="shared" si="41"/>
        <v>10</v>
      </c>
      <c r="AR861" t="s">
        <v>87</v>
      </c>
    </row>
    <row r="862" spans="1:44" x14ac:dyDescent="0.25">
      <c r="A862">
        <v>230</v>
      </c>
      <c r="B862" t="str">
        <f t="shared" si="39"/>
        <v>10+ years</v>
      </c>
      <c r="C862">
        <v>42</v>
      </c>
      <c r="D862" t="str" cm="1">
        <f t="array" ref="D862">_xlfn.IFS(C862&lt;26, "19-25", C862&lt;33, "26-32", C862&lt;40, "33-39", C862&lt;47, "40-46",C862&lt;54, "47-53", TRUE, "54+")</f>
        <v>40-46</v>
      </c>
      <c r="E862">
        <v>175960</v>
      </c>
      <c r="F862" s="1">
        <v>38307</v>
      </c>
      <c r="G862" t="s">
        <v>62</v>
      </c>
      <c r="H862" t="s">
        <v>74</v>
      </c>
      <c r="I862">
        <v>1000</v>
      </c>
      <c r="J862">
        <v>1023.11</v>
      </c>
      <c r="K862">
        <v>0</v>
      </c>
      <c r="L862">
        <v>476130</v>
      </c>
      <c r="M862" t="s">
        <v>75</v>
      </c>
      <c r="N862" t="s">
        <v>47</v>
      </c>
      <c r="O862" t="s">
        <v>190</v>
      </c>
      <c r="P862" t="s">
        <v>117</v>
      </c>
      <c r="Q862" t="s">
        <v>79</v>
      </c>
      <c r="R862">
        <v>0</v>
      </c>
      <c r="S862">
        <v>-45300</v>
      </c>
      <c r="T862" s="1">
        <v>42041</v>
      </c>
      <c r="U862" t="s">
        <v>80</v>
      </c>
      <c r="V862" t="s">
        <v>81</v>
      </c>
      <c r="W862" t="s">
        <v>68</v>
      </c>
      <c r="X862" t="s">
        <v>125</v>
      </c>
      <c r="Y862" t="s">
        <v>82</v>
      </c>
      <c r="Z862" t="s">
        <v>132</v>
      </c>
      <c r="AA862" t="s">
        <v>1044</v>
      </c>
      <c r="AB862">
        <v>13</v>
      </c>
      <c r="AC862" t="str">
        <f t="shared" si="40"/>
        <v>Afternoon</v>
      </c>
      <c r="AD862">
        <v>3</v>
      </c>
      <c r="AE862" t="s">
        <v>84</v>
      </c>
      <c r="AF862">
        <v>1</v>
      </c>
      <c r="AG862">
        <v>2</v>
      </c>
      <c r="AH862" t="s">
        <v>58</v>
      </c>
      <c r="AI862">
        <v>58850</v>
      </c>
      <c r="AJ862">
        <v>10700</v>
      </c>
      <c r="AK862">
        <v>10700</v>
      </c>
      <c r="AL862">
        <v>37450</v>
      </c>
      <c r="AM862" t="s">
        <v>100</v>
      </c>
      <c r="AN862" t="s">
        <v>153</v>
      </c>
      <c r="AO862">
        <v>2015</v>
      </c>
      <c r="AP862">
        <v>1999</v>
      </c>
      <c r="AQ862">
        <f t="shared" si="41"/>
        <v>16</v>
      </c>
      <c r="AR862" t="s">
        <v>87</v>
      </c>
    </row>
    <row r="863" spans="1:44" x14ac:dyDescent="0.25">
      <c r="A863">
        <v>212</v>
      </c>
      <c r="B863" t="str">
        <f t="shared" si="39"/>
        <v>10+ years</v>
      </c>
      <c r="C863">
        <v>40</v>
      </c>
      <c r="D863" t="str" cm="1">
        <f t="array" ref="D863">_xlfn.IFS(C863&lt;26, "19-25", C863&lt;33, "26-32", C863&lt;40, "33-39", C863&lt;47, "40-46",C863&lt;54, "47-53", TRUE, "54+")</f>
        <v>40-46</v>
      </c>
      <c r="E863">
        <v>489618</v>
      </c>
      <c r="F863" s="1">
        <v>37644</v>
      </c>
      <c r="G863" t="s">
        <v>88</v>
      </c>
      <c r="H863" t="s">
        <v>96</v>
      </c>
      <c r="I863">
        <v>1000</v>
      </c>
      <c r="J863">
        <v>1524.45</v>
      </c>
      <c r="K863">
        <v>0</v>
      </c>
      <c r="L863">
        <v>452438</v>
      </c>
      <c r="M863" t="s">
        <v>75</v>
      </c>
      <c r="N863" t="s">
        <v>129</v>
      </c>
      <c r="O863" t="s">
        <v>116</v>
      </c>
      <c r="P863" t="s">
        <v>117</v>
      </c>
      <c r="Q863" t="s">
        <v>50</v>
      </c>
      <c r="R863">
        <v>73200</v>
      </c>
      <c r="S863">
        <v>0</v>
      </c>
      <c r="T863" s="1">
        <v>42046</v>
      </c>
      <c r="U863" t="s">
        <v>80</v>
      </c>
      <c r="V863" t="s">
        <v>52</v>
      </c>
      <c r="W863" t="s">
        <v>68</v>
      </c>
      <c r="X863" t="s">
        <v>125</v>
      </c>
      <c r="Y863" t="s">
        <v>82</v>
      </c>
      <c r="Z863" t="s">
        <v>161</v>
      </c>
      <c r="AA863" t="s">
        <v>1045</v>
      </c>
      <c r="AB863">
        <v>17</v>
      </c>
      <c r="AC863" t="str">
        <f t="shared" si="40"/>
        <v>Afternoon</v>
      </c>
      <c r="AD863">
        <v>3</v>
      </c>
      <c r="AE863" t="s">
        <v>58</v>
      </c>
      <c r="AF863">
        <v>0</v>
      </c>
      <c r="AG863">
        <v>2</v>
      </c>
      <c r="AH863" t="s">
        <v>58</v>
      </c>
      <c r="AI863">
        <v>82400</v>
      </c>
      <c r="AJ863">
        <v>8240</v>
      </c>
      <c r="AK863">
        <v>8240</v>
      </c>
      <c r="AL863">
        <v>65920</v>
      </c>
      <c r="AM863" t="s">
        <v>109</v>
      </c>
      <c r="AN863" t="s">
        <v>110</v>
      </c>
      <c r="AO863">
        <v>2015</v>
      </c>
      <c r="AP863">
        <v>2006</v>
      </c>
      <c r="AQ863">
        <f t="shared" si="41"/>
        <v>9</v>
      </c>
      <c r="AR863" t="s">
        <v>87</v>
      </c>
    </row>
    <row r="864" spans="1:44" x14ac:dyDescent="0.25">
      <c r="A864">
        <v>299</v>
      </c>
      <c r="B864" t="str">
        <f t="shared" si="39"/>
        <v>10+ years</v>
      </c>
      <c r="C864">
        <v>44</v>
      </c>
      <c r="D864" t="str" cm="1">
        <f t="array" ref="D864">_xlfn.IFS(C864&lt;26, "19-25", C864&lt;33, "26-32", C864&lt;40, "33-39", C864&lt;47, "40-46",C864&lt;54, "47-53", TRUE, "54+")</f>
        <v>40-46</v>
      </c>
      <c r="E864">
        <v>717044</v>
      </c>
      <c r="F864" s="1">
        <v>39759</v>
      </c>
      <c r="G864" t="s">
        <v>44</v>
      </c>
      <c r="H864" t="s">
        <v>96</v>
      </c>
      <c r="I864">
        <v>1000</v>
      </c>
      <c r="J864">
        <v>1653.32</v>
      </c>
      <c r="K864">
        <v>0</v>
      </c>
      <c r="L864">
        <v>460517</v>
      </c>
      <c r="M864" t="s">
        <v>75</v>
      </c>
      <c r="N864" t="s">
        <v>146</v>
      </c>
      <c r="O864" t="s">
        <v>116</v>
      </c>
      <c r="P864" t="s">
        <v>103</v>
      </c>
      <c r="Q864" t="s">
        <v>65</v>
      </c>
      <c r="R864">
        <v>0</v>
      </c>
      <c r="S864">
        <v>-48800</v>
      </c>
      <c r="T864" s="1">
        <v>42029</v>
      </c>
      <c r="U864" t="s">
        <v>51</v>
      </c>
      <c r="V864" t="s">
        <v>81</v>
      </c>
      <c r="W864" t="s">
        <v>68</v>
      </c>
      <c r="X864" t="s">
        <v>141</v>
      </c>
      <c r="Y864" t="s">
        <v>118</v>
      </c>
      <c r="Z864" t="s">
        <v>107</v>
      </c>
      <c r="AA864" t="s">
        <v>1046</v>
      </c>
      <c r="AB864">
        <v>3</v>
      </c>
      <c r="AC864" t="str">
        <f t="shared" si="40"/>
        <v>Night</v>
      </c>
      <c r="AD864">
        <v>1</v>
      </c>
      <c r="AE864" t="s">
        <v>58</v>
      </c>
      <c r="AF864">
        <v>2</v>
      </c>
      <c r="AG864">
        <v>0</v>
      </c>
      <c r="AH864" t="s">
        <v>67</v>
      </c>
      <c r="AI864">
        <v>54240</v>
      </c>
      <c r="AJ864">
        <v>6780</v>
      </c>
      <c r="AK864">
        <v>6780</v>
      </c>
      <c r="AL864">
        <v>40680</v>
      </c>
      <c r="AM864" t="s">
        <v>158</v>
      </c>
      <c r="AN864" t="s">
        <v>168</v>
      </c>
      <c r="AO864">
        <v>2015</v>
      </c>
      <c r="AP864">
        <v>2009</v>
      </c>
      <c r="AQ864">
        <f t="shared" si="41"/>
        <v>6</v>
      </c>
      <c r="AR864" t="s">
        <v>87</v>
      </c>
    </row>
    <row r="865" spans="1:44" x14ac:dyDescent="0.25">
      <c r="A865">
        <v>91</v>
      </c>
      <c r="B865" t="str">
        <f t="shared" si="39"/>
        <v>5-10 years</v>
      </c>
      <c r="C865">
        <v>26</v>
      </c>
      <c r="D865" t="str" cm="1">
        <f t="array" ref="D865">_xlfn.IFS(C865&lt;26, "19-25", C865&lt;33, "26-32", C865&lt;40, "33-39", C865&lt;47, "40-46",C865&lt;54, "47-53", TRUE, "54+")</f>
        <v>26-32</v>
      </c>
      <c r="E865">
        <v>101421</v>
      </c>
      <c r="F865" s="1">
        <v>36452</v>
      </c>
      <c r="G865" t="s">
        <v>88</v>
      </c>
      <c r="H865" t="s">
        <v>45</v>
      </c>
      <c r="I865">
        <v>1000</v>
      </c>
      <c r="J865">
        <v>1022.46</v>
      </c>
      <c r="K865">
        <v>0</v>
      </c>
      <c r="L865">
        <v>444896</v>
      </c>
      <c r="M865" t="s">
        <v>75</v>
      </c>
      <c r="N865" t="s">
        <v>97</v>
      </c>
      <c r="O865" t="s">
        <v>89</v>
      </c>
      <c r="P865" t="s">
        <v>186</v>
      </c>
      <c r="Q865" t="s">
        <v>65</v>
      </c>
      <c r="R865">
        <v>52700</v>
      </c>
      <c r="S865">
        <v>0</v>
      </c>
      <c r="T865" s="1">
        <v>42058</v>
      </c>
      <c r="U865" t="s">
        <v>80</v>
      </c>
      <c r="V865" t="s">
        <v>91</v>
      </c>
      <c r="W865" t="s">
        <v>68</v>
      </c>
      <c r="X865" t="s">
        <v>125</v>
      </c>
      <c r="Y865" t="s">
        <v>55</v>
      </c>
      <c r="Z865" t="s">
        <v>92</v>
      </c>
      <c r="AA865" t="s">
        <v>1047</v>
      </c>
      <c r="AB865">
        <v>15</v>
      </c>
      <c r="AC865" t="str">
        <f t="shared" si="40"/>
        <v>Afternoon</v>
      </c>
      <c r="AD865">
        <v>3</v>
      </c>
      <c r="AE865" t="s">
        <v>67</v>
      </c>
      <c r="AF865">
        <v>0</v>
      </c>
      <c r="AG865">
        <v>2</v>
      </c>
      <c r="AH865" t="s">
        <v>67</v>
      </c>
      <c r="AI865">
        <v>74200</v>
      </c>
      <c r="AJ865">
        <v>7420</v>
      </c>
      <c r="AK865">
        <v>7420</v>
      </c>
      <c r="AL865">
        <v>59360</v>
      </c>
      <c r="AM865" t="s">
        <v>202</v>
      </c>
      <c r="AN865" t="s">
        <v>203</v>
      </c>
      <c r="AO865">
        <v>2015</v>
      </c>
      <c r="AP865">
        <v>1996</v>
      </c>
      <c r="AQ865">
        <f t="shared" si="41"/>
        <v>19</v>
      </c>
      <c r="AR865" t="s">
        <v>87</v>
      </c>
    </row>
    <row r="866" spans="1:44" x14ac:dyDescent="0.25">
      <c r="A866">
        <v>398</v>
      </c>
      <c r="B866" t="str">
        <f t="shared" si="39"/>
        <v>10+ years</v>
      </c>
      <c r="C866">
        <v>53</v>
      </c>
      <c r="D866" t="str" cm="1">
        <f t="array" ref="D866">_xlfn.IFS(C866&lt;26, "19-25", C866&lt;33, "26-32", C866&lt;40, "33-39", C866&lt;47, "40-46",C866&lt;54, "47-53", TRUE, "54+")</f>
        <v>47-53</v>
      </c>
      <c r="E866">
        <v>793948</v>
      </c>
      <c r="F866" s="1">
        <v>33227</v>
      </c>
      <c r="G866" t="s">
        <v>88</v>
      </c>
      <c r="H866" t="s">
        <v>74</v>
      </c>
      <c r="I866">
        <v>2000</v>
      </c>
      <c r="J866">
        <v>1396.43</v>
      </c>
      <c r="K866">
        <v>0</v>
      </c>
      <c r="L866">
        <v>448722</v>
      </c>
      <c r="M866" t="s">
        <v>75</v>
      </c>
      <c r="N866" t="s">
        <v>97</v>
      </c>
      <c r="O866" t="s">
        <v>122</v>
      </c>
      <c r="P866" t="s">
        <v>111</v>
      </c>
      <c r="Q866" t="s">
        <v>90</v>
      </c>
      <c r="R866">
        <v>21500</v>
      </c>
      <c r="S866">
        <v>0</v>
      </c>
      <c r="T866" s="1">
        <v>42033</v>
      </c>
      <c r="U866" t="s">
        <v>51</v>
      </c>
      <c r="V866" t="s">
        <v>91</v>
      </c>
      <c r="W866" t="s">
        <v>112</v>
      </c>
      <c r="X866" t="s">
        <v>104</v>
      </c>
      <c r="Y866" t="s">
        <v>118</v>
      </c>
      <c r="Z866" t="s">
        <v>127</v>
      </c>
      <c r="AA866" t="s">
        <v>1048</v>
      </c>
      <c r="AB866">
        <v>16</v>
      </c>
      <c r="AC866" t="str">
        <f t="shared" si="40"/>
        <v>Afternoon</v>
      </c>
      <c r="AD866">
        <v>1</v>
      </c>
      <c r="AE866" t="s">
        <v>58</v>
      </c>
      <c r="AF866">
        <v>2</v>
      </c>
      <c r="AG866">
        <v>1</v>
      </c>
      <c r="AH866" t="s">
        <v>67</v>
      </c>
      <c r="AI866">
        <v>47430</v>
      </c>
      <c r="AJ866">
        <v>5270</v>
      </c>
      <c r="AK866">
        <v>5270</v>
      </c>
      <c r="AL866">
        <v>36890</v>
      </c>
      <c r="AM866" t="s">
        <v>120</v>
      </c>
      <c r="AN866" t="s">
        <v>121</v>
      </c>
      <c r="AO866">
        <v>2015</v>
      </c>
      <c r="AP866">
        <v>2000</v>
      </c>
      <c r="AQ866">
        <f t="shared" si="41"/>
        <v>15</v>
      </c>
      <c r="AR866" t="s">
        <v>87</v>
      </c>
    </row>
    <row r="867" spans="1:44" x14ac:dyDescent="0.25">
      <c r="A867">
        <v>218</v>
      </c>
      <c r="B867" t="str">
        <f t="shared" si="39"/>
        <v>10+ years</v>
      </c>
      <c r="C867">
        <v>43</v>
      </c>
      <c r="D867" t="str" cm="1">
        <f t="array" ref="D867">_xlfn.IFS(C867&lt;26, "19-25", C867&lt;33, "26-32", C867&lt;40, "33-39", C867&lt;47, "40-46",C867&lt;54, "47-53", TRUE, "54+")</f>
        <v>40-46</v>
      </c>
      <c r="E867">
        <v>737483</v>
      </c>
      <c r="F867" s="1">
        <v>35109</v>
      </c>
      <c r="G867" t="s">
        <v>88</v>
      </c>
      <c r="H867" t="s">
        <v>45</v>
      </c>
      <c r="I867">
        <v>500</v>
      </c>
      <c r="J867">
        <v>1521.55</v>
      </c>
      <c r="K867">
        <v>0</v>
      </c>
      <c r="L867">
        <v>477856</v>
      </c>
      <c r="M867" t="s">
        <v>75</v>
      </c>
      <c r="N867" t="s">
        <v>97</v>
      </c>
      <c r="O867" t="s">
        <v>122</v>
      </c>
      <c r="P867" t="s">
        <v>178</v>
      </c>
      <c r="Q867" t="s">
        <v>65</v>
      </c>
      <c r="R867">
        <v>61100</v>
      </c>
      <c r="S867">
        <v>-64500</v>
      </c>
      <c r="T867" s="1">
        <v>42006</v>
      </c>
      <c r="U867" t="s">
        <v>51</v>
      </c>
      <c r="V867" t="s">
        <v>81</v>
      </c>
      <c r="W867" t="s">
        <v>53</v>
      </c>
      <c r="X867" t="s">
        <v>104</v>
      </c>
      <c r="Y867" t="s">
        <v>55</v>
      </c>
      <c r="Z867" t="s">
        <v>127</v>
      </c>
      <c r="AA867" t="s">
        <v>1049</v>
      </c>
      <c r="AB867">
        <v>18</v>
      </c>
      <c r="AC867" t="str">
        <f t="shared" si="40"/>
        <v>Evening</v>
      </c>
      <c r="AD867">
        <v>1</v>
      </c>
      <c r="AE867" t="s">
        <v>67</v>
      </c>
      <c r="AF867">
        <v>1</v>
      </c>
      <c r="AG867">
        <v>3</v>
      </c>
      <c r="AH867" t="s">
        <v>58</v>
      </c>
      <c r="AI867">
        <v>68200</v>
      </c>
      <c r="AJ867">
        <v>13640</v>
      </c>
      <c r="AK867">
        <v>6820</v>
      </c>
      <c r="AL867">
        <v>47740</v>
      </c>
      <c r="AM867" t="s">
        <v>85</v>
      </c>
      <c r="AN867" t="s">
        <v>86</v>
      </c>
      <c r="AO867">
        <v>2015</v>
      </c>
      <c r="AP867">
        <v>2003</v>
      </c>
      <c r="AQ867">
        <f t="shared" si="41"/>
        <v>12</v>
      </c>
      <c r="AR867" t="s">
        <v>61</v>
      </c>
    </row>
    <row r="868" spans="1:44" x14ac:dyDescent="0.25">
      <c r="A868">
        <v>152</v>
      </c>
      <c r="B868" t="str">
        <f t="shared" si="39"/>
        <v>10+ years</v>
      </c>
      <c r="C868">
        <v>33</v>
      </c>
      <c r="D868" t="str" cm="1">
        <f t="array" ref="D868">_xlfn.IFS(C868&lt;26, "19-25", C868&lt;33, "26-32", C868&lt;40, "33-39", C868&lt;47, "40-46",C868&lt;54, "47-53", TRUE, "54+")</f>
        <v>33-39</v>
      </c>
      <c r="E868">
        <v>695117</v>
      </c>
      <c r="F868" s="1">
        <v>37052</v>
      </c>
      <c r="G868" t="s">
        <v>62</v>
      </c>
      <c r="H868" t="s">
        <v>74</v>
      </c>
      <c r="I868">
        <v>1000</v>
      </c>
      <c r="J868">
        <v>1034.27</v>
      </c>
      <c r="K868">
        <v>0</v>
      </c>
      <c r="L868">
        <v>617721</v>
      </c>
      <c r="M868" t="s">
        <v>75</v>
      </c>
      <c r="N868" t="s">
        <v>166</v>
      </c>
      <c r="O868" t="s">
        <v>89</v>
      </c>
      <c r="P868" t="s">
        <v>269</v>
      </c>
      <c r="Q868" t="s">
        <v>50</v>
      </c>
      <c r="R868">
        <v>0</v>
      </c>
      <c r="S868">
        <v>0</v>
      </c>
      <c r="T868" s="1">
        <v>42041</v>
      </c>
      <c r="U868" t="s">
        <v>51</v>
      </c>
      <c r="V868" t="s">
        <v>91</v>
      </c>
      <c r="W868" t="s">
        <v>68</v>
      </c>
      <c r="X868" t="s">
        <v>104</v>
      </c>
      <c r="Y868" t="s">
        <v>82</v>
      </c>
      <c r="Z868" t="s">
        <v>127</v>
      </c>
      <c r="AA868" t="s">
        <v>1050</v>
      </c>
      <c r="AB868">
        <v>18</v>
      </c>
      <c r="AC868" t="str">
        <f t="shared" si="40"/>
        <v>Evening</v>
      </c>
      <c r="AD868">
        <v>1</v>
      </c>
      <c r="AE868" t="s">
        <v>84</v>
      </c>
      <c r="AF868">
        <v>1</v>
      </c>
      <c r="AG868">
        <v>0</v>
      </c>
      <c r="AH868" t="s">
        <v>84</v>
      </c>
      <c r="AI868">
        <v>63900</v>
      </c>
      <c r="AJ868">
        <v>7100</v>
      </c>
      <c r="AK868">
        <v>7100</v>
      </c>
      <c r="AL868">
        <v>49700</v>
      </c>
      <c r="AM868" t="s">
        <v>100</v>
      </c>
      <c r="AN868" t="s">
        <v>163</v>
      </c>
      <c r="AO868">
        <v>2015</v>
      </c>
      <c r="AP868">
        <v>2014</v>
      </c>
      <c r="AQ868">
        <f t="shared" si="41"/>
        <v>1</v>
      </c>
      <c r="AR868" t="s">
        <v>87</v>
      </c>
    </row>
    <row r="869" spans="1:44" x14ac:dyDescent="0.25">
      <c r="A869">
        <v>212</v>
      </c>
      <c r="B869" t="str">
        <f t="shared" si="39"/>
        <v>10+ years</v>
      </c>
      <c r="C869">
        <v>39</v>
      </c>
      <c r="D869" t="str" cm="1">
        <f t="array" ref="D869">_xlfn.IFS(C869&lt;26, "19-25", C869&lt;33, "26-32", C869&lt;40, "33-39", C869&lt;47, "40-46",C869&lt;54, "47-53", TRUE, "54+")</f>
        <v>33-39</v>
      </c>
      <c r="E869">
        <v>167466</v>
      </c>
      <c r="F869" s="1">
        <v>40254</v>
      </c>
      <c r="G869" t="s">
        <v>44</v>
      </c>
      <c r="H869" t="s">
        <v>74</v>
      </c>
      <c r="I869">
        <v>1000</v>
      </c>
      <c r="J869">
        <v>1255.3499999999999</v>
      </c>
      <c r="K869">
        <v>0</v>
      </c>
      <c r="L869">
        <v>454176</v>
      </c>
      <c r="M869" t="s">
        <v>75</v>
      </c>
      <c r="N869" t="s">
        <v>166</v>
      </c>
      <c r="O869" t="s">
        <v>140</v>
      </c>
      <c r="P869" t="s">
        <v>137</v>
      </c>
      <c r="Q869" t="s">
        <v>147</v>
      </c>
      <c r="R869">
        <v>60300</v>
      </c>
      <c r="S869">
        <v>-58900</v>
      </c>
      <c r="T869" s="1">
        <v>42049</v>
      </c>
      <c r="U869" t="s">
        <v>80</v>
      </c>
      <c r="V869" t="s">
        <v>81</v>
      </c>
      <c r="W869" t="s">
        <v>112</v>
      </c>
      <c r="X869" t="s">
        <v>141</v>
      </c>
      <c r="Y869" t="s">
        <v>82</v>
      </c>
      <c r="Z869" t="s">
        <v>70</v>
      </c>
      <c r="AA869" t="s">
        <v>1051</v>
      </c>
      <c r="AB869">
        <v>22</v>
      </c>
      <c r="AC869" t="str">
        <f t="shared" si="40"/>
        <v>Evening</v>
      </c>
      <c r="AD869">
        <v>2</v>
      </c>
      <c r="AE869" t="s">
        <v>84</v>
      </c>
      <c r="AF869">
        <v>0</v>
      </c>
      <c r="AG869">
        <v>3</v>
      </c>
      <c r="AH869" t="s">
        <v>58</v>
      </c>
      <c r="AI869">
        <v>59300</v>
      </c>
      <c r="AJ869">
        <v>11860</v>
      </c>
      <c r="AK869">
        <v>5930</v>
      </c>
      <c r="AL869">
        <v>41510</v>
      </c>
      <c r="AM869" t="s">
        <v>85</v>
      </c>
      <c r="AN869" t="s">
        <v>86</v>
      </c>
      <c r="AO869">
        <v>2015</v>
      </c>
      <c r="AP869">
        <v>2008</v>
      </c>
      <c r="AQ869">
        <f t="shared" si="41"/>
        <v>7</v>
      </c>
      <c r="AR869" t="s">
        <v>87</v>
      </c>
    </row>
    <row r="870" spans="1:44" x14ac:dyDescent="0.25">
      <c r="A870">
        <v>242</v>
      </c>
      <c r="B870" t="str">
        <f t="shared" si="39"/>
        <v>10+ years</v>
      </c>
      <c r="C870">
        <v>44</v>
      </c>
      <c r="D870" t="str" cm="1">
        <f t="array" ref="D870">_xlfn.IFS(C870&lt;26, "19-25", C870&lt;33, "26-32", C870&lt;40, "33-39", C870&lt;47, "40-46",C870&lt;54, "47-53", TRUE, "54+")</f>
        <v>40-46</v>
      </c>
      <c r="E870">
        <v>664732</v>
      </c>
      <c r="F870" s="1">
        <v>37832</v>
      </c>
      <c r="G870" t="s">
        <v>88</v>
      </c>
      <c r="H870" t="s">
        <v>96</v>
      </c>
      <c r="I870">
        <v>2000</v>
      </c>
      <c r="J870">
        <v>1396.89</v>
      </c>
      <c r="K870">
        <v>6000000</v>
      </c>
      <c r="L870">
        <v>618127</v>
      </c>
      <c r="M870" t="s">
        <v>75</v>
      </c>
      <c r="N870" t="s">
        <v>146</v>
      </c>
      <c r="O870" t="s">
        <v>122</v>
      </c>
      <c r="P870" t="s">
        <v>173</v>
      </c>
      <c r="Q870" t="s">
        <v>65</v>
      </c>
      <c r="R870">
        <v>0</v>
      </c>
      <c r="S870">
        <v>-61600</v>
      </c>
      <c r="T870" s="1">
        <v>42039</v>
      </c>
      <c r="U870" t="s">
        <v>80</v>
      </c>
      <c r="V870" t="s">
        <v>91</v>
      </c>
      <c r="W870" t="s">
        <v>68</v>
      </c>
      <c r="X870" t="s">
        <v>125</v>
      </c>
      <c r="Y870" t="s">
        <v>55</v>
      </c>
      <c r="Z870" t="s">
        <v>107</v>
      </c>
      <c r="AA870" t="s">
        <v>1052</v>
      </c>
      <c r="AB870">
        <v>15</v>
      </c>
      <c r="AC870" t="str">
        <f t="shared" si="40"/>
        <v>Afternoon</v>
      </c>
      <c r="AD870">
        <v>3</v>
      </c>
      <c r="AE870" t="s">
        <v>84</v>
      </c>
      <c r="AF870">
        <v>1</v>
      </c>
      <c r="AG870">
        <v>2</v>
      </c>
      <c r="AH870" t="s">
        <v>58</v>
      </c>
      <c r="AI870">
        <v>66900</v>
      </c>
      <c r="AJ870">
        <v>6690</v>
      </c>
      <c r="AK870">
        <v>13380</v>
      </c>
      <c r="AL870">
        <v>46830</v>
      </c>
      <c r="AM870" t="s">
        <v>158</v>
      </c>
      <c r="AN870" t="s">
        <v>172</v>
      </c>
      <c r="AO870">
        <v>2015</v>
      </c>
      <c r="AP870">
        <v>1999</v>
      </c>
      <c r="AQ870">
        <f t="shared" si="41"/>
        <v>16</v>
      </c>
      <c r="AR870" t="s">
        <v>61</v>
      </c>
    </row>
    <row r="871" spans="1:44" x14ac:dyDescent="0.25">
      <c r="A871">
        <v>80</v>
      </c>
      <c r="B871" t="str">
        <f t="shared" si="39"/>
        <v>5-10 years</v>
      </c>
      <c r="C871">
        <v>27</v>
      </c>
      <c r="D871" t="str" cm="1">
        <f t="array" ref="D871">_xlfn.IFS(C871&lt;26, "19-25", C871&lt;33, "26-32", C871&lt;40, "33-39", C871&lt;47, "40-46",C871&lt;54, "47-53", TRUE, "54+")</f>
        <v>26-32</v>
      </c>
      <c r="E871">
        <v>143038</v>
      </c>
      <c r="F871" s="1">
        <v>41899</v>
      </c>
      <c r="G871" t="s">
        <v>44</v>
      </c>
      <c r="H871" t="s">
        <v>96</v>
      </c>
      <c r="I871">
        <v>500</v>
      </c>
      <c r="J871">
        <v>795.31</v>
      </c>
      <c r="K871">
        <v>0</v>
      </c>
      <c r="L871">
        <v>441923</v>
      </c>
      <c r="M871" t="s">
        <v>46</v>
      </c>
      <c r="N871" t="s">
        <v>166</v>
      </c>
      <c r="O871" t="s">
        <v>194</v>
      </c>
      <c r="P871" t="s">
        <v>137</v>
      </c>
      <c r="Q871" t="s">
        <v>50</v>
      </c>
      <c r="R871">
        <v>0</v>
      </c>
      <c r="S871">
        <v>-51000</v>
      </c>
      <c r="T871" s="1">
        <v>42047</v>
      </c>
      <c r="U871" t="s">
        <v>80</v>
      </c>
      <c r="V871" t="s">
        <v>81</v>
      </c>
      <c r="W871" t="s">
        <v>53</v>
      </c>
      <c r="X871" t="s">
        <v>54</v>
      </c>
      <c r="Y871" t="s">
        <v>44</v>
      </c>
      <c r="Z871" t="s">
        <v>92</v>
      </c>
      <c r="AA871" t="s">
        <v>1053</v>
      </c>
      <c r="AB871">
        <v>16</v>
      </c>
      <c r="AC871" t="str">
        <f t="shared" si="40"/>
        <v>Afternoon</v>
      </c>
      <c r="AD871">
        <v>3</v>
      </c>
      <c r="AE871" t="s">
        <v>58</v>
      </c>
      <c r="AF871">
        <v>1</v>
      </c>
      <c r="AG871">
        <v>3</v>
      </c>
      <c r="AH871" t="s">
        <v>67</v>
      </c>
      <c r="AI871">
        <v>40810</v>
      </c>
      <c r="AJ871">
        <v>3710</v>
      </c>
      <c r="AK871">
        <v>7420</v>
      </c>
      <c r="AL871">
        <v>29680</v>
      </c>
      <c r="AM871" t="s">
        <v>134</v>
      </c>
      <c r="AN871" t="s">
        <v>135</v>
      </c>
      <c r="AO871">
        <v>2015</v>
      </c>
      <c r="AP871">
        <v>2000</v>
      </c>
      <c r="AQ871">
        <f t="shared" si="41"/>
        <v>15</v>
      </c>
      <c r="AR871" t="s">
        <v>61</v>
      </c>
    </row>
    <row r="872" spans="1:44" x14ac:dyDescent="0.25">
      <c r="A872">
        <v>260</v>
      </c>
      <c r="B872" t="str">
        <f t="shared" si="39"/>
        <v>10+ years</v>
      </c>
      <c r="C872">
        <v>43</v>
      </c>
      <c r="D872" t="str" cm="1">
        <f t="array" ref="D872">_xlfn.IFS(C872&lt;26, "19-25", C872&lt;33, "26-32", C872&lt;40, "33-39", C872&lt;47, "40-46",C872&lt;54, "47-53", TRUE, "54+")</f>
        <v>40-46</v>
      </c>
      <c r="E872">
        <v>979963</v>
      </c>
      <c r="F872" s="1">
        <v>39967</v>
      </c>
      <c r="G872" t="s">
        <v>62</v>
      </c>
      <c r="H872" t="s">
        <v>74</v>
      </c>
      <c r="I872">
        <v>500</v>
      </c>
      <c r="J872">
        <v>982.22</v>
      </c>
      <c r="K872">
        <v>0</v>
      </c>
      <c r="L872">
        <v>604279</v>
      </c>
      <c r="M872" t="s">
        <v>75</v>
      </c>
      <c r="N872" t="s">
        <v>166</v>
      </c>
      <c r="O872" t="s">
        <v>130</v>
      </c>
      <c r="P872" t="s">
        <v>137</v>
      </c>
      <c r="Q872" t="s">
        <v>147</v>
      </c>
      <c r="R872">
        <v>54500</v>
      </c>
      <c r="S872">
        <v>-72100</v>
      </c>
      <c r="T872" s="1">
        <v>42047</v>
      </c>
      <c r="U872" t="s">
        <v>51</v>
      </c>
      <c r="V872" t="s">
        <v>91</v>
      </c>
      <c r="W872" t="s">
        <v>112</v>
      </c>
      <c r="X872" t="s">
        <v>104</v>
      </c>
      <c r="Y872" t="s">
        <v>82</v>
      </c>
      <c r="Z872" t="s">
        <v>70</v>
      </c>
      <c r="AA872" t="s">
        <v>1054</v>
      </c>
      <c r="AB872">
        <v>18</v>
      </c>
      <c r="AC872" t="str">
        <f t="shared" si="40"/>
        <v>Evening</v>
      </c>
      <c r="AD872">
        <v>1</v>
      </c>
      <c r="AE872" t="s">
        <v>67</v>
      </c>
      <c r="AF872">
        <v>1</v>
      </c>
      <c r="AG872">
        <v>0</v>
      </c>
      <c r="AH872" t="s">
        <v>67</v>
      </c>
      <c r="AI872">
        <v>75400</v>
      </c>
      <c r="AJ872">
        <v>15080</v>
      </c>
      <c r="AK872">
        <v>7540</v>
      </c>
      <c r="AL872">
        <v>52780</v>
      </c>
      <c r="AM872" t="s">
        <v>214</v>
      </c>
      <c r="AN872" t="s">
        <v>230</v>
      </c>
      <c r="AO872">
        <v>2015</v>
      </c>
      <c r="AP872">
        <v>2011</v>
      </c>
      <c r="AQ872">
        <f t="shared" si="41"/>
        <v>4</v>
      </c>
      <c r="AR872" t="s">
        <v>87</v>
      </c>
    </row>
    <row r="873" spans="1:44" x14ac:dyDescent="0.25">
      <c r="A873">
        <v>133</v>
      </c>
      <c r="B873" t="str">
        <f t="shared" si="39"/>
        <v>10+ years</v>
      </c>
      <c r="C873">
        <v>34</v>
      </c>
      <c r="D873" t="str" cm="1">
        <f t="array" ref="D873">_xlfn.IFS(C873&lt;26, "19-25", C873&lt;33, "26-32", C873&lt;40, "33-39", C873&lt;47, "40-46",C873&lt;54, "47-53", TRUE, "54+")</f>
        <v>33-39</v>
      </c>
      <c r="E873">
        <v>467841</v>
      </c>
      <c r="F873" s="1">
        <v>34618</v>
      </c>
      <c r="G873" t="s">
        <v>62</v>
      </c>
      <c r="H873" t="s">
        <v>96</v>
      </c>
      <c r="I873">
        <v>500</v>
      </c>
      <c r="J873">
        <v>1074.07</v>
      </c>
      <c r="K873">
        <v>0</v>
      </c>
      <c r="L873">
        <v>440833</v>
      </c>
      <c r="M873" t="s">
        <v>75</v>
      </c>
      <c r="N873" t="s">
        <v>166</v>
      </c>
      <c r="O873" t="s">
        <v>106</v>
      </c>
      <c r="P873" t="s">
        <v>103</v>
      </c>
      <c r="Q873" t="s">
        <v>50</v>
      </c>
      <c r="R873">
        <v>70900</v>
      </c>
      <c r="S873">
        <v>-61100</v>
      </c>
      <c r="T873" s="1">
        <v>42032</v>
      </c>
      <c r="U873" t="s">
        <v>143</v>
      </c>
      <c r="V873" t="s">
        <v>67</v>
      </c>
      <c r="W873" t="s">
        <v>68</v>
      </c>
      <c r="X873" t="s">
        <v>98</v>
      </c>
      <c r="Y873" t="s">
        <v>118</v>
      </c>
      <c r="Z873" t="s">
        <v>132</v>
      </c>
      <c r="AA873" t="s">
        <v>1055</v>
      </c>
      <c r="AB873">
        <v>8</v>
      </c>
      <c r="AC873" t="str">
        <f t="shared" si="40"/>
        <v>Morning</v>
      </c>
      <c r="AD873">
        <v>1</v>
      </c>
      <c r="AE873" t="s">
        <v>84</v>
      </c>
      <c r="AF873">
        <v>2</v>
      </c>
      <c r="AG873">
        <v>0</v>
      </c>
      <c r="AH873" t="s">
        <v>58</v>
      </c>
      <c r="AI873">
        <v>4200</v>
      </c>
      <c r="AJ873">
        <v>420</v>
      </c>
      <c r="AK873">
        <v>840</v>
      </c>
      <c r="AL873">
        <v>2940</v>
      </c>
      <c r="AM873" t="s">
        <v>202</v>
      </c>
      <c r="AN873" t="s">
        <v>203</v>
      </c>
      <c r="AO873">
        <v>2015</v>
      </c>
      <c r="AP873">
        <v>2013</v>
      </c>
      <c r="AQ873">
        <f t="shared" si="41"/>
        <v>2</v>
      </c>
      <c r="AR873" t="s">
        <v>87</v>
      </c>
    </row>
    <row r="874" spans="1:44" x14ac:dyDescent="0.25">
      <c r="A874">
        <v>290</v>
      </c>
      <c r="B874" t="str">
        <f t="shared" si="39"/>
        <v>10+ years</v>
      </c>
      <c r="C874">
        <v>45</v>
      </c>
      <c r="D874" t="str" cm="1">
        <f t="array" ref="D874">_xlfn.IFS(C874&lt;26, "19-25", C874&lt;33, "26-32", C874&lt;40, "33-39", C874&lt;47, "40-46",C874&lt;54, "47-53", TRUE, "54+")</f>
        <v>40-46</v>
      </c>
      <c r="E874">
        <v>219028</v>
      </c>
      <c r="F874" s="1">
        <v>33437</v>
      </c>
      <c r="G874" t="s">
        <v>44</v>
      </c>
      <c r="H874" t="s">
        <v>74</v>
      </c>
      <c r="I874">
        <v>1000</v>
      </c>
      <c r="J874">
        <v>1311.3</v>
      </c>
      <c r="K874">
        <v>0</v>
      </c>
      <c r="L874">
        <v>451550</v>
      </c>
      <c r="M874" t="s">
        <v>75</v>
      </c>
      <c r="N874" t="s">
        <v>97</v>
      </c>
      <c r="O874" t="s">
        <v>63</v>
      </c>
      <c r="P874" t="s">
        <v>173</v>
      </c>
      <c r="Q874" t="s">
        <v>124</v>
      </c>
      <c r="R874">
        <v>38500</v>
      </c>
      <c r="S874">
        <v>0</v>
      </c>
      <c r="T874" s="1">
        <v>42014</v>
      </c>
      <c r="U874" t="s">
        <v>80</v>
      </c>
      <c r="V874" t="s">
        <v>52</v>
      </c>
      <c r="W874" t="s">
        <v>53</v>
      </c>
      <c r="X874" t="s">
        <v>141</v>
      </c>
      <c r="Y874" t="s">
        <v>82</v>
      </c>
      <c r="Z874" t="s">
        <v>127</v>
      </c>
      <c r="AA874" t="s">
        <v>1056</v>
      </c>
      <c r="AB874">
        <v>23</v>
      </c>
      <c r="AC874" t="str">
        <f t="shared" si="40"/>
        <v>Evening</v>
      </c>
      <c r="AD874">
        <v>3</v>
      </c>
      <c r="AE874" t="s">
        <v>58</v>
      </c>
      <c r="AF874">
        <v>0</v>
      </c>
      <c r="AG874">
        <v>0</v>
      </c>
      <c r="AH874" t="s">
        <v>58</v>
      </c>
      <c r="AI874">
        <v>52650</v>
      </c>
      <c r="AJ874">
        <v>5850</v>
      </c>
      <c r="AK874">
        <v>5850</v>
      </c>
      <c r="AL874">
        <v>40950</v>
      </c>
      <c r="AM874" t="s">
        <v>134</v>
      </c>
      <c r="AN874" t="s">
        <v>135</v>
      </c>
      <c r="AO874">
        <v>2015</v>
      </c>
      <c r="AP874">
        <v>2001</v>
      </c>
      <c r="AQ874">
        <f t="shared" si="41"/>
        <v>14</v>
      </c>
      <c r="AR874" t="s">
        <v>61</v>
      </c>
    </row>
    <row r="875" spans="1:44" x14ac:dyDescent="0.25">
      <c r="A875">
        <v>322</v>
      </c>
      <c r="B875" t="str">
        <f t="shared" si="39"/>
        <v>10+ years</v>
      </c>
      <c r="C875">
        <v>49</v>
      </c>
      <c r="D875" t="str" cm="1">
        <f t="array" ref="D875">_xlfn.IFS(C875&lt;26, "19-25", C875&lt;33, "26-32", C875&lt;40, "33-39", C875&lt;47, "40-46",C875&lt;54, "47-53", TRUE, "54+")</f>
        <v>47-53</v>
      </c>
      <c r="E875">
        <v>130156</v>
      </c>
      <c r="F875" s="1">
        <v>37158</v>
      </c>
      <c r="G875" t="s">
        <v>88</v>
      </c>
      <c r="H875" t="s">
        <v>45</v>
      </c>
      <c r="I875">
        <v>2000</v>
      </c>
      <c r="J875">
        <v>1277.1199999999999</v>
      </c>
      <c r="K875">
        <v>0</v>
      </c>
      <c r="L875">
        <v>431853</v>
      </c>
      <c r="M875" t="s">
        <v>75</v>
      </c>
      <c r="N875" t="s">
        <v>76</v>
      </c>
      <c r="O875" t="s">
        <v>89</v>
      </c>
      <c r="P875" t="s">
        <v>175</v>
      </c>
      <c r="Q875" t="s">
        <v>79</v>
      </c>
      <c r="R875">
        <v>0</v>
      </c>
      <c r="S875">
        <v>-46000</v>
      </c>
      <c r="T875" s="1">
        <v>42023</v>
      </c>
      <c r="U875" t="s">
        <v>51</v>
      </c>
      <c r="V875" t="s">
        <v>81</v>
      </c>
      <c r="W875" t="s">
        <v>53</v>
      </c>
      <c r="X875" t="s">
        <v>141</v>
      </c>
      <c r="Y875" t="s">
        <v>118</v>
      </c>
      <c r="Z875" t="s">
        <v>127</v>
      </c>
      <c r="AA875" t="s">
        <v>1057</v>
      </c>
      <c r="AB875">
        <v>18</v>
      </c>
      <c r="AC875" t="str">
        <f t="shared" si="40"/>
        <v>Evening</v>
      </c>
      <c r="AD875">
        <v>1</v>
      </c>
      <c r="AE875" t="s">
        <v>67</v>
      </c>
      <c r="AF875">
        <v>0</v>
      </c>
      <c r="AG875">
        <v>2</v>
      </c>
      <c r="AH875" t="s">
        <v>58</v>
      </c>
      <c r="AI875">
        <v>42240</v>
      </c>
      <c r="AJ875">
        <v>7680</v>
      </c>
      <c r="AK875">
        <v>7680</v>
      </c>
      <c r="AL875">
        <v>26880</v>
      </c>
      <c r="AM875" t="s">
        <v>94</v>
      </c>
      <c r="AN875" t="s">
        <v>250</v>
      </c>
      <c r="AO875">
        <v>2015</v>
      </c>
      <c r="AP875">
        <v>2007</v>
      </c>
      <c r="AQ875">
        <f t="shared" si="41"/>
        <v>8</v>
      </c>
      <c r="AR875" t="s">
        <v>87</v>
      </c>
    </row>
    <row r="876" spans="1:44" x14ac:dyDescent="0.25">
      <c r="A876">
        <v>228</v>
      </c>
      <c r="B876" t="str">
        <f t="shared" si="39"/>
        <v>10+ years</v>
      </c>
      <c r="C876">
        <v>39</v>
      </c>
      <c r="D876" t="str" cm="1">
        <f t="array" ref="D876">_xlfn.IFS(C876&lt;26, "19-25", C876&lt;33, "26-32", C876&lt;40, "33-39", C876&lt;47, "40-46",C876&lt;54, "47-53", TRUE, "54+")</f>
        <v>33-39</v>
      </c>
      <c r="E876">
        <v>762951</v>
      </c>
      <c r="F876" s="1">
        <v>41171</v>
      </c>
      <c r="G876" t="s">
        <v>62</v>
      </c>
      <c r="H876" t="s">
        <v>96</v>
      </c>
      <c r="I876">
        <v>500</v>
      </c>
      <c r="J876">
        <v>1388.62</v>
      </c>
      <c r="K876">
        <v>0</v>
      </c>
      <c r="L876">
        <v>614274</v>
      </c>
      <c r="M876" t="s">
        <v>75</v>
      </c>
      <c r="N876" t="s">
        <v>166</v>
      </c>
      <c r="O876" t="s">
        <v>77</v>
      </c>
      <c r="P876" t="s">
        <v>64</v>
      </c>
      <c r="Q876" t="s">
        <v>50</v>
      </c>
      <c r="R876">
        <v>35200</v>
      </c>
      <c r="S876">
        <v>0</v>
      </c>
      <c r="T876" s="1">
        <v>42023</v>
      </c>
      <c r="U876" t="s">
        <v>51</v>
      </c>
      <c r="V876" t="s">
        <v>52</v>
      </c>
      <c r="W876" t="s">
        <v>68</v>
      </c>
      <c r="X876" t="s">
        <v>125</v>
      </c>
      <c r="Y876" t="s">
        <v>126</v>
      </c>
      <c r="Z876" t="s">
        <v>70</v>
      </c>
      <c r="AA876" t="s">
        <v>1058</v>
      </c>
      <c r="AB876">
        <v>10</v>
      </c>
      <c r="AC876" t="str">
        <f t="shared" si="40"/>
        <v>Morning</v>
      </c>
      <c r="AD876">
        <v>1</v>
      </c>
      <c r="AE876" t="s">
        <v>58</v>
      </c>
      <c r="AF876">
        <v>1</v>
      </c>
      <c r="AG876">
        <v>0</v>
      </c>
      <c r="AH876" t="s">
        <v>58</v>
      </c>
      <c r="AI876">
        <v>59490</v>
      </c>
      <c r="AJ876">
        <v>6610</v>
      </c>
      <c r="AK876">
        <v>6610</v>
      </c>
      <c r="AL876">
        <v>46270</v>
      </c>
      <c r="AM876" t="s">
        <v>72</v>
      </c>
      <c r="AN876" t="s">
        <v>276</v>
      </c>
      <c r="AO876">
        <v>2015</v>
      </c>
      <c r="AP876">
        <v>1995</v>
      </c>
      <c r="AQ876">
        <f t="shared" si="41"/>
        <v>20</v>
      </c>
      <c r="AR876" t="s">
        <v>87</v>
      </c>
    </row>
    <row r="877" spans="1:44" x14ac:dyDescent="0.25">
      <c r="A877">
        <v>195</v>
      </c>
      <c r="B877" t="str">
        <f t="shared" si="39"/>
        <v>10+ years</v>
      </c>
      <c r="C877">
        <v>37</v>
      </c>
      <c r="D877" t="str" cm="1">
        <f t="array" ref="D877">_xlfn.IFS(C877&lt;26, "19-25", C877&lt;33, "26-32", C877&lt;40, "33-39", C877&lt;47, "40-46",C877&lt;54, "47-53", TRUE, "54+")</f>
        <v>33-39</v>
      </c>
      <c r="E877">
        <v>376879</v>
      </c>
      <c r="F877" s="1">
        <v>33430</v>
      </c>
      <c r="G877" t="s">
        <v>88</v>
      </c>
      <c r="H877" t="s">
        <v>74</v>
      </c>
      <c r="I877">
        <v>1000</v>
      </c>
      <c r="J877">
        <v>1406.52</v>
      </c>
      <c r="K877">
        <v>8000000</v>
      </c>
      <c r="L877">
        <v>619148</v>
      </c>
      <c r="M877" t="s">
        <v>46</v>
      </c>
      <c r="N877" t="s">
        <v>47</v>
      </c>
      <c r="O877" t="s">
        <v>102</v>
      </c>
      <c r="P877" t="s">
        <v>111</v>
      </c>
      <c r="Q877" t="s">
        <v>90</v>
      </c>
      <c r="R877">
        <v>0</v>
      </c>
      <c r="S877">
        <v>0</v>
      </c>
      <c r="T877" s="1">
        <v>42032</v>
      </c>
      <c r="U877" t="s">
        <v>51</v>
      </c>
      <c r="V877" t="s">
        <v>52</v>
      </c>
      <c r="W877" t="s">
        <v>53</v>
      </c>
      <c r="X877" t="s">
        <v>141</v>
      </c>
      <c r="Y877" t="s">
        <v>55</v>
      </c>
      <c r="Z877" t="s">
        <v>92</v>
      </c>
      <c r="AA877" t="s">
        <v>1059</v>
      </c>
      <c r="AB877">
        <v>12</v>
      </c>
      <c r="AC877" t="str">
        <f t="shared" si="40"/>
        <v>Afternoon</v>
      </c>
      <c r="AD877">
        <v>1</v>
      </c>
      <c r="AE877" t="s">
        <v>84</v>
      </c>
      <c r="AF877">
        <v>0</v>
      </c>
      <c r="AG877">
        <v>2</v>
      </c>
      <c r="AH877" t="s">
        <v>84</v>
      </c>
      <c r="AI877">
        <v>44200</v>
      </c>
      <c r="AJ877">
        <v>4420</v>
      </c>
      <c r="AK877">
        <v>4420</v>
      </c>
      <c r="AL877">
        <v>35360</v>
      </c>
      <c r="AM877" t="s">
        <v>202</v>
      </c>
      <c r="AN877" t="s">
        <v>203</v>
      </c>
      <c r="AO877">
        <v>2015</v>
      </c>
      <c r="AP877">
        <v>2002</v>
      </c>
      <c r="AQ877">
        <f t="shared" si="41"/>
        <v>13</v>
      </c>
      <c r="AR877" t="s">
        <v>61</v>
      </c>
    </row>
    <row r="878" spans="1:44" x14ac:dyDescent="0.25">
      <c r="A878">
        <v>247</v>
      </c>
      <c r="B878" t="str">
        <f t="shared" si="39"/>
        <v>10+ years</v>
      </c>
      <c r="C878">
        <v>39</v>
      </c>
      <c r="D878" t="str" cm="1">
        <f t="array" ref="D878">_xlfn.IFS(C878&lt;26, "19-25", C878&lt;33, "26-32", C878&lt;40, "33-39", C878&lt;47, "40-46",C878&lt;54, "47-53", TRUE, "54+")</f>
        <v>33-39</v>
      </c>
      <c r="E878">
        <v>599031</v>
      </c>
      <c r="F878" s="1">
        <v>33540</v>
      </c>
      <c r="G878" t="s">
        <v>62</v>
      </c>
      <c r="H878" t="s">
        <v>74</v>
      </c>
      <c r="I878">
        <v>500</v>
      </c>
      <c r="J878">
        <v>1558.29</v>
      </c>
      <c r="K878">
        <v>0</v>
      </c>
      <c r="L878">
        <v>456781</v>
      </c>
      <c r="M878" t="s">
        <v>75</v>
      </c>
      <c r="N878" t="s">
        <v>129</v>
      </c>
      <c r="O878" t="s">
        <v>140</v>
      </c>
      <c r="P878" t="s">
        <v>64</v>
      </c>
      <c r="Q878" t="s">
        <v>90</v>
      </c>
      <c r="R878">
        <v>0</v>
      </c>
      <c r="S878">
        <v>-49300</v>
      </c>
      <c r="T878" s="1">
        <v>42051</v>
      </c>
      <c r="U878" t="s">
        <v>66</v>
      </c>
      <c r="V878" t="s">
        <v>67</v>
      </c>
      <c r="W878" t="s">
        <v>217</v>
      </c>
      <c r="X878" t="s">
        <v>54</v>
      </c>
      <c r="Y878" t="s">
        <v>118</v>
      </c>
      <c r="Z878" t="s">
        <v>107</v>
      </c>
      <c r="AA878" t="s">
        <v>1060</v>
      </c>
      <c r="AB878">
        <v>5</v>
      </c>
      <c r="AC878" t="str">
        <f t="shared" si="40"/>
        <v>Night</v>
      </c>
      <c r="AD878">
        <v>1</v>
      </c>
      <c r="AE878" t="s">
        <v>58</v>
      </c>
      <c r="AF878">
        <v>1</v>
      </c>
      <c r="AG878">
        <v>2</v>
      </c>
      <c r="AH878" t="s">
        <v>67</v>
      </c>
      <c r="AI878">
        <v>7700</v>
      </c>
      <c r="AJ878">
        <v>770</v>
      </c>
      <c r="AK878">
        <v>1540</v>
      </c>
      <c r="AL878">
        <v>5390</v>
      </c>
      <c r="AM878" t="s">
        <v>59</v>
      </c>
      <c r="AN878">
        <v>93</v>
      </c>
      <c r="AO878">
        <v>2015</v>
      </c>
      <c r="AP878">
        <v>2000</v>
      </c>
      <c r="AQ878">
        <f t="shared" si="41"/>
        <v>15</v>
      </c>
      <c r="AR878" t="s">
        <v>87</v>
      </c>
    </row>
    <row r="879" spans="1:44" x14ac:dyDescent="0.25">
      <c r="A879">
        <v>405</v>
      </c>
      <c r="B879" t="str">
        <f t="shared" si="39"/>
        <v>10+ years</v>
      </c>
      <c r="C879">
        <v>57</v>
      </c>
      <c r="D879" t="str" cm="1">
        <f t="array" ref="D879">_xlfn.IFS(C879&lt;26, "19-25", C879&lt;33, "26-32", C879&lt;40, "33-39", C879&lt;47, "40-46",C879&lt;54, "47-53", TRUE, "54+")</f>
        <v>54+</v>
      </c>
      <c r="E879">
        <v>676255</v>
      </c>
      <c r="F879" s="1">
        <v>36522</v>
      </c>
      <c r="G879" t="s">
        <v>62</v>
      </c>
      <c r="H879" t="s">
        <v>96</v>
      </c>
      <c r="I879">
        <v>1000</v>
      </c>
      <c r="J879">
        <v>1132.47</v>
      </c>
      <c r="K879">
        <v>4000000</v>
      </c>
      <c r="L879">
        <v>434293</v>
      </c>
      <c r="M879" t="s">
        <v>46</v>
      </c>
      <c r="N879" t="s">
        <v>47</v>
      </c>
      <c r="O879" t="s">
        <v>122</v>
      </c>
      <c r="P879" t="s">
        <v>269</v>
      </c>
      <c r="Q879" t="s">
        <v>65</v>
      </c>
      <c r="R879">
        <v>46300</v>
      </c>
      <c r="S879">
        <v>0</v>
      </c>
      <c r="T879" s="1">
        <v>42012</v>
      </c>
      <c r="U879" t="s">
        <v>80</v>
      </c>
      <c r="V879" t="s">
        <v>91</v>
      </c>
      <c r="W879" t="s">
        <v>112</v>
      </c>
      <c r="X879" t="s">
        <v>125</v>
      </c>
      <c r="Y879" t="s">
        <v>82</v>
      </c>
      <c r="Z879" t="s">
        <v>132</v>
      </c>
      <c r="AA879" t="s">
        <v>1061</v>
      </c>
      <c r="AB879">
        <v>21</v>
      </c>
      <c r="AC879" t="str">
        <f t="shared" si="40"/>
        <v>Evening</v>
      </c>
      <c r="AD879">
        <v>3</v>
      </c>
      <c r="AE879" t="s">
        <v>67</v>
      </c>
      <c r="AF879">
        <v>2</v>
      </c>
      <c r="AG879">
        <v>3</v>
      </c>
      <c r="AH879" t="s">
        <v>67</v>
      </c>
      <c r="AI879">
        <v>61440</v>
      </c>
      <c r="AJ879">
        <v>10240</v>
      </c>
      <c r="AK879">
        <v>10240</v>
      </c>
      <c r="AL879">
        <v>40960</v>
      </c>
      <c r="AM879" t="s">
        <v>59</v>
      </c>
      <c r="AN879">
        <v>93</v>
      </c>
      <c r="AO879">
        <v>2015</v>
      </c>
      <c r="AP879">
        <v>2008</v>
      </c>
      <c r="AQ879">
        <f t="shared" si="41"/>
        <v>7</v>
      </c>
      <c r="AR879" t="s">
        <v>87</v>
      </c>
    </row>
    <row r="880" spans="1:44" x14ac:dyDescent="0.25">
      <c r="A880">
        <v>144</v>
      </c>
      <c r="B880" t="str">
        <f t="shared" si="39"/>
        <v>10+ years</v>
      </c>
      <c r="C880">
        <v>37</v>
      </c>
      <c r="D880" t="str" cm="1">
        <f t="array" ref="D880">_xlfn.IFS(C880&lt;26, "19-25", C880&lt;33, "26-32", C880&lt;40, "33-39", C880&lt;47, "40-46",C880&lt;54, "47-53", TRUE, "54+")</f>
        <v>33-39</v>
      </c>
      <c r="E880">
        <v>985446</v>
      </c>
      <c r="F880" s="1">
        <v>41193</v>
      </c>
      <c r="G880" t="s">
        <v>44</v>
      </c>
      <c r="H880" t="s">
        <v>45</v>
      </c>
      <c r="I880">
        <v>2000</v>
      </c>
      <c r="J880">
        <v>1896.91</v>
      </c>
      <c r="K880">
        <v>0</v>
      </c>
      <c r="L880">
        <v>460895</v>
      </c>
      <c r="M880" t="s">
        <v>75</v>
      </c>
      <c r="N880" t="s">
        <v>76</v>
      </c>
      <c r="O880" t="s">
        <v>164</v>
      </c>
      <c r="P880" t="s">
        <v>49</v>
      </c>
      <c r="Q880" t="s">
        <v>147</v>
      </c>
      <c r="R880">
        <v>73700</v>
      </c>
      <c r="S880">
        <v>0</v>
      </c>
      <c r="T880" s="1">
        <v>42028</v>
      </c>
      <c r="U880" t="s">
        <v>80</v>
      </c>
      <c r="V880" t="s">
        <v>81</v>
      </c>
      <c r="W880" t="s">
        <v>53</v>
      </c>
      <c r="X880" t="s">
        <v>104</v>
      </c>
      <c r="Y880" t="s">
        <v>55</v>
      </c>
      <c r="Z880" t="s">
        <v>56</v>
      </c>
      <c r="AA880" t="s">
        <v>1062</v>
      </c>
      <c r="AB880">
        <v>17</v>
      </c>
      <c r="AC880" t="str">
        <f t="shared" si="40"/>
        <v>Afternoon</v>
      </c>
      <c r="AD880">
        <v>3</v>
      </c>
      <c r="AE880" t="s">
        <v>58</v>
      </c>
      <c r="AF880">
        <v>1</v>
      </c>
      <c r="AG880">
        <v>3</v>
      </c>
      <c r="AH880" t="s">
        <v>84</v>
      </c>
      <c r="AI880">
        <v>54400</v>
      </c>
      <c r="AJ880">
        <v>5440</v>
      </c>
      <c r="AK880">
        <v>10880</v>
      </c>
      <c r="AL880">
        <v>38080</v>
      </c>
      <c r="AM880" t="s">
        <v>94</v>
      </c>
      <c r="AN880" t="s">
        <v>228</v>
      </c>
      <c r="AO880">
        <v>2015</v>
      </c>
      <c r="AP880">
        <v>2015</v>
      </c>
      <c r="AQ880">
        <f t="shared" si="41"/>
        <v>0</v>
      </c>
      <c r="AR880" t="s">
        <v>61</v>
      </c>
    </row>
    <row r="881" spans="1:44" x14ac:dyDescent="0.25">
      <c r="A881">
        <v>338</v>
      </c>
      <c r="B881" t="str">
        <f t="shared" si="39"/>
        <v>10+ years</v>
      </c>
      <c r="C881">
        <v>47</v>
      </c>
      <c r="D881" t="str" cm="1">
        <f t="array" ref="D881">_xlfn.IFS(C881&lt;26, "19-25", C881&lt;33, "26-32", C881&lt;40, "33-39", C881&lt;47, "40-46",C881&lt;54, "47-53", TRUE, "54+")</f>
        <v>47-53</v>
      </c>
      <c r="E881">
        <v>884180</v>
      </c>
      <c r="F881" s="1">
        <v>34930</v>
      </c>
      <c r="G881" t="s">
        <v>88</v>
      </c>
      <c r="H881" t="s">
        <v>96</v>
      </c>
      <c r="I881">
        <v>500</v>
      </c>
      <c r="J881">
        <v>1143.46</v>
      </c>
      <c r="K881">
        <v>4000000</v>
      </c>
      <c r="L881">
        <v>601600</v>
      </c>
      <c r="M881" t="s">
        <v>46</v>
      </c>
      <c r="N881" t="s">
        <v>47</v>
      </c>
      <c r="O881" t="s">
        <v>122</v>
      </c>
      <c r="P881" t="s">
        <v>178</v>
      </c>
      <c r="Q881" t="s">
        <v>65</v>
      </c>
      <c r="R881">
        <v>0</v>
      </c>
      <c r="S881">
        <v>0</v>
      </c>
      <c r="T881" s="1">
        <v>42053</v>
      </c>
      <c r="U881" t="s">
        <v>51</v>
      </c>
      <c r="V881" t="s">
        <v>91</v>
      </c>
      <c r="W881" t="s">
        <v>112</v>
      </c>
      <c r="X881" t="s">
        <v>125</v>
      </c>
      <c r="Y881" t="s">
        <v>126</v>
      </c>
      <c r="Z881" t="s">
        <v>92</v>
      </c>
      <c r="AA881" t="s">
        <v>1063</v>
      </c>
      <c r="AB881">
        <v>4</v>
      </c>
      <c r="AC881" t="str">
        <f t="shared" si="40"/>
        <v>Night</v>
      </c>
      <c r="AD881">
        <v>1</v>
      </c>
      <c r="AE881" t="s">
        <v>58</v>
      </c>
      <c r="AF881">
        <v>2</v>
      </c>
      <c r="AG881">
        <v>1</v>
      </c>
      <c r="AH881" t="s">
        <v>67</v>
      </c>
      <c r="AI881">
        <v>58560</v>
      </c>
      <c r="AJ881">
        <v>9760</v>
      </c>
      <c r="AK881">
        <v>9760</v>
      </c>
      <c r="AL881">
        <v>39040</v>
      </c>
      <c r="AM881" t="s">
        <v>72</v>
      </c>
      <c r="AN881" t="s">
        <v>73</v>
      </c>
      <c r="AO881">
        <v>2015</v>
      </c>
      <c r="AP881">
        <v>2002</v>
      </c>
      <c r="AQ881">
        <f t="shared" si="41"/>
        <v>13</v>
      </c>
      <c r="AR881" t="s">
        <v>87</v>
      </c>
    </row>
    <row r="882" spans="1:44" x14ac:dyDescent="0.25">
      <c r="A882">
        <v>121</v>
      </c>
      <c r="B882" t="str">
        <f t="shared" si="39"/>
        <v>10+ years</v>
      </c>
      <c r="C882">
        <v>34</v>
      </c>
      <c r="D882" t="str" cm="1">
        <f t="array" ref="D882">_xlfn.IFS(C882&lt;26, "19-25", C882&lt;33, "26-32", C882&lt;40, "33-39", C882&lt;47, "40-46",C882&lt;54, "47-53", TRUE, "54+")</f>
        <v>33-39</v>
      </c>
      <c r="E882">
        <v>571462</v>
      </c>
      <c r="F882" s="1">
        <v>33280</v>
      </c>
      <c r="G882" t="s">
        <v>62</v>
      </c>
      <c r="H882" t="s">
        <v>96</v>
      </c>
      <c r="I882">
        <v>500</v>
      </c>
      <c r="J882">
        <v>1285.42</v>
      </c>
      <c r="K882">
        <v>0</v>
      </c>
      <c r="L882">
        <v>465440</v>
      </c>
      <c r="M882" t="s">
        <v>46</v>
      </c>
      <c r="N882" t="s">
        <v>47</v>
      </c>
      <c r="O882" t="s">
        <v>122</v>
      </c>
      <c r="P882" t="s">
        <v>186</v>
      </c>
      <c r="Q882" t="s">
        <v>124</v>
      </c>
      <c r="R882">
        <v>0</v>
      </c>
      <c r="S882">
        <v>0</v>
      </c>
      <c r="T882" s="1">
        <v>42025</v>
      </c>
      <c r="U882" t="s">
        <v>51</v>
      </c>
      <c r="V882" t="s">
        <v>91</v>
      </c>
      <c r="W882" t="s">
        <v>53</v>
      </c>
      <c r="X882" t="s">
        <v>104</v>
      </c>
      <c r="Y882" t="s">
        <v>69</v>
      </c>
      <c r="Z882" t="s">
        <v>161</v>
      </c>
      <c r="AA882" t="s">
        <v>1064</v>
      </c>
      <c r="AB882">
        <v>11</v>
      </c>
      <c r="AC882" t="str">
        <f t="shared" si="40"/>
        <v>Morning</v>
      </c>
      <c r="AD882">
        <v>1</v>
      </c>
      <c r="AE882" t="s">
        <v>84</v>
      </c>
      <c r="AF882">
        <v>1</v>
      </c>
      <c r="AG882">
        <v>1</v>
      </c>
      <c r="AH882" t="s">
        <v>84</v>
      </c>
      <c r="AI882">
        <v>67300</v>
      </c>
      <c r="AJ882">
        <v>6730</v>
      </c>
      <c r="AK882">
        <v>6730</v>
      </c>
      <c r="AL882">
        <v>53840</v>
      </c>
      <c r="AM882" t="s">
        <v>85</v>
      </c>
      <c r="AN882" t="s">
        <v>86</v>
      </c>
      <c r="AO882">
        <v>2015</v>
      </c>
      <c r="AP882">
        <v>2000</v>
      </c>
      <c r="AQ882">
        <f t="shared" si="41"/>
        <v>15</v>
      </c>
      <c r="AR882" t="s">
        <v>61</v>
      </c>
    </row>
    <row r="883" spans="1:44" x14ac:dyDescent="0.25">
      <c r="A883">
        <v>398</v>
      </c>
      <c r="B883" t="str">
        <f t="shared" si="39"/>
        <v>10+ years</v>
      </c>
      <c r="C883">
        <v>55</v>
      </c>
      <c r="D883" t="str" cm="1">
        <f t="array" ref="D883">_xlfn.IFS(C883&lt;26, "19-25", C883&lt;33, "26-32", C883&lt;40, "33-39", C883&lt;47, "40-46",C883&lt;54, "47-53", TRUE, "54+")</f>
        <v>54+</v>
      </c>
      <c r="E883">
        <v>815883</v>
      </c>
      <c r="F883" s="1">
        <v>33421</v>
      </c>
      <c r="G883" t="s">
        <v>44</v>
      </c>
      <c r="H883" t="s">
        <v>45</v>
      </c>
      <c r="I883">
        <v>2000</v>
      </c>
      <c r="J883">
        <v>1305.26</v>
      </c>
      <c r="K883">
        <v>0</v>
      </c>
      <c r="L883">
        <v>455482</v>
      </c>
      <c r="M883" t="s">
        <v>46</v>
      </c>
      <c r="N883" t="s">
        <v>47</v>
      </c>
      <c r="O883" t="s">
        <v>194</v>
      </c>
      <c r="P883" t="s">
        <v>137</v>
      </c>
      <c r="Q883" t="s">
        <v>124</v>
      </c>
      <c r="R883">
        <v>66200</v>
      </c>
      <c r="S883">
        <v>-49700</v>
      </c>
      <c r="T883" s="1">
        <v>42012</v>
      </c>
      <c r="U883" t="s">
        <v>51</v>
      </c>
      <c r="V883" t="s">
        <v>81</v>
      </c>
      <c r="W883" t="s">
        <v>53</v>
      </c>
      <c r="X883" t="s">
        <v>104</v>
      </c>
      <c r="Y883" t="s">
        <v>69</v>
      </c>
      <c r="Z883" t="s">
        <v>127</v>
      </c>
      <c r="AA883" t="s">
        <v>1065</v>
      </c>
      <c r="AB883">
        <v>18</v>
      </c>
      <c r="AC883" t="str">
        <f t="shared" si="40"/>
        <v>Evening</v>
      </c>
      <c r="AD883">
        <v>1</v>
      </c>
      <c r="AE883" t="s">
        <v>67</v>
      </c>
      <c r="AF883">
        <v>1</v>
      </c>
      <c r="AG883">
        <v>3</v>
      </c>
      <c r="AH883" t="s">
        <v>58</v>
      </c>
      <c r="AI883">
        <v>36740</v>
      </c>
      <c r="AJ883">
        <v>3340</v>
      </c>
      <c r="AK883">
        <v>6680</v>
      </c>
      <c r="AL883">
        <v>26720</v>
      </c>
      <c r="AM883" t="s">
        <v>192</v>
      </c>
      <c r="AN883" t="s">
        <v>208</v>
      </c>
      <c r="AO883">
        <v>2015</v>
      </c>
      <c r="AP883">
        <v>1998</v>
      </c>
      <c r="AQ883">
        <f t="shared" si="41"/>
        <v>17</v>
      </c>
      <c r="AR883" t="s">
        <v>61</v>
      </c>
    </row>
    <row r="884" spans="1:44" x14ac:dyDescent="0.25">
      <c r="A884">
        <v>9</v>
      </c>
      <c r="B884" t="str">
        <f t="shared" si="39"/>
        <v>0-2 years</v>
      </c>
      <c r="C884">
        <v>30</v>
      </c>
      <c r="D884" t="str" cm="1">
        <f t="array" ref="D884">_xlfn.IFS(C884&lt;26, "19-25", C884&lt;33, "26-32", C884&lt;40, "33-39", C884&lt;47, "40-46",C884&lt;54, "47-53", TRUE, "54+")</f>
        <v>26-32</v>
      </c>
      <c r="E884">
        <v>258265</v>
      </c>
      <c r="F884" s="1">
        <v>34434</v>
      </c>
      <c r="G884" t="s">
        <v>88</v>
      </c>
      <c r="H884" t="s">
        <v>74</v>
      </c>
      <c r="I884">
        <v>1000</v>
      </c>
      <c r="J884">
        <v>1073.83</v>
      </c>
      <c r="K884">
        <v>0</v>
      </c>
      <c r="L884">
        <v>438877</v>
      </c>
      <c r="M884" t="s">
        <v>75</v>
      </c>
      <c r="N884" t="s">
        <v>136</v>
      </c>
      <c r="O884" t="s">
        <v>63</v>
      </c>
      <c r="P884" t="s">
        <v>131</v>
      </c>
      <c r="Q884" t="s">
        <v>147</v>
      </c>
      <c r="R884">
        <v>0</v>
      </c>
      <c r="S884">
        <v>0</v>
      </c>
      <c r="T884" s="1">
        <v>42037</v>
      </c>
      <c r="U884" t="s">
        <v>51</v>
      </c>
      <c r="V884" t="s">
        <v>81</v>
      </c>
      <c r="W884" t="s">
        <v>112</v>
      </c>
      <c r="X884" t="s">
        <v>54</v>
      </c>
      <c r="Y884" t="s">
        <v>82</v>
      </c>
      <c r="Z884" t="s">
        <v>161</v>
      </c>
      <c r="AA884" t="s">
        <v>1066</v>
      </c>
      <c r="AB884">
        <v>12</v>
      </c>
      <c r="AC884" t="str">
        <f t="shared" si="40"/>
        <v>Afternoon</v>
      </c>
      <c r="AD884">
        <v>1</v>
      </c>
      <c r="AE884" t="s">
        <v>67</v>
      </c>
      <c r="AF884">
        <v>0</v>
      </c>
      <c r="AG884">
        <v>0</v>
      </c>
      <c r="AH884" t="s">
        <v>84</v>
      </c>
      <c r="AI884">
        <v>85690</v>
      </c>
      <c r="AJ884">
        <v>15580</v>
      </c>
      <c r="AK884">
        <v>15580</v>
      </c>
      <c r="AL884">
        <v>54530</v>
      </c>
      <c r="AM884" t="s">
        <v>192</v>
      </c>
      <c r="AN884" t="s">
        <v>193</v>
      </c>
      <c r="AO884">
        <v>2015</v>
      </c>
      <c r="AP884">
        <v>2011</v>
      </c>
      <c r="AQ884">
        <f t="shared" si="41"/>
        <v>4</v>
      </c>
      <c r="AR884" t="s">
        <v>87</v>
      </c>
    </row>
    <row r="885" spans="1:44" x14ac:dyDescent="0.25">
      <c r="A885">
        <v>115</v>
      </c>
      <c r="B885" t="str">
        <f t="shared" si="39"/>
        <v>5-10 years</v>
      </c>
      <c r="C885">
        <v>31</v>
      </c>
      <c r="D885" t="str" cm="1">
        <f t="array" ref="D885">_xlfn.IFS(C885&lt;26, "19-25", C885&lt;33, "26-32", C885&lt;40, "33-39", C885&lt;47, "40-46",C885&lt;54, "47-53", TRUE, "54+")</f>
        <v>26-32</v>
      </c>
      <c r="E885">
        <v>569714</v>
      </c>
      <c r="F885" s="1">
        <v>38690</v>
      </c>
      <c r="G885" t="s">
        <v>44</v>
      </c>
      <c r="H885" t="s">
        <v>96</v>
      </c>
      <c r="I885">
        <v>1000</v>
      </c>
      <c r="J885">
        <v>1051.67</v>
      </c>
      <c r="K885">
        <v>0</v>
      </c>
      <c r="L885">
        <v>479824</v>
      </c>
      <c r="M885" t="s">
        <v>75</v>
      </c>
      <c r="N885" t="s">
        <v>97</v>
      </c>
      <c r="O885" t="s">
        <v>130</v>
      </c>
      <c r="P885" t="s">
        <v>103</v>
      </c>
      <c r="Q885" t="s">
        <v>147</v>
      </c>
      <c r="R885">
        <v>0</v>
      </c>
      <c r="S885">
        <v>0</v>
      </c>
      <c r="T885" s="1">
        <v>42064</v>
      </c>
      <c r="U885" t="s">
        <v>80</v>
      </c>
      <c r="V885" t="s">
        <v>52</v>
      </c>
      <c r="W885" t="s">
        <v>53</v>
      </c>
      <c r="X885" t="s">
        <v>141</v>
      </c>
      <c r="Y885" t="s">
        <v>118</v>
      </c>
      <c r="Z885" t="s">
        <v>70</v>
      </c>
      <c r="AA885" t="s">
        <v>1067</v>
      </c>
      <c r="AB885">
        <v>18</v>
      </c>
      <c r="AC885" t="str">
        <f t="shared" si="40"/>
        <v>Evening</v>
      </c>
      <c r="AD885">
        <v>3</v>
      </c>
      <c r="AE885" t="s">
        <v>58</v>
      </c>
      <c r="AF885">
        <v>0</v>
      </c>
      <c r="AG885">
        <v>3</v>
      </c>
      <c r="AH885" t="s">
        <v>84</v>
      </c>
      <c r="AI885">
        <v>34160</v>
      </c>
      <c r="AJ885">
        <v>0</v>
      </c>
      <c r="AK885">
        <v>4270</v>
      </c>
      <c r="AL885">
        <v>29890</v>
      </c>
      <c r="AM885" t="s">
        <v>114</v>
      </c>
      <c r="AN885" t="s">
        <v>115</v>
      </c>
      <c r="AO885">
        <v>2015</v>
      </c>
      <c r="AP885">
        <v>2005</v>
      </c>
      <c r="AQ885">
        <f t="shared" si="41"/>
        <v>10</v>
      </c>
      <c r="AR885" t="s">
        <v>61</v>
      </c>
    </row>
    <row r="886" spans="1:44" x14ac:dyDescent="0.25">
      <c r="A886">
        <v>280</v>
      </c>
      <c r="B886" t="str">
        <f t="shared" si="39"/>
        <v>10+ years</v>
      </c>
      <c r="C886">
        <v>48</v>
      </c>
      <c r="D886" t="str" cm="1">
        <f t="array" ref="D886">_xlfn.IFS(C886&lt;26, "19-25", C886&lt;33, "26-32", C886&lt;40, "33-39", C886&lt;47, "40-46",C886&lt;54, "47-53", TRUE, "54+")</f>
        <v>47-53</v>
      </c>
      <c r="E886">
        <v>180008</v>
      </c>
      <c r="F886" s="1">
        <v>41836</v>
      </c>
      <c r="G886" t="s">
        <v>88</v>
      </c>
      <c r="H886" t="s">
        <v>45</v>
      </c>
      <c r="I886">
        <v>1000</v>
      </c>
      <c r="J886">
        <v>1387.35</v>
      </c>
      <c r="K886">
        <v>0</v>
      </c>
      <c r="L886">
        <v>477415</v>
      </c>
      <c r="M886" t="s">
        <v>46</v>
      </c>
      <c r="N886" t="s">
        <v>166</v>
      </c>
      <c r="O886" t="s">
        <v>150</v>
      </c>
      <c r="P886" t="s">
        <v>170</v>
      </c>
      <c r="Q886" t="s">
        <v>147</v>
      </c>
      <c r="R886">
        <v>0</v>
      </c>
      <c r="S886">
        <v>-72000</v>
      </c>
      <c r="T886" s="1">
        <v>42039</v>
      </c>
      <c r="U886" t="s">
        <v>51</v>
      </c>
      <c r="V886" t="s">
        <v>91</v>
      </c>
      <c r="W886" t="s">
        <v>68</v>
      </c>
      <c r="X886" t="s">
        <v>104</v>
      </c>
      <c r="Y886" t="s">
        <v>118</v>
      </c>
      <c r="Z886" t="s">
        <v>127</v>
      </c>
      <c r="AA886" t="s">
        <v>1068</v>
      </c>
      <c r="AB886">
        <v>16</v>
      </c>
      <c r="AC886" t="str">
        <f t="shared" si="40"/>
        <v>Afternoon</v>
      </c>
      <c r="AD886">
        <v>1</v>
      </c>
      <c r="AE886" t="s">
        <v>84</v>
      </c>
      <c r="AF886">
        <v>2</v>
      </c>
      <c r="AG886">
        <v>2</v>
      </c>
      <c r="AH886" t="s">
        <v>67</v>
      </c>
      <c r="AI886">
        <v>61320</v>
      </c>
      <c r="AJ886">
        <v>10220</v>
      </c>
      <c r="AK886">
        <v>10220</v>
      </c>
      <c r="AL886">
        <v>40880</v>
      </c>
      <c r="AM886" t="s">
        <v>192</v>
      </c>
      <c r="AN886" t="s">
        <v>206</v>
      </c>
      <c r="AO886">
        <v>2015</v>
      </c>
      <c r="AP886">
        <v>1998</v>
      </c>
      <c r="AQ886">
        <f t="shared" si="41"/>
        <v>17</v>
      </c>
      <c r="AR886" t="s">
        <v>87</v>
      </c>
    </row>
    <row r="887" spans="1:44" x14ac:dyDescent="0.25">
      <c r="A887">
        <v>254</v>
      </c>
      <c r="B887" t="str">
        <f t="shared" si="39"/>
        <v>10+ years</v>
      </c>
      <c r="C887">
        <v>45</v>
      </c>
      <c r="D887" t="str" cm="1">
        <f t="array" ref="D887">_xlfn.IFS(C887&lt;26, "19-25", C887&lt;33, "26-32", C887&lt;40, "33-39", C887&lt;47, "40-46",C887&lt;54, "47-53", TRUE, "54+")</f>
        <v>40-46</v>
      </c>
      <c r="E887">
        <v>633375</v>
      </c>
      <c r="F887" s="1">
        <v>37881</v>
      </c>
      <c r="G887" t="s">
        <v>88</v>
      </c>
      <c r="H887" t="s">
        <v>45</v>
      </c>
      <c r="I887">
        <v>500</v>
      </c>
      <c r="J887">
        <v>1083.6400000000001</v>
      </c>
      <c r="K887">
        <v>0</v>
      </c>
      <c r="L887">
        <v>614372</v>
      </c>
      <c r="M887" t="s">
        <v>46</v>
      </c>
      <c r="N887" t="s">
        <v>166</v>
      </c>
      <c r="O887" t="s">
        <v>116</v>
      </c>
      <c r="P887" t="s">
        <v>170</v>
      </c>
      <c r="Q887" t="s">
        <v>50</v>
      </c>
      <c r="R887">
        <v>59800</v>
      </c>
      <c r="S887">
        <v>0</v>
      </c>
      <c r="T887" s="1">
        <v>42062</v>
      </c>
      <c r="U887" t="s">
        <v>80</v>
      </c>
      <c r="V887" t="s">
        <v>81</v>
      </c>
      <c r="W887" t="s">
        <v>112</v>
      </c>
      <c r="X887" t="s">
        <v>54</v>
      </c>
      <c r="Y887" t="s">
        <v>126</v>
      </c>
      <c r="Z887" t="s">
        <v>56</v>
      </c>
      <c r="AA887" t="s">
        <v>1069</v>
      </c>
      <c r="AB887">
        <v>19</v>
      </c>
      <c r="AC887" t="str">
        <f t="shared" si="40"/>
        <v>Evening</v>
      </c>
      <c r="AD887">
        <v>3</v>
      </c>
      <c r="AE887" t="s">
        <v>58</v>
      </c>
      <c r="AF887">
        <v>0</v>
      </c>
      <c r="AG887">
        <v>0</v>
      </c>
      <c r="AH887" t="s">
        <v>67</v>
      </c>
      <c r="AI887">
        <v>79680</v>
      </c>
      <c r="AJ887">
        <v>13280</v>
      </c>
      <c r="AK887">
        <v>13280</v>
      </c>
      <c r="AL887">
        <v>53120</v>
      </c>
      <c r="AM887" t="s">
        <v>192</v>
      </c>
      <c r="AN887" t="s">
        <v>193</v>
      </c>
      <c r="AO887">
        <v>2015</v>
      </c>
      <c r="AP887">
        <v>2004</v>
      </c>
      <c r="AQ887">
        <f t="shared" si="41"/>
        <v>11</v>
      </c>
      <c r="AR887" t="s">
        <v>87</v>
      </c>
    </row>
    <row r="888" spans="1:44" x14ac:dyDescent="0.25">
      <c r="A888">
        <v>141</v>
      </c>
      <c r="B888" t="str">
        <f t="shared" si="39"/>
        <v>10+ years</v>
      </c>
      <c r="C888">
        <v>30</v>
      </c>
      <c r="D888" t="str" cm="1">
        <f t="array" ref="D888">_xlfn.IFS(C888&lt;26, "19-25", C888&lt;33, "26-32", C888&lt;40, "33-39", C888&lt;47, "40-46",C888&lt;54, "47-53", TRUE, "54+")</f>
        <v>26-32</v>
      </c>
      <c r="E888">
        <v>556538</v>
      </c>
      <c r="F888" s="1">
        <v>36722</v>
      </c>
      <c r="G888" t="s">
        <v>88</v>
      </c>
      <c r="H888" t="s">
        <v>45</v>
      </c>
      <c r="I888">
        <v>1000</v>
      </c>
      <c r="J888">
        <v>1851.78</v>
      </c>
      <c r="K888">
        <v>0</v>
      </c>
      <c r="L888">
        <v>465248</v>
      </c>
      <c r="M888" t="s">
        <v>75</v>
      </c>
      <c r="N888" t="s">
        <v>136</v>
      </c>
      <c r="O888" t="s">
        <v>48</v>
      </c>
      <c r="P888" t="s">
        <v>269</v>
      </c>
      <c r="Q888" t="s">
        <v>65</v>
      </c>
      <c r="R888">
        <v>78800</v>
      </c>
      <c r="S888">
        <v>0</v>
      </c>
      <c r="T888" s="1">
        <v>42044</v>
      </c>
      <c r="U888" t="s">
        <v>51</v>
      </c>
      <c r="V888" t="s">
        <v>91</v>
      </c>
      <c r="W888" t="s">
        <v>112</v>
      </c>
      <c r="X888" t="s">
        <v>104</v>
      </c>
      <c r="Y888" t="s">
        <v>55</v>
      </c>
      <c r="Z888" t="s">
        <v>70</v>
      </c>
      <c r="AA888" t="s">
        <v>1070</v>
      </c>
      <c r="AB888">
        <v>13</v>
      </c>
      <c r="AC888" t="str">
        <f t="shared" si="40"/>
        <v>Afternoon</v>
      </c>
      <c r="AD888">
        <v>1</v>
      </c>
      <c r="AE888" t="s">
        <v>84</v>
      </c>
      <c r="AF888">
        <v>1</v>
      </c>
      <c r="AG888">
        <v>0</v>
      </c>
      <c r="AH888" t="s">
        <v>58</v>
      </c>
      <c r="AI888">
        <v>61740</v>
      </c>
      <c r="AJ888">
        <v>6860</v>
      </c>
      <c r="AK888">
        <v>6860</v>
      </c>
      <c r="AL888">
        <v>48020</v>
      </c>
      <c r="AM888" t="s">
        <v>114</v>
      </c>
      <c r="AN888" t="s">
        <v>139</v>
      </c>
      <c r="AO888">
        <v>2015</v>
      </c>
      <c r="AP888">
        <v>2002</v>
      </c>
      <c r="AQ888">
        <f t="shared" si="41"/>
        <v>13</v>
      </c>
      <c r="AR888" t="s">
        <v>87</v>
      </c>
    </row>
    <row r="889" spans="1:44" x14ac:dyDescent="0.25">
      <c r="A889">
        <v>441</v>
      </c>
      <c r="B889" t="str">
        <f t="shared" si="39"/>
        <v>10+ years</v>
      </c>
      <c r="C889">
        <v>55</v>
      </c>
      <c r="D889" t="str" cm="1">
        <f t="array" ref="D889">_xlfn.IFS(C889&lt;26, "19-25", C889&lt;33, "26-32", C889&lt;40, "33-39", C889&lt;47, "40-46",C889&lt;54, "47-53", TRUE, "54+")</f>
        <v>54+</v>
      </c>
      <c r="E889">
        <v>669501</v>
      </c>
      <c r="F889" s="1">
        <v>40023</v>
      </c>
      <c r="G889" t="s">
        <v>62</v>
      </c>
      <c r="H889" t="s">
        <v>45</v>
      </c>
      <c r="I889">
        <v>500</v>
      </c>
      <c r="J889">
        <v>1270.29</v>
      </c>
      <c r="K889">
        <v>4000000</v>
      </c>
      <c r="L889">
        <v>449421</v>
      </c>
      <c r="M889" t="s">
        <v>46</v>
      </c>
      <c r="N889" t="s">
        <v>146</v>
      </c>
      <c r="O889" t="s">
        <v>89</v>
      </c>
      <c r="P889" t="s">
        <v>269</v>
      </c>
      <c r="Q889" t="s">
        <v>50</v>
      </c>
      <c r="R889">
        <v>24000</v>
      </c>
      <c r="S889">
        <v>-50500</v>
      </c>
      <c r="T889" s="1">
        <v>42054</v>
      </c>
      <c r="U889" t="s">
        <v>143</v>
      </c>
      <c r="V889" t="s">
        <v>67</v>
      </c>
      <c r="W889" t="s">
        <v>68</v>
      </c>
      <c r="X889" t="s">
        <v>98</v>
      </c>
      <c r="Y889" t="s">
        <v>69</v>
      </c>
      <c r="Z889" t="s">
        <v>92</v>
      </c>
      <c r="AA889" t="s">
        <v>1071</v>
      </c>
      <c r="AB889">
        <v>4</v>
      </c>
      <c r="AC889" t="str">
        <f t="shared" si="40"/>
        <v>Night</v>
      </c>
      <c r="AD889">
        <v>1</v>
      </c>
      <c r="AE889" t="s">
        <v>84</v>
      </c>
      <c r="AF889">
        <v>0</v>
      </c>
      <c r="AG889">
        <v>0</v>
      </c>
      <c r="AH889" t="s">
        <v>84</v>
      </c>
      <c r="AI889">
        <v>6400</v>
      </c>
      <c r="AJ889">
        <v>640</v>
      </c>
      <c r="AK889">
        <v>640</v>
      </c>
      <c r="AL889">
        <v>5120</v>
      </c>
      <c r="AM889" t="s">
        <v>214</v>
      </c>
      <c r="AN889" t="s">
        <v>215</v>
      </c>
      <c r="AO889">
        <v>2015</v>
      </c>
      <c r="AP889">
        <v>2002</v>
      </c>
      <c r="AQ889">
        <f t="shared" si="41"/>
        <v>13</v>
      </c>
      <c r="AR889" t="s">
        <v>87</v>
      </c>
    </row>
    <row r="890" spans="1:44" x14ac:dyDescent="0.25">
      <c r="A890">
        <v>381</v>
      </c>
      <c r="B890" t="str">
        <f t="shared" si="39"/>
        <v>10+ years</v>
      </c>
      <c r="C890">
        <v>55</v>
      </c>
      <c r="D890" t="str" cm="1">
        <f t="array" ref="D890">_xlfn.IFS(C890&lt;26, "19-25", C890&lt;33, "26-32", C890&lt;40, "33-39", C890&lt;47, "40-46",C890&lt;54, "47-53", TRUE, "54+")</f>
        <v>54+</v>
      </c>
      <c r="E890">
        <v>963761</v>
      </c>
      <c r="F890" s="1">
        <v>33341</v>
      </c>
      <c r="G890" t="s">
        <v>44</v>
      </c>
      <c r="H890" t="s">
        <v>96</v>
      </c>
      <c r="I890">
        <v>500</v>
      </c>
      <c r="J890">
        <v>1459.99</v>
      </c>
      <c r="K890">
        <v>0</v>
      </c>
      <c r="L890">
        <v>445856</v>
      </c>
      <c r="M890" t="s">
        <v>75</v>
      </c>
      <c r="N890" t="s">
        <v>47</v>
      </c>
      <c r="O890" t="s">
        <v>116</v>
      </c>
      <c r="P890" t="s">
        <v>173</v>
      </c>
      <c r="Q890" t="s">
        <v>124</v>
      </c>
      <c r="R890">
        <v>35900</v>
      </c>
      <c r="S890">
        <v>0</v>
      </c>
      <c r="T890" s="1">
        <v>42016</v>
      </c>
      <c r="U890" t="s">
        <v>51</v>
      </c>
      <c r="V890" t="s">
        <v>81</v>
      </c>
      <c r="W890" t="s">
        <v>53</v>
      </c>
      <c r="X890" t="s">
        <v>104</v>
      </c>
      <c r="Y890" t="s">
        <v>55</v>
      </c>
      <c r="Z890" t="s">
        <v>161</v>
      </c>
      <c r="AA890" t="s">
        <v>1072</v>
      </c>
      <c r="AB890">
        <v>8</v>
      </c>
      <c r="AC890" t="str">
        <f t="shared" si="40"/>
        <v>Morning</v>
      </c>
      <c r="AD890">
        <v>1</v>
      </c>
      <c r="AE890" t="s">
        <v>58</v>
      </c>
      <c r="AF890">
        <v>1</v>
      </c>
      <c r="AG890">
        <v>2</v>
      </c>
      <c r="AH890" t="s">
        <v>58</v>
      </c>
      <c r="AI890">
        <v>60600</v>
      </c>
      <c r="AJ890">
        <v>12120</v>
      </c>
      <c r="AK890">
        <v>6060</v>
      </c>
      <c r="AL890">
        <v>42420</v>
      </c>
      <c r="AM890" t="s">
        <v>100</v>
      </c>
      <c r="AN890" t="s">
        <v>163</v>
      </c>
      <c r="AO890">
        <v>2015</v>
      </c>
      <c r="AP890">
        <v>2011</v>
      </c>
      <c r="AQ890">
        <f t="shared" si="41"/>
        <v>4</v>
      </c>
      <c r="AR890" t="s">
        <v>87</v>
      </c>
    </row>
    <row r="891" spans="1:44" x14ac:dyDescent="0.25">
      <c r="A891">
        <v>191</v>
      </c>
      <c r="B891" t="str">
        <f t="shared" si="39"/>
        <v>10+ years</v>
      </c>
      <c r="C891">
        <v>38</v>
      </c>
      <c r="D891" t="str" cm="1">
        <f t="array" ref="D891">_xlfn.IFS(C891&lt;26, "19-25", C891&lt;33, "26-32", C891&lt;40, "33-39", C891&lt;47, "40-46",C891&lt;54, "47-53", TRUE, "54+")</f>
        <v>33-39</v>
      </c>
      <c r="E891">
        <v>753005</v>
      </c>
      <c r="F891" s="1">
        <v>38676</v>
      </c>
      <c r="G891" t="s">
        <v>88</v>
      </c>
      <c r="H891" t="s">
        <v>74</v>
      </c>
      <c r="I891">
        <v>2000</v>
      </c>
      <c r="J891">
        <v>1253.44</v>
      </c>
      <c r="K891">
        <v>0</v>
      </c>
      <c r="L891">
        <v>608525</v>
      </c>
      <c r="M891" t="s">
        <v>75</v>
      </c>
      <c r="N891" t="s">
        <v>129</v>
      </c>
      <c r="O891" t="s">
        <v>48</v>
      </c>
      <c r="P891" t="s">
        <v>49</v>
      </c>
      <c r="Q891" t="s">
        <v>147</v>
      </c>
      <c r="R891">
        <v>0</v>
      </c>
      <c r="S891">
        <v>0</v>
      </c>
      <c r="T891" s="1">
        <v>42042</v>
      </c>
      <c r="U891" t="s">
        <v>80</v>
      </c>
      <c r="V891" t="s">
        <v>52</v>
      </c>
      <c r="W891" t="s">
        <v>53</v>
      </c>
      <c r="X891" t="s">
        <v>141</v>
      </c>
      <c r="Y891" t="s">
        <v>69</v>
      </c>
      <c r="Z891" t="s">
        <v>127</v>
      </c>
      <c r="AA891" t="s">
        <v>1073</v>
      </c>
      <c r="AB891">
        <v>19</v>
      </c>
      <c r="AC891" t="str">
        <f t="shared" si="40"/>
        <v>Evening</v>
      </c>
      <c r="AD891">
        <v>3</v>
      </c>
      <c r="AE891" t="s">
        <v>84</v>
      </c>
      <c r="AF891">
        <v>2</v>
      </c>
      <c r="AG891">
        <v>0</v>
      </c>
      <c r="AH891" t="s">
        <v>84</v>
      </c>
      <c r="AI891">
        <v>56320</v>
      </c>
      <c r="AJ891">
        <v>10240</v>
      </c>
      <c r="AK891">
        <v>5120</v>
      </c>
      <c r="AL891">
        <v>40960</v>
      </c>
      <c r="AM891" t="s">
        <v>219</v>
      </c>
      <c r="AN891" t="s">
        <v>263</v>
      </c>
      <c r="AO891">
        <v>2015</v>
      </c>
      <c r="AP891">
        <v>2007</v>
      </c>
      <c r="AQ891">
        <f t="shared" si="41"/>
        <v>8</v>
      </c>
      <c r="AR891" t="s">
        <v>87</v>
      </c>
    </row>
    <row r="892" spans="1:44" x14ac:dyDescent="0.25">
      <c r="A892">
        <v>145</v>
      </c>
      <c r="B892" t="str">
        <f t="shared" si="39"/>
        <v>10+ years</v>
      </c>
      <c r="C892">
        <v>34</v>
      </c>
      <c r="D892" t="str" cm="1">
        <f t="array" ref="D892">_xlfn.IFS(C892&lt;26, "19-25", C892&lt;33, "26-32", C892&lt;40, "33-39", C892&lt;47, "40-46",C892&lt;54, "47-53", TRUE, "54+")</f>
        <v>33-39</v>
      </c>
      <c r="E892">
        <v>454758</v>
      </c>
      <c r="F892" s="1">
        <v>33013</v>
      </c>
      <c r="G892" t="s">
        <v>62</v>
      </c>
      <c r="H892" t="s">
        <v>74</v>
      </c>
      <c r="I892">
        <v>1000</v>
      </c>
      <c r="J892">
        <v>1142.48</v>
      </c>
      <c r="K892">
        <v>0</v>
      </c>
      <c r="L892">
        <v>608813</v>
      </c>
      <c r="M892" t="s">
        <v>75</v>
      </c>
      <c r="N892" t="s">
        <v>166</v>
      </c>
      <c r="O892" t="s">
        <v>122</v>
      </c>
      <c r="P892" t="s">
        <v>49</v>
      </c>
      <c r="Q892" t="s">
        <v>65</v>
      </c>
      <c r="R892">
        <v>0</v>
      </c>
      <c r="S892">
        <v>0</v>
      </c>
      <c r="T892" s="1">
        <v>42017</v>
      </c>
      <c r="U892" t="s">
        <v>51</v>
      </c>
      <c r="V892" t="s">
        <v>52</v>
      </c>
      <c r="W892" t="s">
        <v>112</v>
      </c>
      <c r="X892" t="s">
        <v>141</v>
      </c>
      <c r="Y892" t="s">
        <v>126</v>
      </c>
      <c r="Z892" t="s">
        <v>132</v>
      </c>
      <c r="AA892" t="s">
        <v>1074</v>
      </c>
      <c r="AB892">
        <v>18</v>
      </c>
      <c r="AC892" t="str">
        <f t="shared" si="40"/>
        <v>Evening</v>
      </c>
      <c r="AD892">
        <v>1</v>
      </c>
      <c r="AE892" t="s">
        <v>58</v>
      </c>
      <c r="AF892">
        <v>2</v>
      </c>
      <c r="AG892">
        <v>0</v>
      </c>
      <c r="AH892" t="s">
        <v>84</v>
      </c>
      <c r="AI892">
        <v>52250</v>
      </c>
      <c r="AJ892">
        <v>9500</v>
      </c>
      <c r="AK892">
        <v>4750</v>
      </c>
      <c r="AL892">
        <v>38000</v>
      </c>
      <c r="AM892" t="s">
        <v>158</v>
      </c>
      <c r="AN892" t="s">
        <v>159</v>
      </c>
      <c r="AO892">
        <v>2015</v>
      </c>
      <c r="AP892">
        <v>2012</v>
      </c>
      <c r="AQ892">
        <f t="shared" si="41"/>
        <v>3</v>
      </c>
      <c r="AR892" t="s">
        <v>87</v>
      </c>
    </row>
    <row r="893" spans="1:44" x14ac:dyDescent="0.25">
      <c r="A893">
        <v>479</v>
      </c>
      <c r="B893" t="str">
        <f t="shared" si="39"/>
        <v>10+ years</v>
      </c>
      <c r="C893">
        <v>60</v>
      </c>
      <c r="D893" t="str" cm="1">
        <f t="array" ref="D893">_xlfn.IFS(C893&lt;26, "19-25", C893&lt;33, "26-32", C893&lt;40, "33-39", C893&lt;47, "40-46",C893&lt;54, "47-53", TRUE, "54+")</f>
        <v>54+</v>
      </c>
      <c r="E893">
        <v>698589</v>
      </c>
      <c r="F893" s="1">
        <v>37588</v>
      </c>
      <c r="G893" t="s">
        <v>88</v>
      </c>
      <c r="H893" t="s">
        <v>96</v>
      </c>
      <c r="I893">
        <v>1000</v>
      </c>
      <c r="J893">
        <v>1188.45</v>
      </c>
      <c r="K893">
        <v>0</v>
      </c>
      <c r="L893">
        <v>459295</v>
      </c>
      <c r="M893" t="s">
        <v>75</v>
      </c>
      <c r="N893" t="s">
        <v>47</v>
      </c>
      <c r="O893" t="s">
        <v>130</v>
      </c>
      <c r="P893" t="s">
        <v>123</v>
      </c>
      <c r="Q893" t="s">
        <v>65</v>
      </c>
      <c r="R893">
        <v>0</v>
      </c>
      <c r="S893">
        <v>-44800</v>
      </c>
      <c r="T893" s="1">
        <v>42022</v>
      </c>
      <c r="U893" t="s">
        <v>80</v>
      </c>
      <c r="V893" t="s">
        <v>81</v>
      </c>
      <c r="W893" t="s">
        <v>112</v>
      </c>
      <c r="X893" t="s">
        <v>125</v>
      </c>
      <c r="Y893" t="s">
        <v>55</v>
      </c>
      <c r="Z893" t="s">
        <v>92</v>
      </c>
      <c r="AA893" t="s">
        <v>1075</v>
      </c>
      <c r="AB893">
        <v>9</v>
      </c>
      <c r="AC893" t="str">
        <f t="shared" si="40"/>
        <v>Morning</v>
      </c>
      <c r="AD893">
        <v>2</v>
      </c>
      <c r="AE893" t="s">
        <v>67</v>
      </c>
      <c r="AF893">
        <v>0</v>
      </c>
      <c r="AG893">
        <v>3</v>
      </c>
      <c r="AH893" t="s">
        <v>67</v>
      </c>
      <c r="AI893">
        <v>53900</v>
      </c>
      <c r="AJ893">
        <v>5390</v>
      </c>
      <c r="AK893">
        <v>10780</v>
      </c>
      <c r="AL893">
        <v>37730</v>
      </c>
      <c r="AM893" t="s">
        <v>59</v>
      </c>
      <c r="AN893">
        <v>95</v>
      </c>
      <c r="AO893">
        <v>2015</v>
      </c>
      <c r="AP893">
        <v>2006</v>
      </c>
      <c r="AQ893">
        <f t="shared" si="41"/>
        <v>9</v>
      </c>
      <c r="AR893" t="s">
        <v>87</v>
      </c>
    </row>
    <row r="894" spans="1:44" x14ac:dyDescent="0.25">
      <c r="A894">
        <v>215</v>
      </c>
      <c r="B894" t="str">
        <f t="shared" si="39"/>
        <v>10+ years</v>
      </c>
      <c r="C894">
        <v>35</v>
      </c>
      <c r="D894" t="str" cm="1">
        <f t="array" ref="D894">_xlfn.IFS(C894&lt;26, "19-25", C894&lt;33, "26-32", C894&lt;40, "33-39", C894&lt;47, "40-46",C894&lt;54, "47-53", TRUE, "54+")</f>
        <v>33-39</v>
      </c>
      <c r="E894">
        <v>330119</v>
      </c>
      <c r="F894" s="1">
        <v>38153</v>
      </c>
      <c r="G894" t="s">
        <v>88</v>
      </c>
      <c r="H894" t="s">
        <v>96</v>
      </c>
      <c r="I894">
        <v>1000</v>
      </c>
      <c r="J894">
        <v>1125.4000000000001</v>
      </c>
      <c r="K894">
        <v>0</v>
      </c>
      <c r="L894">
        <v>606144</v>
      </c>
      <c r="M894" t="s">
        <v>46</v>
      </c>
      <c r="N894" t="s">
        <v>129</v>
      </c>
      <c r="O894" t="s">
        <v>190</v>
      </c>
      <c r="P894" t="s">
        <v>160</v>
      </c>
      <c r="Q894" t="s">
        <v>50</v>
      </c>
      <c r="R894">
        <v>40000</v>
      </c>
      <c r="S894">
        <v>-43400</v>
      </c>
      <c r="T894" s="1">
        <v>42019</v>
      </c>
      <c r="U894" t="s">
        <v>66</v>
      </c>
      <c r="V894" t="s">
        <v>67</v>
      </c>
      <c r="W894" t="s">
        <v>217</v>
      </c>
      <c r="X894" t="s">
        <v>98</v>
      </c>
      <c r="Y894" t="s">
        <v>118</v>
      </c>
      <c r="Z894" t="s">
        <v>56</v>
      </c>
      <c r="AA894" t="s">
        <v>1076</v>
      </c>
      <c r="AB894">
        <v>6</v>
      </c>
      <c r="AC894" t="str">
        <f t="shared" si="40"/>
        <v>Morning</v>
      </c>
      <c r="AD894">
        <v>1</v>
      </c>
      <c r="AE894" t="s">
        <v>67</v>
      </c>
      <c r="AF894">
        <v>2</v>
      </c>
      <c r="AG894">
        <v>1</v>
      </c>
      <c r="AH894" t="s">
        <v>84</v>
      </c>
      <c r="AI894">
        <v>2640</v>
      </c>
      <c r="AJ894">
        <v>220</v>
      </c>
      <c r="AK894">
        <v>440</v>
      </c>
      <c r="AL894">
        <v>1980</v>
      </c>
      <c r="AM894" t="s">
        <v>202</v>
      </c>
      <c r="AN894" t="s">
        <v>203</v>
      </c>
      <c r="AO894">
        <v>2015</v>
      </c>
      <c r="AP894">
        <v>2001</v>
      </c>
      <c r="AQ894">
        <f t="shared" si="41"/>
        <v>14</v>
      </c>
      <c r="AR894" t="s">
        <v>87</v>
      </c>
    </row>
    <row r="895" spans="1:44" x14ac:dyDescent="0.25">
      <c r="A895">
        <v>41</v>
      </c>
      <c r="B895" t="str">
        <f t="shared" si="39"/>
        <v>2-5 years</v>
      </c>
      <c r="C895">
        <v>33</v>
      </c>
      <c r="D895" t="str" cm="1">
        <f t="array" ref="D895">_xlfn.IFS(C895&lt;26, "19-25", C895&lt;33, "26-32", C895&lt;40, "33-39", C895&lt;47, "40-46",C895&lt;54, "47-53", TRUE, "54+")</f>
        <v>33-39</v>
      </c>
      <c r="E895">
        <v>164464</v>
      </c>
      <c r="F895" s="1">
        <v>40447</v>
      </c>
      <c r="G895" t="s">
        <v>44</v>
      </c>
      <c r="H895" t="s">
        <v>45</v>
      </c>
      <c r="I895">
        <v>500</v>
      </c>
      <c r="J895">
        <v>1294.4100000000001</v>
      </c>
      <c r="K895">
        <v>0</v>
      </c>
      <c r="L895">
        <v>476315</v>
      </c>
      <c r="M895" t="s">
        <v>46</v>
      </c>
      <c r="N895" t="s">
        <v>136</v>
      </c>
      <c r="O895" t="s">
        <v>150</v>
      </c>
      <c r="P895" t="s">
        <v>49</v>
      </c>
      <c r="Q895" t="s">
        <v>50</v>
      </c>
      <c r="R895">
        <v>0</v>
      </c>
      <c r="S895">
        <v>0</v>
      </c>
      <c r="T895" s="1">
        <v>42058</v>
      </c>
      <c r="U895" t="s">
        <v>66</v>
      </c>
      <c r="V895" t="s">
        <v>67</v>
      </c>
      <c r="W895" t="s">
        <v>68</v>
      </c>
      <c r="X895" t="s">
        <v>98</v>
      </c>
      <c r="Y895" t="s">
        <v>126</v>
      </c>
      <c r="Z895" t="s">
        <v>92</v>
      </c>
      <c r="AA895" t="s">
        <v>1077</v>
      </c>
      <c r="AB895">
        <v>8</v>
      </c>
      <c r="AC895" t="str">
        <f t="shared" si="40"/>
        <v>Morning</v>
      </c>
      <c r="AD895">
        <v>1</v>
      </c>
      <c r="AE895" t="s">
        <v>58</v>
      </c>
      <c r="AF895">
        <v>0</v>
      </c>
      <c r="AG895">
        <v>0</v>
      </c>
      <c r="AH895" t="s">
        <v>67</v>
      </c>
      <c r="AI895">
        <v>8970</v>
      </c>
      <c r="AJ895">
        <v>1380</v>
      </c>
      <c r="AK895">
        <v>1380</v>
      </c>
      <c r="AL895">
        <v>6210</v>
      </c>
      <c r="AM895" t="s">
        <v>85</v>
      </c>
      <c r="AN895" t="s">
        <v>149</v>
      </c>
      <c r="AO895">
        <v>2015</v>
      </c>
      <c r="AP895">
        <v>2011</v>
      </c>
      <c r="AQ895">
        <f t="shared" si="41"/>
        <v>4</v>
      </c>
      <c r="AR895" t="s">
        <v>87</v>
      </c>
    </row>
    <row r="896" spans="1:44" x14ac:dyDescent="0.25">
      <c r="A896">
        <v>45</v>
      </c>
      <c r="B896" t="str">
        <f t="shared" si="39"/>
        <v>2-5 years</v>
      </c>
      <c r="C896">
        <v>31</v>
      </c>
      <c r="D896" t="str" cm="1">
        <f t="array" ref="D896">_xlfn.IFS(C896&lt;26, "19-25", C896&lt;33, "26-32", C896&lt;40, "33-39", C896&lt;47, "40-46",C896&lt;54, "47-53", TRUE, "54+")</f>
        <v>26-32</v>
      </c>
      <c r="E896">
        <v>927354</v>
      </c>
      <c r="F896" s="1">
        <v>33131</v>
      </c>
      <c r="G896" t="s">
        <v>62</v>
      </c>
      <c r="H896" t="s">
        <v>74</v>
      </c>
      <c r="I896">
        <v>500</v>
      </c>
      <c r="J896">
        <v>1459.5</v>
      </c>
      <c r="K896">
        <v>0</v>
      </c>
      <c r="L896">
        <v>475891</v>
      </c>
      <c r="M896" t="s">
        <v>46</v>
      </c>
      <c r="N896" t="s">
        <v>47</v>
      </c>
      <c r="O896" t="s">
        <v>122</v>
      </c>
      <c r="P896" t="s">
        <v>151</v>
      </c>
      <c r="Q896" t="s">
        <v>147</v>
      </c>
      <c r="R896">
        <v>0</v>
      </c>
      <c r="S896">
        <v>0</v>
      </c>
      <c r="T896" s="1">
        <v>42052</v>
      </c>
      <c r="U896" t="s">
        <v>143</v>
      </c>
      <c r="V896" t="s">
        <v>67</v>
      </c>
      <c r="W896" t="s">
        <v>68</v>
      </c>
      <c r="X896" t="s">
        <v>98</v>
      </c>
      <c r="Y896" t="s">
        <v>82</v>
      </c>
      <c r="Z896" t="s">
        <v>107</v>
      </c>
      <c r="AA896" t="s">
        <v>1078</v>
      </c>
      <c r="AB896">
        <v>6</v>
      </c>
      <c r="AC896" t="str">
        <f t="shared" si="40"/>
        <v>Morning</v>
      </c>
      <c r="AD896">
        <v>1</v>
      </c>
      <c r="AE896" t="s">
        <v>67</v>
      </c>
      <c r="AF896">
        <v>1</v>
      </c>
      <c r="AG896">
        <v>3</v>
      </c>
      <c r="AH896" t="s">
        <v>67</v>
      </c>
      <c r="AI896">
        <v>6000</v>
      </c>
      <c r="AJ896">
        <v>1000</v>
      </c>
      <c r="AK896">
        <v>1000</v>
      </c>
      <c r="AL896">
        <v>4000</v>
      </c>
      <c r="AM896" t="s">
        <v>158</v>
      </c>
      <c r="AN896" t="s">
        <v>168</v>
      </c>
      <c r="AO896">
        <v>2015</v>
      </c>
      <c r="AP896">
        <v>2000</v>
      </c>
      <c r="AQ896">
        <f t="shared" si="41"/>
        <v>15</v>
      </c>
      <c r="AR896" t="s">
        <v>87</v>
      </c>
    </row>
    <row r="897" spans="1:44" x14ac:dyDescent="0.25">
      <c r="A897">
        <v>156</v>
      </c>
      <c r="B897" t="str">
        <f t="shared" si="39"/>
        <v>10+ years</v>
      </c>
      <c r="C897">
        <v>38</v>
      </c>
      <c r="D897" t="str" cm="1">
        <f t="array" ref="D897">_xlfn.IFS(C897&lt;26, "19-25", C897&lt;33, "26-32", C897&lt;40, "33-39", C897&lt;47, "40-46",C897&lt;54, "47-53", TRUE, "54+")</f>
        <v>33-39</v>
      </c>
      <c r="E897">
        <v>231508</v>
      </c>
      <c r="F897" s="1">
        <v>40072</v>
      </c>
      <c r="G897" t="s">
        <v>88</v>
      </c>
      <c r="H897" t="s">
        <v>74</v>
      </c>
      <c r="I897">
        <v>500</v>
      </c>
      <c r="J897">
        <v>1367.99</v>
      </c>
      <c r="K897">
        <v>0</v>
      </c>
      <c r="L897">
        <v>462525</v>
      </c>
      <c r="M897" t="s">
        <v>46</v>
      </c>
      <c r="N897" t="s">
        <v>136</v>
      </c>
      <c r="O897" t="s">
        <v>89</v>
      </c>
      <c r="P897" t="s">
        <v>78</v>
      </c>
      <c r="Q897" t="s">
        <v>79</v>
      </c>
      <c r="R897">
        <v>26500</v>
      </c>
      <c r="S897">
        <v>0</v>
      </c>
      <c r="T897" s="1">
        <v>42052</v>
      </c>
      <c r="U897" t="s">
        <v>80</v>
      </c>
      <c r="V897" t="s">
        <v>91</v>
      </c>
      <c r="W897" t="s">
        <v>53</v>
      </c>
      <c r="X897" t="s">
        <v>104</v>
      </c>
      <c r="Y897" t="s">
        <v>118</v>
      </c>
      <c r="Z897" t="s">
        <v>132</v>
      </c>
      <c r="AA897" t="s">
        <v>1079</v>
      </c>
      <c r="AB897">
        <v>23</v>
      </c>
      <c r="AC897" t="str">
        <f t="shared" si="40"/>
        <v>Evening</v>
      </c>
      <c r="AD897">
        <v>3</v>
      </c>
      <c r="AE897" t="s">
        <v>67</v>
      </c>
      <c r="AF897">
        <v>0</v>
      </c>
      <c r="AG897">
        <v>3</v>
      </c>
      <c r="AH897" t="s">
        <v>67</v>
      </c>
      <c r="AI897">
        <v>55200</v>
      </c>
      <c r="AJ897">
        <v>11040</v>
      </c>
      <c r="AK897">
        <v>5520</v>
      </c>
      <c r="AL897">
        <v>38640</v>
      </c>
      <c r="AM897" t="s">
        <v>59</v>
      </c>
      <c r="AN897" t="s">
        <v>60</v>
      </c>
      <c r="AO897">
        <v>2015</v>
      </c>
      <c r="AP897">
        <v>1998</v>
      </c>
      <c r="AQ897">
        <f t="shared" si="41"/>
        <v>17</v>
      </c>
      <c r="AR897" t="s">
        <v>61</v>
      </c>
    </row>
    <row r="898" spans="1:44" x14ac:dyDescent="0.25">
      <c r="A898">
        <v>246</v>
      </c>
      <c r="B898" t="str">
        <f t="shared" si="39"/>
        <v>10+ years</v>
      </c>
      <c r="C898">
        <v>45</v>
      </c>
      <c r="D898" t="str" cm="1">
        <f t="array" ref="D898">_xlfn.IFS(C898&lt;26, "19-25", C898&lt;33, "26-32", C898&lt;40, "33-39", C898&lt;47, "40-46",C898&lt;54, "47-53", TRUE, "54+")</f>
        <v>40-46</v>
      </c>
      <c r="E898">
        <v>272910</v>
      </c>
      <c r="F898" s="1">
        <v>36384</v>
      </c>
      <c r="G898" t="s">
        <v>62</v>
      </c>
      <c r="H898" t="s">
        <v>45</v>
      </c>
      <c r="I898">
        <v>500</v>
      </c>
      <c r="J898">
        <v>1594.37</v>
      </c>
      <c r="K898">
        <v>0</v>
      </c>
      <c r="L898">
        <v>606283</v>
      </c>
      <c r="M898" t="s">
        <v>46</v>
      </c>
      <c r="N898" t="s">
        <v>97</v>
      </c>
      <c r="O898" t="s">
        <v>130</v>
      </c>
      <c r="P898" t="s">
        <v>78</v>
      </c>
      <c r="Q898" t="s">
        <v>79</v>
      </c>
      <c r="R898">
        <v>0</v>
      </c>
      <c r="S898">
        <v>0</v>
      </c>
      <c r="T898" s="1">
        <v>42022</v>
      </c>
      <c r="U898" t="s">
        <v>143</v>
      </c>
      <c r="V898" t="s">
        <v>67</v>
      </c>
      <c r="W898" t="s">
        <v>217</v>
      </c>
      <c r="X898" t="s">
        <v>98</v>
      </c>
      <c r="Y898" t="s">
        <v>55</v>
      </c>
      <c r="Z898" t="s">
        <v>70</v>
      </c>
      <c r="AA898" t="s">
        <v>1080</v>
      </c>
      <c r="AB898">
        <v>13</v>
      </c>
      <c r="AC898" t="str">
        <f t="shared" si="40"/>
        <v>Afternoon</v>
      </c>
      <c r="AD898">
        <v>1</v>
      </c>
      <c r="AE898" t="s">
        <v>84</v>
      </c>
      <c r="AF898">
        <v>0</v>
      </c>
      <c r="AG898">
        <v>3</v>
      </c>
      <c r="AH898" t="s">
        <v>58</v>
      </c>
      <c r="AI898">
        <v>7260</v>
      </c>
      <c r="AJ898">
        <v>660</v>
      </c>
      <c r="AK898">
        <v>1320</v>
      </c>
      <c r="AL898">
        <v>5280</v>
      </c>
      <c r="AM898" t="s">
        <v>59</v>
      </c>
      <c r="AN898" t="s">
        <v>60</v>
      </c>
      <c r="AO898">
        <v>2015</v>
      </c>
      <c r="AP898">
        <v>2008</v>
      </c>
      <c r="AQ898">
        <f t="shared" si="41"/>
        <v>7</v>
      </c>
      <c r="AR898" t="s">
        <v>87</v>
      </c>
    </row>
    <row r="899" spans="1:44" x14ac:dyDescent="0.25">
      <c r="A899">
        <v>178</v>
      </c>
      <c r="B899" t="str">
        <f t="shared" ref="B899:B962" si="42">IF(A899&lt;=24, "0-2 years", IF(A899&lt;=60, "2-5 years", IF(A899&lt;=120, "5-10 years", "10+ years")))</f>
        <v>10+ years</v>
      </c>
      <c r="C899">
        <v>39</v>
      </c>
      <c r="D899" t="str" cm="1">
        <f t="array" ref="D899">_xlfn.IFS(C899&lt;26, "19-25", C899&lt;33, "26-32", C899&lt;40, "33-39", C899&lt;47, "40-46",C899&lt;54, "47-53", TRUE, "54+")</f>
        <v>33-39</v>
      </c>
      <c r="E899">
        <v>305758</v>
      </c>
      <c r="F899" s="1">
        <v>39880</v>
      </c>
      <c r="G899" t="s">
        <v>88</v>
      </c>
      <c r="H899" t="s">
        <v>74</v>
      </c>
      <c r="I899">
        <v>500</v>
      </c>
      <c r="J899">
        <v>1035.99</v>
      </c>
      <c r="K899">
        <v>0</v>
      </c>
      <c r="L899">
        <v>465252</v>
      </c>
      <c r="M899" t="s">
        <v>75</v>
      </c>
      <c r="N899" t="s">
        <v>166</v>
      </c>
      <c r="O899" t="s">
        <v>130</v>
      </c>
      <c r="P899" t="s">
        <v>49</v>
      </c>
      <c r="Q899" t="s">
        <v>79</v>
      </c>
      <c r="R899">
        <v>0</v>
      </c>
      <c r="S899">
        <v>0</v>
      </c>
      <c r="T899" s="1">
        <v>42021</v>
      </c>
      <c r="U899" t="s">
        <v>80</v>
      </c>
      <c r="V899" t="s">
        <v>91</v>
      </c>
      <c r="W899" t="s">
        <v>68</v>
      </c>
      <c r="X899" t="s">
        <v>54</v>
      </c>
      <c r="Y899" t="s">
        <v>82</v>
      </c>
      <c r="Z899" t="s">
        <v>107</v>
      </c>
      <c r="AA899" t="s">
        <v>1081</v>
      </c>
      <c r="AB899">
        <v>3</v>
      </c>
      <c r="AC899" t="str">
        <f t="shared" ref="AC899:AC962" si="43">IF(AB899&lt;6, "Night", IF(AB899&lt;12, "Morning", IF(AB899&lt;18, "Afternoon", "Evening")))</f>
        <v>Night</v>
      </c>
      <c r="AD899">
        <v>3</v>
      </c>
      <c r="AE899" t="s">
        <v>84</v>
      </c>
      <c r="AF899">
        <v>2</v>
      </c>
      <c r="AG899">
        <v>0</v>
      </c>
      <c r="AH899" t="s">
        <v>67</v>
      </c>
      <c r="AI899">
        <v>64680</v>
      </c>
      <c r="AJ899">
        <v>11760</v>
      </c>
      <c r="AK899">
        <v>11760</v>
      </c>
      <c r="AL899">
        <v>41160</v>
      </c>
      <c r="AM899" t="s">
        <v>202</v>
      </c>
      <c r="AN899" t="s">
        <v>203</v>
      </c>
      <c r="AO899">
        <v>2015</v>
      </c>
      <c r="AP899">
        <v>2010</v>
      </c>
      <c r="AQ899">
        <f t="shared" ref="AQ899:AQ962" si="44">AO899-AP899</f>
        <v>5</v>
      </c>
      <c r="AR899" t="s">
        <v>87</v>
      </c>
    </row>
    <row r="900" spans="1:44" x14ac:dyDescent="0.25">
      <c r="A900">
        <v>237</v>
      </c>
      <c r="B900" t="str">
        <f t="shared" si="42"/>
        <v>10+ years</v>
      </c>
      <c r="C900">
        <v>43</v>
      </c>
      <c r="D900" t="str" cm="1">
        <f t="array" ref="D900">_xlfn.IFS(C900&lt;26, "19-25", C900&lt;33, "26-32", C900&lt;40, "33-39", C900&lt;47, "40-46",C900&lt;54, "47-53", TRUE, "54+")</f>
        <v>40-46</v>
      </c>
      <c r="E900">
        <v>950542</v>
      </c>
      <c r="F900" s="1">
        <v>39930</v>
      </c>
      <c r="G900" t="s">
        <v>44</v>
      </c>
      <c r="H900" t="s">
        <v>45</v>
      </c>
      <c r="I900">
        <v>500</v>
      </c>
      <c r="J900">
        <v>911.53</v>
      </c>
      <c r="K900">
        <v>0</v>
      </c>
      <c r="L900">
        <v>449979</v>
      </c>
      <c r="M900" t="s">
        <v>75</v>
      </c>
      <c r="N900" t="s">
        <v>76</v>
      </c>
      <c r="O900" t="s">
        <v>77</v>
      </c>
      <c r="P900" t="s">
        <v>184</v>
      </c>
      <c r="Q900" t="s">
        <v>50</v>
      </c>
      <c r="R900">
        <v>53200</v>
      </c>
      <c r="S900">
        <v>0</v>
      </c>
      <c r="T900" s="1">
        <v>42060</v>
      </c>
      <c r="U900" t="s">
        <v>51</v>
      </c>
      <c r="V900" t="s">
        <v>81</v>
      </c>
      <c r="W900" t="s">
        <v>53</v>
      </c>
      <c r="X900" t="s">
        <v>54</v>
      </c>
      <c r="Y900" t="s">
        <v>118</v>
      </c>
      <c r="Z900" t="s">
        <v>161</v>
      </c>
      <c r="AA900" t="s">
        <v>1082</v>
      </c>
      <c r="AB900">
        <v>23</v>
      </c>
      <c r="AC900" t="str">
        <f t="shared" si="43"/>
        <v>Evening</v>
      </c>
      <c r="AD900">
        <v>1</v>
      </c>
      <c r="AE900" t="s">
        <v>84</v>
      </c>
      <c r="AF900">
        <v>0</v>
      </c>
      <c r="AG900">
        <v>1</v>
      </c>
      <c r="AH900" t="s">
        <v>84</v>
      </c>
      <c r="AI900">
        <v>59200</v>
      </c>
      <c r="AJ900">
        <v>0</v>
      </c>
      <c r="AK900">
        <v>11840</v>
      </c>
      <c r="AL900">
        <v>47360</v>
      </c>
      <c r="AM900" t="s">
        <v>94</v>
      </c>
      <c r="AN900" t="s">
        <v>250</v>
      </c>
      <c r="AO900">
        <v>2015</v>
      </c>
      <c r="AP900">
        <v>1998</v>
      </c>
      <c r="AQ900">
        <f t="shared" si="44"/>
        <v>17</v>
      </c>
      <c r="AR900" t="s">
        <v>87</v>
      </c>
    </row>
    <row r="901" spans="1:44" x14ac:dyDescent="0.25">
      <c r="A901">
        <v>127</v>
      </c>
      <c r="B901" t="str">
        <f t="shared" si="42"/>
        <v>10+ years</v>
      </c>
      <c r="C901">
        <v>34</v>
      </c>
      <c r="D901" t="str" cm="1">
        <f t="array" ref="D901">_xlfn.IFS(C901&lt;26, "19-25", C901&lt;33, "26-32", C901&lt;40, "33-39", C901&lt;47, "40-46",C901&lt;54, "47-53", TRUE, "54+")</f>
        <v>33-39</v>
      </c>
      <c r="E901">
        <v>291544</v>
      </c>
      <c r="F901" s="1">
        <v>38931</v>
      </c>
      <c r="G901" t="s">
        <v>44</v>
      </c>
      <c r="H901" t="s">
        <v>96</v>
      </c>
      <c r="I901">
        <v>500</v>
      </c>
      <c r="J901">
        <v>1319.97</v>
      </c>
      <c r="K901">
        <v>0</v>
      </c>
      <c r="L901">
        <v>604681</v>
      </c>
      <c r="M901" t="s">
        <v>75</v>
      </c>
      <c r="N901" t="s">
        <v>97</v>
      </c>
      <c r="O901" t="s">
        <v>48</v>
      </c>
      <c r="P901" t="s">
        <v>170</v>
      </c>
      <c r="Q901" t="s">
        <v>79</v>
      </c>
      <c r="R901">
        <v>73700</v>
      </c>
      <c r="S901">
        <v>0</v>
      </c>
      <c r="T901" s="1">
        <v>42010</v>
      </c>
      <c r="U901" t="s">
        <v>66</v>
      </c>
      <c r="V901" t="s">
        <v>67</v>
      </c>
      <c r="W901" t="s">
        <v>68</v>
      </c>
      <c r="X901" t="s">
        <v>98</v>
      </c>
      <c r="Y901" t="s">
        <v>126</v>
      </c>
      <c r="Z901" t="s">
        <v>92</v>
      </c>
      <c r="AA901" t="s">
        <v>1083</v>
      </c>
      <c r="AB901">
        <v>8</v>
      </c>
      <c r="AC901" t="str">
        <f t="shared" si="43"/>
        <v>Morning</v>
      </c>
      <c r="AD901">
        <v>1</v>
      </c>
      <c r="AE901" t="s">
        <v>58</v>
      </c>
      <c r="AF901">
        <v>1</v>
      </c>
      <c r="AG901">
        <v>3</v>
      </c>
      <c r="AH901" t="s">
        <v>67</v>
      </c>
      <c r="AI901">
        <v>4700</v>
      </c>
      <c r="AJ901">
        <v>470</v>
      </c>
      <c r="AK901">
        <v>940</v>
      </c>
      <c r="AL901">
        <v>3290</v>
      </c>
      <c r="AM901" t="s">
        <v>59</v>
      </c>
      <c r="AN901" t="s">
        <v>60</v>
      </c>
      <c r="AO901">
        <v>2015</v>
      </c>
      <c r="AP901">
        <v>1998</v>
      </c>
      <c r="AQ901">
        <f t="shared" si="44"/>
        <v>17</v>
      </c>
      <c r="AR901" t="s">
        <v>87</v>
      </c>
    </row>
    <row r="902" spans="1:44" x14ac:dyDescent="0.25">
      <c r="A902">
        <v>1</v>
      </c>
      <c r="B902" t="str">
        <f t="shared" si="42"/>
        <v>0-2 years</v>
      </c>
      <c r="C902">
        <v>33</v>
      </c>
      <c r="D902" t="str" cm="1">
        <f t="array" ref="D902">_xlfn.IFS(C902&lt;26, "19-25", C902&lt;33, "26-32", C902&lt;40, "33-39", C902&lt;47, "40-46",C902&lt;54, "47-53", TRUE, "54+")</f>
        <v>33-39</v>
      </c>
      <c r="E902">
        <v>388616</v>
      </c>
      <c r="F902" s="1">
        <v>35039</v>
      </c>
      <c r="G902" t="s">
        <v>44</v>
      </c>
      <c r="H902" t="s">
        <v>45</v>
      </c>
      <c r="I902">
        <v>2000</v>
      </c>
      <c r="J902">
        <v>1391.63</v>
      </c>
      <c r="K902">
        <v>0</v>
      </c>
      <c r="L902">
        <v>466390</v>
      </c>
      <c r="M902" t="s">
        <v>46</v>
      </c>
      <c r="N902" t="s">
        <v>97</v>
      </c>
      <c r="O902" t="s">
        <v>77</v>
      </c>
      <c r="P902" t="s">
        <v>186</v>
      </c>
      <c r="Q902" t="s">
        <v>50</v>
      </c>
      <c r="R902">
        <v>61200</v>
      </c>
      <c r="S902">
        <v>0</v>
      </c>
      <c r="T902" s="1">
        <v>42061</v>
      </c>
      <c r="U902" t="s">
        <v>51</v>
      </c>
      <c r="V902" t="s">
        <v>52</v>
      </c>
      <c r="W902" t="s">
        <v>112</v>
      </c>
      <c r="X902" t="s">
        <v>125</v>
      </c>
      <c r="Y902" t="s">
        <v>82</v>
      </c>
      <c r="Z902" t="s">
        <v>56</v>
      </c>
      <c r="AA902" t="s">
        <v>1084</v>
      </c>
      <c r="AB902">
        <v>23</v>
      </c>
      <c r="AC902" t="str">
        <f t="shared" si="43"/>
        <v>Evening</v>
      </c>
      <c r="AD902">
        <v>1</v>
      </c>
      <c r="AE902" t="s">
        <v>58</v>
      </c>
      <c r="AF902">
        <v>0</v>
      </c>
      <c r="AG902">
        <v>3</v>
      </c>
      <c r="AH902" t="s">
        <v>84</v>
      </c>
      <c r="AI902">
        <v>69400</v>
      </c>
      <c r="AJ902">
        <v>6940</v>
      </c>
      <c r="AK902">
        <v>6940</v>
      </c>
      <c r="AL902">
        <v>55520</v>
      </c>
      <c r="AM902" t="s">
        <v>72</v>
      </c>
      <c r="AN902" t="s">
        <v>198</v>
      </c>
      <c r="AO902">
        <v>2015</v>
      </c>
      <c r="AP902">
        <v>2000</v>
      </c>
      <c r="AQ902">
        <f t="shared" si="44"/>
        <v>15</v>
      </c>
      <c r="AR902" t="s">
        <v>87</v>
      </c>
    </row>
    <row r="903" spans="1:44" x14ac:dyDescent="0.25">
      <c r="A903">
        <v>5</v>
      </c>
      <c r="B903" t="str">
        <f t="shared" si="42"/>
        <v>0-2 years</v>
      </c>
      <c r="C903">
        <v>21</v>
      </c>
      <c r="D903" t="str" cm="1">
        <f t="array" ref="D903">_xlfn.IFS(C903&lt;26, "19-25", C903&lt;33, "26-32", C903&lt;40, "33-39", C903&lt;47, "40-46",C903&lt;54, "47-53", TRUE, "54+")</f>
        <v>19-25</v>
      </c>
      <c r="E903">
        <v>577992</v>
      </c>
      <c r="F903" s="1">
        <v>37573</v>
      </c>
      <c r="G903" t="s">
        <v>62</v>
      </c>
      <c r="H903" t="s">
        <v>45</v>
      </c>
      <c r="I903">
        <v>500</v>
      </c>
      <c r="J903">
        <v>915.41</v>
      </c>
      <c r="K903">
        <v>5000000</v>
      </c>
      <c r="L903">
        <v>612316</v>
      </c>
      <c r="M903" t="s">
        <v>75</v>
      </c>
      <c r="N903" t="s">
        <v>136</v>
      </c>
      <c r="O903" t="s">
        <v>130</v>
      </c>
      <c r="P903" t="s">
        <v>49</v>
      </c>
      <c r="Q903" t="s">
        <v>79</v>
      </c>
      <c r="R903">
        <v>0</v>
      </c>
      <c r="S903">
        <v>0</v>
      </c>
      <c r="T903" s="1">
        <v>42046</v>
      </c>
      <c r="U903" t="s">
        <v>51</v>
      </c>
      <c r="V903" t="s">
        <v>52</v>
      </c>
      <c r="W903" t="s">
        <v>112</v>
      </c>
      <c r="X903" t="s">
        <v>54</v>
      </c>
      <c r="Y903" t="s">
        <v>82</v>
      </c>
      <c r="Z903" t="s">
        <v>161</v>
      </c>
      <c r="AA903" t="s">
        <v>1085</v>
      </c>
      <c r="AB903">
        <v>23</v>
      </c>
      <c r="AC903" t="str">
        <f t="shared" si="43"/>
        <v>Evening</v>
      </c>
      <c r="AD903">
        <v>1</v>
      </c>
      <c r="AE903" t="s">
        <v>58</v>
      </c>
      <c r="AF903">
        <v>0</v>
      </c>
      <c r="AG903">
        <v>0</v>
      </c>
      <c r="AH903" t="s">
        <v>84</v>
      </c>
      <c r="AI903">
        <v>40500</v>
      </c>
      <c r="AJ903">
        <v>4050</v>
      </c>
      <c r="AK903">
        <v>4050</v>
      </c>
      <c r="AL903">
        <v>32400</v>
      </c>
      <c r="AM903" t="s">
        <v>109</v>
      </c>
      <c r="AN903" t="s">
        <v>110</v>
      </c>
      <c r="AO903">
        <v>2015</v>
      </c>
      <c r="AP903">
        <v>1998</v>
      </c>
      <c r="AQ903">
        <f t="shared" si="44"/>
        <v>17</v>
      </c>
      <c r="AR903" t="s">
        <v>87</v>
      </c>
    </row>
    <row r="904" spans="1:44" x14ac:dyDescent="0.25">
      <c r="A904">
        <v>64</v>
      </c>
      <c r="B904" t="str">
        <f t="shared" si="42"/>
        <v>5-10 years</v>
      </c>
      <c r="C904">
        <v>28</v>
      </c>
      <c r="D904" t="str" cm="1">
        <f t="array" ref="D904">_xlfn.IFS(C904&lt;26, "19-25", C904&lt;33, "26-32", C904&lt;40, "33-39", C904&lt;47, "40-46",C904&lt;54, "47-53", TRUE, "54+")</f>
        <v>26-32</v>
      </c>
      <c r="E904">
        <v>342830</v>
      </c>
      <c r="F904" s="1">
        <v>33551</v>
      </c>
      <c r="G904" t="s">
        <v>88</v>
      </c>
      <c r="H904" t="s">
        <v>96</v>
      </c>
      <c r="I904">
        <v>1000</v>
      </c>
      <c r="J904">
        <v>1468.82</v>
      </c>
      <c r="K904">
        <v>0</v>
      </c>
      <c r="L904">
        <v>474731</v>
      </c>
      <c r="M904" t="s">
        <v>46</v>
      </c>
      <c r="N904" t="s">
        <v>166</v>
      </c>
      <c r="O904" t="s">
        <v>164</v>
      </c>
      <c r="P904" t="s">
        <v>137</v>
      </c>
      <c r="Q904" t="s">
        <v>65</v>
      </c>
      <c r="R904">
        <v>56800</v>
      </c>
      <c r="S904">
        <v>-51800</v>
      </c>
      <c r="T904" s="1">
        <v>42048</v>
      </c>
      <c r="U904" t="s">
        <v>80</v>
      </c>
      <c r="V904" t="s">
        <v>52</v>
      </c>
      <c r="W904" t="s">
        <v>68</v>
      </c>
      <c r="X904" t="s">
        <v>104</v>
      </c>
      <c r="Y904" t="s">
        <v>55</v>
      </c>
      <c r="Z904" t="s">
        <v>70</v>
      </c>
      <c r="AA904" t="s">
        <v>1086</v>
      </c>
      <c r="AB904">
        <v>9</v>
      </c>
      <c r="AC904" t="str">
        <f t="shared" si="43"/>
        <v>Morning</v>
      </c>
      <c r="AD904">
        <v>3</v>
      </c>
      <c r="AE904" t="s">
        <v>84</v>
      </c>
      <c r="AF904">
        <v>2</v>
      </c>
      <c r="AG904">
        <v>1</v>
      </c>
      <c r="AH904" t="s">
        <v>84</v>
      </c>
      <c r="AI904">
        <v>60000</v>
      </c>
      <c r="AJ904">
        <v>5000</v>
      </c>
      <c r="AK904">
        <v>10000</v>
      </c>
      <c r="AL904">
        <v>45000</v>
      </c>
      <c r="AM904" t="s">
        <v>214</v>
      </c>
      <c r="AN904" t="s">
        <v>236</v>
      </c>
      <c r="AO904">
        <v>2015</v>
      </c>
      <c r="AP904">
        <v>1997</v>
      </c>
      <c r="AQ904">
        <f t="shared" si="44"/>
        <v>18</v>
      </c>
      <c r="AR904" t="s">
        <v>87</v>
      </c>
    </row>
    <row r="905" spans="1:44" x14ac:dyDescent="0.25">
      <c r="A905">
        <v>142</v>
      </c>
      <c r="B905" t="str">
        <f t="shared" si="42"/>
        <v>10+ years</v>
      </c>
      <c r="C905">
        <v>30</v>
      </c>
      <c r="D905" t="str" cm="1">
        <f t="array" ref="D905">_xlfn.IFS(C905&lt;26, "19-25", C905&lt;33, "26-32", C905&lt;40, "33-39", C905&lt;47, "40-46",C905&lt;54, "47-53", TRUE, "54+")</f>
        <v>26-32</v>
      </c>
      <c r="E905">
        <v>491170</v>
      </c>
      <c r="F905" s="1">
        <v>35809</v>
      </c>
      <c r="G905" t="s">
        <v>62</v>
      </c>
      <c r="H905" t="s">
        <v>96</v>
      </c>
      <c r="I905">
        <v>500</v>
      </c>
      <c r="J905">
        <v>1412.76</v>
      </c>
      <c r="K905">
        <v>0</v>
      </c>
      <c r="L905">
        <v>603260</v>
      </c>
      <c r="M905" t="s">
        <v>46</v>
      </c>
      <c r="N905" t="s">
        <v>76</v>
      </c>
      <c r="O905" t="s">
        <v>89</v>
      </c>
      <c r="P905" t="s">
        <v>184</v>
      </c>
      <c r="Q905" t="s">
        <v>124</v>
      </c>
      <c r="R905">
        <v>66400</v>
      </c>
      <c r="S905">
        <v>-63700</v>
      </c>
      <c r="T905" s="1">
        <v>42014</v>
      </c>
      <c r="U905" t="s">
        <v>51</v>
      </c>
      <c r="V905" t="s">
        <v>52</v>
      </c>
      <c r="W905" t="s">
        <v>68</v>
      </c>
      <c r="X905" t="s">
        <v>125</v>
      </c>
      <c r="Y905" t="s">
        <v>118</v>
      </c>
      <c r="Z905" t="s">
        <v>70</v>
      </c>
      <c r="AA905" t="s">
        <v>1087</v>
      </c>
      <c r="AB905">
        <v>22</v>
      </c>
      <c r="AC905" t="str">
        <f t="shared" si="43"/>
        <v>Evening</v>
      </c>
      <c r="AD905">
        <v>1</v>
      </c>
      <c r="AE905" t="s">
        <v>58</v>
      </c>
      <c r="AF905">
        <v>2</v>
      </c>
      <c r="AG905">
        <v>3</v>
      </c>
      <c r="AH905" t="s">
        <v>84</v>
      </c>
      <c r="AI905">
        <v>67320</v>
      </c>
      <c r="AJ905">
        <v>11220</v>
      </c>
      <c r="AK905">
        <v>11220</v>
      </c>
      <c r="AL905">
        <v>44880</v>
      </c>
      <c r="AM905" t="s">
        <v>219</v>
      </c>
      <c r="AN905" t="s">
        <v>263</v>
      </c>
      <c r="AO905">
        <v>2015</v>
      </c>
      <c r="AP905">
        <v>1996</v>
      </c>
      <c r="AQ905">
        <f t="shared" si="44"/>
        <v>19</v>
      </c>
      <c r="AR905" t="s">
        <v>87</v>
      </c>
    </row>
    <row r="906" spans="1:44" x14ac:dyDescent="0.25">
      <c r="A906">
        <v>97</v>
      </c>
      <c r="B906" t="str">
        <f t="shared" si="42"/>
        <v>5-10 years</v>
      </c>
      <c r="C906">
        <v>27</v>
      </c>
      <c r="D906" t="str" cm="1">
        <f t="array" ref="D906">_xlfn.IFS(C906&lt;26, "19-25", C906&lt;33, "26-32", C906&lt;40, "33-39", C906&lt;47, "40-46",C906&lt;54, "47-53", TRUE, "54+")</f>
        <v>26-32</v>
      </c>
      <c r="E906">
        <v>175553</v>
      </c>
      <c r="F906" s="1">
        <v>37371</v>
      </c>
      <c r="G906" t="s">
        <v>44</v>
      </c>
      <c r="H906" t="s">
        <v>96</v>
      </c>
      <c r="I906">
        <v>500</v>
      </c>
      <c r="J906">
        <v>1588.26</v>
      </c>
      <c r="K906">
        <v>0</v>
      </c>
      <c r="L906">
        <v>434370</v>
      </c>
      <c r="M906" t="s">
        <v>75</v>
      </c>
      <c r="N906" t="s">
        <v>136</v>
      </c>
      <c r="O906" t="s">
        <v>102</v>
      </c>
      <c r="P906" t="s">
        <v>151</v>
      </c>
      <c r="Q906" t="s">
        <v>50</v>
      </c>
      <c r="R906">
        <v>56700</v>
      </c>
      <c r="S906">
        <v>-49300</v>
      </c>
      <c r="T906" s="1">
        <v>42028</v>
      </c>
      <c r="U906" t="s">
        <v>80</v>
      </c>
      <c r="V906" t="s">
        <v>52</v>
      </c>
      <c r="W906" t="s">
        <v>112</v>
      </c>
      <c r="X906" t="s">
        <v>125</v>
      </c>
      <c r="Y906" t="s">
        <v>69</v>
      </c>
      <c r="Z906" t="s">
        <v>70</v>
      </c>
      <c r="AA906" t="s">
        <v>1088</v>
      </c>
      <c r="AB906">
        <v>22</v>
      </c>
      <c r="AC906" t="str">
        <f t="shared" si="43"/>
        <v>Evening</v>
      </c>
      <c r="AD906">
        <v>3</v>
      </c>
      <c r="AE906" t="s">
        <v>58</v>
      </c>
      <c r="AF906">
        <v>2</v>
      </c>
      <c r="AG906">
        <v>1</v>
      </c>
      <c r="AH906" t="s">
        <v>58</v>
      </c>
      <c r="AI906">
        <v>75690</v>
      </c>
      <c r="AJ906">
        <v>8410</v>
      </c>
      <c r="AK906">
        <v>8410</v>
      </c>
      <c r="AL906">
        <v>58870</v>
      </c>
      <c r="AM906" t="s">
        <v>59</v>
      </c>
      <c r="AN906">
        <v>95</v>
      </c>
      <c r="AO906">
        <v>2015</v>
      </c>
      <c r="AP906">
        <v>2014</v>
      </c>
      <c r="AQ906">
        <f t="shared" si="44"/>
        <v>1</v>
      </c>
      <c r="AR906" t="s">
        <v>87</v>
      </c>
    </row>
    <row r="907" spans="1:44" x14ac:dyDescent="0.25">
      <c r="A907">
        <v>121</v>
      </c>
      <c r="B907" t="str">
        <f t="shared" si="42"/>
        <v>10+ years</v>
      </c>
      <c r="C907">
        <v>31</v>
      </c>
      <c r="D907" t="str" cm="1">
        <f t="array" ref="D907">_xlfn.IFS(C907&lt;26, "19-25", C907&lt;33, "26-32", C907&lt;40, "33-39", C907&lt;47, "40-46",C907&lt;54, "47-53", TRUE, "54+")</f>
        <v>26-32</v>
      </c>
      <c r="E907">
        <v>439341</v>
      </c>
      <c r="F907" s="1">
        <v>33439</v>
      </c>
      <c r="G907" t="s">
        <v>62</v>
      </c>
      <c r="H907" t="s">
        <v>74</v>
      </c>
      <c r="I907">
        <v>1000</v>
      </c>
      <c r="J907">
        <v>1140.9100000000001</v>
      </c>
      <c r="K907">
        <v>0</v>
      </c>
      <c r="L907">
        <v>478388</v>
      </c>
      <c r="M907" t="s">
        <v>46</v>
      </c>
      <c r="N907" t="s">
        <v>97</v>
      </c>
      <c r="O907" t="s">
        <v>190</v>
      </c>
      <c r="P907" t="s">
        <v>170</v>
      </c>
      <c r="Q907" t="s">
        <v>65</v>
      </c>
      <c r="R907">
        <v>51300</v>
      </c>
      <c r="S907">
        <v>0</v>
      </c>
      <c r="T907" s="1">
        <v>42050</v>
      </c>
      <c r="U907" t="s">
        <v>80</v>
      </c>
      <c r="V907" t="s">
        <v>52</v>
      </c>
      <c r="W907" t="s">
        <v>53</v>
      </c>
      <c r="X907" t="s">
        <v>104</v>
      </c>
      <c r="Y907" t="s">
        <v>69</v>
      </c>
      <c r="Z907" t="s">
        <v>132</v>
      </c>
      <c r="AA907" t="s">
        <v>1089</v>
      </c>
      <c r="AB907">
        <v>15</v>
      </c>
      <c r="AC907" t="str">
        <f t="shared" si="43"/>
        <v>Afternoon</v>
      </c>
      <c r="AD907">
        <v>3</v>
      </c>
      <c r="AE907" t="s">
        <v>84</v>
      </c>
      <c r="AF907">
        <v>1</v>
      </c>
      <c r="AG907">
        <v>2</v>
      </c>
      <c r="AH907" t="s">
        <v>67</v>
      </c>
      <c r="AI907">
        <v>64300</v>
      </c>
      <c r="AJ907">
        <v>6430</v>
      </c>
      <c r="AK907">
        <v>6430</v>
      </c>
      <c r="AL907">
        <v>51440</v>
      </c>
      <c r="AM907" t="s">
        <v>94</v>
      </c>
      <c r="AN907" t="s">
        <v>228</v>
      </c>
      <c r="AO907">
        <v>2015</v>
      </c>
      <c r="AP907">
        <v>2002</v>
      </c>
      <c r="AQ907">
        <f t="shared" si="44"/>
        <v>13</v>
      </c>
      <c r="AR907" t="s">
        <v>61</v>
      </c>
    </row>
    <row r="908" spans="1:44" x14ac:dyDescent="0.25">
      <c r="A908">
        <v>225</v>
      </c>
      <c r="B908" t="str">
        <f t="shared" si="42"/>
        <v>10+ years</v>
      </c>
      <c r="C908">
        <v>43</v>
      </c>
      <c r="D908" t="str" cm="1">
        <f t="array" ref="D908">_xlfn.IFS(C908&lt;26, "19-25", C908&lt;33, "26-32", C908&lt;40, "33-39", C908&lt;47, "40-46",C908&lt;54, "47-53", TRUE, "54+")</f>
        <v>40-46</v>
      </c>
      <c r="E908">
        <v>221186</v>
      </c>
      <c r="F908" s="1">
        <v>38212</v>
      </c>
      <c r="G908" t="s">
        <v>44</v>
      </c>
      <c r="H908" t="s">
        <v>74</v>
      </c>
      <c r="I908">
        <v>1000</v>
      </c>
      <c r="J908">
        <v>1517.54</v>
      </c>
      <c r="K908">
        <v>0</v>
      </c>
      <c r="L908">
        <v>617883</v>
      </c>
      <c r="M908" t="s">
        <v>46</v>
      </c>
      <c r="N908" t="s">
        <v>166</v>
      </c>
      <c r="O908" t="s">
        <v>122</v>
      </c>
      <c r="P908" t="s">
        <v>123</v>
      </c>
      <c r="Q908" t="s">
        <v>79</v>
      </c>
      <c r="R908">
        <v>0</v>
      </c>
      <c r="S908">
        <v>-20900</v>
      </c>
      <c r="T908" s="1">
        <v>42013</v>
      </c>
      <c r="U908" t="s">
        <v>80</v>
      </c>
      <c r="V908" t="s">
        <v>81</v>
      </c>
      <c r="W908" t="s">
        <v>53</v>
      </c>
      <c r="X908" t="s">
        <v>54</v>
      </c>
      <c r="Y908" t="s">
        <v>55</v>
      </c>
      <c r="Z908" t="s">
        <v>56</v>
      </c>
      <c r="AA908" t="s">
        <v>1090</v>
      </c>
      <c r="AB908">
        <v>16</v>
      </c>
      <c r="AC908" t="str">
        <f t="shared" si="43"/>
        <v>Afternoon</v>
      </c>
      <c r="AD908">
        <v>3</v>
      </c>
      <c r="AE908" t="s">
        <v>84</v>
      </c>
      <c r="AF908">
        <v>2</v>
      </c>
      <c r="AG908">
        <v>0</v>
      </c>
      <c r="AH908" t="s">
        <v>58</v>
      </c>
      <c r="AI908">
        <v>64400</v>
      </c>
      <c r="AJ908">
        <v>6440</v>
      </c>
      <c r="AK908">
        <v>6440</v>
      </c>
      <c r="AL908">
        <v>51520</v>
      </c>
      <c r="AM908" t="s">
        <v>192</v>
      </c>
      <c r="AN908" t="s">
        <v>208</v>
      </c>
      <c r="AO908">
        <v>2015</v>
      </c>
      <c r="AP908">
        <v>2011</v>
      </c>
      <c r="AQ908">
        <f t="shared" si="44"/>
        <v>4</v>
      </c>
      <c r="AR908" t="s">
        <v>87</v>
      </c>
    </row>
    <row r="909" spans="1:44" x14ac:dyDescent="0.25">
      <c r="A909">
        <v>425</v>
      </c>
      <c r="B909" t="str">
        <f t="shared" si="42"/>
        <v>10+ years</v>
      </c>
      <c r="C909">
        <v>53</v>
      </c>
      <c r="D909" t="str" cm="1">
        <f t="array" ref="D909">_xlfn.IFS(C909&lt;26, "19-25", C909&lt;33, "26-32", C909&lt;40, "33-39", C909&lt;47, "40-46",C909&lt;54, "47-53", TRUE, "54+")</f>
        <v>47-53</v>
      </c>
      <c r="E909">
        <v>868031</v>
      </c>
      <c r="F909" s="1">
        <v>33048</v>
      </c>
      <c r="G909" t="s">
        <v>44</v>
      </c>
      <c r="H909" t="s">
        <v>45</v>
      </c>
      <c r="I909">
        <v>2000</v>
      </c>
      <c r="J909">
        <v>912.29</v>
      </c>
      <c r="K909">
        <v>0</v>
      </c>
      <c r="L909">
        <v>464808</v>
      </c>
      <c r="M909" t="s">
        <v>75</v>
      </c>
      <c r="N909" t="s">
        <v>136</v>
      </c>
      <c r="O909" t="s">
        <v>122</v>
      </c>
      <c r="P909" t="s">
        <v>170</v>
      </c>
      <c r="Q909" t="s">
        <v>50</v>
      </c>
      <c r="R909">
        <v>42900</v>
      </c>
      <c r="S909">
        <v>-39100</v>
      </c>
      <c r="T909" s="1">
        <v>42035</v>
      </c>
      <c r="U909" t="s">
        <v>80</v>
      </c>
      <c r="V909" t="s">
        <v>91</v>
      </c>
      <c r="W909" t="s">
        <v>68</v>
      </c>
      <c r="X909" t="s">
        <v>104</v>
      </c>
      <c r="Y909" t="s">
        <v>118</v>
      </c>
      <c r="Z909" t="s">
        <v>132</v>
      </c>
      <c r="AA909" t="s">
        <v>1091</v>
      </c>
      <c r="AB909">
        <v>17</v>
      </c>
      <c r="AC909" t="str">
        <f t="shared" si="43"/>
        <v>Afternoon</v>
      </c>
      <c r="AD909">
        <v>3</v>
      </c>
      <c r="AE909" t="s">
        <v>67</v>
      </c>
      <c r="AF909">
        <v>1</v>
      </c>
      <c r="AG909">
        <v>2</v>
      </c>
      <c r="AH909" t="s">
        <v>67</v>
      </c>
      <c r="AI909">
        <v>97080</v>
      </c>
      <c r="AJ909">
        <v>16180</v>
      </c>
      <c r="AK909">
        <v>16180</v>
      </c>
      <c r="AL909">
        <v>64720</v>
      </c>
      <c r="AM909" t="s">
        <v>59</v>
      </c>
      <c r="AN909" t="s">
        <v>60</v>
      </c>
      <c r="AO909">
        <v>2015</v>
      </c>
      <c r="AP909">
        <v>2005</v>
      </c>
      <c r="AQ909">
        <f t="shared" si="44"/>
        <v>10</v>
      </c>
      <c r="AR909" t="s">
        <v>87</v>
      </c>
    </row>
    <row r="910" spans="1:44" x14ac:dyDescent="0.25">
      <c r="A910">
        <v>285</v>
      </c>
      <c r="B910" t="str">
        <f t="shared" si="42"/>
        <v>10+ years</v>
      </c>
      <c r="C910">
        <v>44</v>
      </c>
      <c r="D910" t="str" cm="1">
        <f t="array" ref="D910">_xlfn.IFS(C910&lt;26, "19-25", C910&lt;33, "26-32", C910&lt;40, "33-39", C910&lt;47, "40-46",C910&lt;54, "47-53", TRUE, "54+")</f>
        <v>40-46</v>
      </c>
      <c r="E910">
        <v>844117</v>
      </c>
      <c r="F910" s="1">
        <v>33471</v>
      </c>
      <c r="G910" t="s">
        <v>44</v>
      </c>
      <c r="H910" t="s">
        <v>45</v>
      </c>
      <c r="I910">
        <v>2000</v>
      </c>
      <c r="J910">
        <v>1144.3</v>
      </c>
      <c r="K910">
        <v>0</v>
      </c>
      <c r="L910">
        <v>609458</v>
      </c>
      <c r="M910" t="s">
        <v>46</v>
      </c>
      <c r="N910" t="s">
        <v>47</v>
      </c>
      <c r="O910" t="s">
        <v>122</v>
      </c>
      <c r="P910" t="s">
        <v>111</v>
      </c>
      <c r="Q910" t="s">
        <v>147</v>
      </c>
      <c r="R910">
        <v>52600</v>
      </c>
      <c r="S910">
        <v>0</v>
      </c>
      <c r="T910" s="1">
        <v>42039</v>
      </c>
      <c r="U910" t="s">
        <v>66</v>
      </c>
      <c r="V910" t="s">
        <v>67</v>
      </c>
      <c r="W910" t="s">
        <v>68</v>
      </c>
      <c r="X910" t="s">
        <v>54</v>
      </c>
      <c r="Y910" t="s">
        <v>118</v>
      </c>
      <c r="Z910" t="s">
        <v>161</v>
      </c>
      <c r="AA910" t="s">
        <v>1092</v>
      </c>
      <c r="AB910">
        <v>3</v>
      </c>
      <c r="AC910" t="str">
        <f t="shared" si="43"/>
        <v>Night</v>
      </c>
      <c r="AD910">
        <v>1</v>
      </c>
      <c r="AE910" t="s">
        <v>58</v>
      </c>
      <c r="AF910">
        <v>1</v>
      </c>
      <c r="AG910">
        <v>0</v>
      </c>
      <c r="AH910" t="s">
        <v>67</v>
      </c>
      <c r="AI910">
        <v>5500</v>
      </c>
      <c r="AJ910">
        <v>500</v>
      </c>
      <c r="AK910">
        <v>500</v>
      </c>
      <c r="AL910">
        <v>4500</v>
      </c>
      <c r="AM910" t="s">
        <v>214</v>
      </c>
      <c r="AN910" t="s">
        <v>215</v>
      </c>
      <c r="AO910">
        <v>2015</v>
      </c>
      <c r="AP910">
        <v>2010</v>
      </c>
      <c r="AQ910">
        <f t="shared" si="44"/>
        <v>5</v>
      </c>
      <c r="AR910" t="s">
        <v>87</v>
      </c>
    </row>
    <row r="911" spans="1:44" x14ac:dyDescent="0.25">
      <c r="A911">
        <v>192</v>
      </c>
      <c r="B911" t="str">
        <f t="shared" si="42"/>
        <v>10+ years</v>
      </c>
      <c r="C911">
        <v>38</v>
      </c>
      <c r="D911" t="str" cm="1">
        <f t="array" ref="D911">_xlfn.IFS(C911&lt;26, "19-25", C911&lt;33, "26-32", C911&lt;40, "33-39", C911&lt;47, "40-46",C911&lt;54, "47-53", TRUE, "54+")</f>
        <v>33-39</v>
      </c>
      <c r="E911">
        <v>744557</v>
      </c>
      <c r="F911" s="1">
        <v>40599</v>
      </c>
      <c r="G911" t="s">
        <v>62</v>
      </c>
      <c r="H911" t="s">
        <v>96</v>
      </c>
      <c r="I911">
        <v>1000</v>
      </c>
      <c r="J911">
        <v>1281.43</v>
      </c>
      <c r="K911">
        <v>0</v>
      </c>
      <c r="L911">
        <v>432405</v>
      </c>
      <c r="M911" t="s">
        <v>75</v>
      </c>
      <c r="N911" t="s">
        <v>129</v>
      </c>
      <c r="O911" t="s">
        <v>150</v>
      </c>
      <c r="P911" t="s">
        <v>137</v>
      </c>
      <c r="Q911" t="s">
        <v>147</v>
      </c>
      <c r="R911">
        <v>65100</v>
      </c>
      <c r="S911">
        <v>-50300</v>
      </c>
      <c r="T911" s="1">
        <v>42034</v>
      </c>
      <c r="U911" t="s">
        <v>80</v>
      </c>
      <c r="V911" t="s">
        <v>81</v>
      </c>
      <c r="W911" t="s">
        <v>112</v>
      </c>
      <c r="X911" t="s">
        <v>125</v>
      </c>
      <c r="Y911" t="s">
        <v>55</v>
      </c>
      <c r="Z911" t="s">
        <v>132</v>
      </c>
      <c r="AA911" t="s">
        <v>1093</v>
      </c>
      <c r="AB911">
        <v>10</v>
      </c>
      <c r="AC911" t="str">
        <f t="shared" si="43"/>
        <v>Morning</v>
      </c>
      <c r="AD911">
        <v>3</v>
      </c>
      <c r="AE911" t="s">
        <v>67</v>
      </c>
      <c r="AF911">
        <v>0</v>
      </c>
      <c r="AG911">
        <v>2</v>
      </c>
      <c r="AH911" t="s">
        <v>84</v>
      </c>
      <c r="AI911">
        <v>30700</v>
      </c>
      <c r="AJ911">
        <v>3070</v>
      </c>
      <c r="AK911">
        <v>6140</v>
      </c>
      <c r="AL911">
        <v>21490</v>
      </c>
      <c r="AM911" t="s">
        <v>202</v>
      </c>
      <c r="AN911" t="s">
        <v>203</v>
      </c>
      <c r="AO911">
        <v>2015</v>
      </c>
      <c r="AP911">
        <v>2010</v>
      </c>
      <c r="AQ911">
        <f t="shared" si="44"/>
        <v>5</v>
      </c>
      <c r="AR911" t="s">
        <v>87</v>
      </c>
    </row>
    <row r="912" spans="1:44" x14ac:dyDescent="0.25">
      <c r="A912">
        <v>285</v>
      </c>
      <c r="B912" t="str">
        <f t="shared" si="42"/>
        <v>10+ years</v>
      </c>
      <c r="C912">
        <v>48</v>
      </c>
      <c r="D912" t="str" cm="1">
        <f t="array" ref="D912">_xlfn.IFS(C912&lt;26, "19-25", C912&lt;33, "26-32", C912&lt;40, "33-39", C912&lt;47, "40-46",C912&lt;54, "47-53", TRUE, "54+")</f>
        <v>47-53</v>
      </c>
      <c r="E912">
        <v>159536</v>
      </c>
      <c r="F912" s="1">
        <v>41309</v>
      </c>
      <c r="G912" t="s">
        <v>88</v>
      </c>
      <c r="H912" t="s">
        <v>74</v>
      </c>
      <c r="I912">
        <v>2000</v>
      </c>
      <c r="J912">
        <v>1101.8499999999999</v>
      </c>
      <c r="K912">
        <v>0</v>
      </c>
      <c r="L912">
        <v>457875</v>
      </c>
      <c r="M912" t="s">
        <v>75</v>
      </c>
      <c r="N912" t="s">
        <v>146</v>
      </c>
      <c r="O912" t="s">
        <v>77</v>
      </c>
      <c r="P912" t="s">
        <v>131</v>
      </c>
      <c r="Q912" t="s">
        <v>124</v>
      </c>
      <c r="R912">
        <v>46100</v>
      </c>
      <c r="S912">
        <v>0</v>
      </c>
      <c r="T912" s="1">
        <v>42062</v>
      </c>
      <c r="U912" t="s">
        <v>51</v>
      </c>
      <c r="V912" t="s">
        <v>52</v>
      </c>
      <c r="W912" t="s">
        <v>68</v>
      </c>
      <c r="X912" t="s">
        <v>54</v>
      </c>
      <c r="Y912" t="s">
        <v>180</v>
      </c>
      <c r="Z912" t="s">
        <v>107</v>
      </c>
      <c r="AA912" t="s">
        <v>1094</v>
      </c>
      <c r="AB912">
        <v>9</v>
      </c>
      <c r="AC912" t="str">
        <f t="shared" si="43"/>
        <v>Morning</v>
      </c>
      <c r="AD912">
        <v>1</v>
      </c>
      <c r="AE912" t="s">
        <v>84</v>
      </c>
      <c r="AF912">
        <v>1</v>
      </c>
      <c r="AG912">
        <v>2</v>
      </c>
      <c r="AH912" t="s">
        <v>58</v>
      </c>
      <c r="AI912">
        <v>33480</v>
      </c>
      <c r="AJ912">
        <v>3720</v>
      </c>
      <c r="AK912">
        <v>3720</v>
      </c>
      <c r="AL912">
        <v>26040</v>
      </c>
      <c r="AM912" t="s">
        <v>109</v>
      </c>
      <c r="AN912" t="s">
        <v>110</v>
      </c>
      <c r="AO912">
        <v>2015</v>
      </c>
      <c r="AP912">
        <v>2012</v>
      </c>
      <c r="AQ912">
        <f t="shared" si="44"/>
        <v>3</v>
      </c>
      <c r="AR912" t="s">
        <v>87</v>
      </c>
    </row>
    <row r="913" spans="1:44" x14ac:dyDescent="0.25">
      <c r="A913">
        <v>98</v>
      </c>
      <c r="B913" t="str">
        <f t="shared" si="42"/>
        <v>5-10 years</v>
      </c>
      <c r="C913">
        <v>26</v>
      </c>
      <c r="D913" t="str" cm="1">
        <f t="array" ref="D913">_xlfn.IFS(C913&lt;26, "19-25", C913&lt;33, "26-32", C913&lt;40, "33-39", C913&lt;47, "40-46",C913&lt;54, "47-53", TRUE, "54+")</f>
        <v>26-32</v>
      </c>
      <c r="E913">
        <v>727109</v>
      </c>
      <c r="F913" s="1">
        <v>36942</v>
      </c>
      <c r="G913" t="s">
        <v>62</v>
      </c>
      <c r="H913" t="s">
        <v>96</v>
      </c>
      <c r="I913">
        <v>2000</v>
      </c>
      <c r="J913">
        <v>1082.0999999999999</v>
      </c>
      <c r="K913">
        <v>0</v>
      </c>
      <c r="L913">
        <v>477268</v>
      </c>
      <c r="M913" t="s">
        <v>46</v>
      </c>
      <c r="N913" t="s">
        <v>166</v>
      </c>
      <c r="O913" t="s">
        <v>130</v>
      </c>
      <c r="P913" t="s">
        <v>175</v>
      </c>
      <c r="Q913" t="s">
        <v>65</v>
      </c>
      <c r="R913">
        <v>0</v>
      </c>
      <c r="S913">
        <v>-30900</v>
      </c>
      <c r="T913" s="1">
        <v>42040</v>
      </c>
      <c r="U913" t="s">
        <v>80</v>
      </c>
      <c r="V913" t="s">
        <v>91</v>
      </c>
      <c r="W913" t="s">
        <v>112</v>
      </c>
      <c r="X913" t="s">
        <v>54</v>
      </c>
      <c r="Y913" t="s">
        <v>118</v>
      </c>
      <c r="Z913" t="s">
        <v>132</v>
      </c>
      <c r="AA913" t="s">
        <v>1095</v>
      </c>
      <c r="AB913">
        <v>13</v>
      </c>
      <c r="AC913" t="str">
        <f t="shared" si="43"/>
        <v>Afternoon</v>
      </c>
      <c r="AD913">
        <v>2</v>
      </c>
      <c r="AE913" t="s">
        <v>67</v>
      </c>
      <c r="AF913">
        <v>0</v>
      </c>
      <c r="AG913">
        <v>1</v>
      </c>
      <c r="AH913" t="s">
        <v>58</v>
      </c>
      <c r="AI913">
        <v>65430</v>
      </c>
      <c r="AJ913">
        <v>14540</v>
      </c>
      <c r="AK913">
        <v>7270</v>
      </c>
      <c r="AL913">
        <v>43620</v>
      </c>
      <c r="AM913" t="s">
        <v>202</v>
      </c>
      <c r="AN913" t="s">
        <v>203</v>
      </c>
      <c r="AO913">
        <v>2015</v>
      </c>
      <c r="AP913">
        <v>2001</v>
      </c>
      <c r="AQ913">
        <f t="shared" si="44"/>
        <v>14</v>
      </c>
      <c r="AR913" t="s">
        <v>87</v>
      </c>
    </row>
    <row r="914" spans="1:44" x14ac:dyDescent="0.25">
      <c r="A914">
        <v>175</v>
      </c>
      <c r="B914" t="str">
        <f t="shared" si="42"/>
        <v>10+ years</v>
      </c>
      <c r="C914">
        <v>36</v>
      </c>
      <c r="D914" t="str" cm="1">
        <f t="array" ref="D914">_xlfn.IFS(C914&lt;26, "19-25", C914&lt;33, "26-32", C914&lt;40, "33-39", C914&lt;47, "40-46",C914&lt;54, "47-53", TRUE, "54+")</f>
        <v>33-39</v>
      </c>
      <c r="E914">
        <v>155604</v>
      </c>
      <c r="F914" s="1">
        <v>33666</v>
      </c>
      <c r="G914" t="s">
        <v>44</v>
      </c>
      <c r="H914" t="s">
        <v>96</v>
      </c>
      <c r="I914">
        <v>500</v>
      </c>
      <c r="J914">
        <v>1185.44</v>
      </c>
      <c r="K914">
        <v>0</v>
      </c>
      <c r="L914">
        <v>437580</v>
      </c>
      <c r="M914" t="s">
        <v>46</v>
      </c>
      <c r="N914" t="s">
        <v>129</v>
      </c>
      <c r="O914" t="s">
        <v>130</v>
      </c>
      <c r="P914" t="s">
        <v>175</v>
      </c>
      <c r="Q914" t="s">
        <v>147</v>
      </c>
      <c r="R914">
        <v>44900</v>
      </c>
      <c r="S914">
        <v>-52500</v>
      </c>
      <c r="T914" s="1">
        <v>42034</v>
      </c>
      <c r="U914" t="s">
        <v>80</v>
      </c>
      <c r="V914" t="s">
        <v>81</v>
      </c>
      <c r="W914" t="s">
        <v>53</v>
      </c>
      <c r="X914" t="s">
        <v>54</v>
      </c>
      <c r="Y914" t="s">
        <v>126</v>
      </c>
      <c r="Z914" t="s">
        <v>132</v>
      </c>
      <c r="AA914" t="s">
        <v>1096</v>
      </c>
      <c r="AB914">
        <v>15</v>
      </c>
      <c r="AC914" t="str">
        <f t="shared" si="43"/>
        <v>Afternoon</v>
      </c>
      <c r="AD914">
        <v>3</v>
      </c>
      <c r="AE914" t="s">
        <v>58</v>
      </c>
      <c r="AF914">
        <v>2</v>
      </c>
      <c r="AG914">
        <v>1</v>
      </c>
      <c r="AH914" t="s">
        <v>58</v>
      </c>
      <c r="AI914">
        <v>42680</v>
      </c>
      <c r="AJ914">
        <v>3880</v>
      </c>
      <c r="AK914">
        <v>7760</v>
      </c>
      <c r="AL914">
        <v>31040</v>
      </c>
      <c r="AM914" t="s">
        <v>100</v>
      </c>
      <c r="AN914" t="s">
        <v>101</v>
      </c>
      <c r="AO914">
        <v>2015</v>
      </c>
      <c r="AP914">
        <v>2006</v>
      </c>
      <c r="AQ914">
        <f t="shared" si="44"/>
        <v>9</v>
      </c>
      <c r="AR914" t="s">
        <v>61</v>
      </c>
    </row>
    <row r="915" spans="1:44" x14ac:dyDescent="0.25">
      <c r="A915">
        <v>259</v>
      </c>
      <c r="B915" t="str">
        <f t="shared" si="42"/>
        <v>10+ years</v>
      </c>
      <c r="C915">
        <v>45</v>
      </c>
      <c r="D915" t="str" cm="1">
        <f t="array" ref="D915">_xlfn.IFS(C915&lt;26, "19-25", C915&lt;33, "26-32", C915&lt;40, "33-39", C915&lt;47, "40-46",C915&lt;54, "47-53", TRUE, "54+")</f>
        <v>40-46</v>
      </c>
      <c r="E915">
        <v>608443</v>
      </c>
      <c r="F915" s="1">
        <v>39072</v>
      </c>
      <c r="G915" t="s">
        <v>88</v>
      </c>
      <c r="H915" t="s">
        <v>96</v>
      </c>
      <c r="I915">
        <v>2000</v>
      </c>
      <c r="J915">
        <v>1175.07</v>
      </c>
      <c r="K915">
        <v>0</v>
      </c>
      <c r="L915">
        <v>457121</v>
      </c>
      <c r="M915" t="s">
        <v>46</v>
      </c>
      <c r="N915" t="s">
        <v>47</v>
      </c>
      <c r="O915" t="s">
        <v>48</v>
      </c>
      <c r="P915" t="s">
        <v>151</v>
      </c>
      <c r="Q915" t="s">
        <v>147</v>
      </c>
      <c r="R915">
        <v>30100</v>
      </c>
      <c r="S915">
        <v>0</v>
      </c>
      <c r="T915" s="1">
        <v>42007</v>
      </c>
      <c r="U915" t="s">
        <v>51</v>
      </c>
      <c r="V915" t="s">
        <v>52</v>
      </c>
      <c r="W915" t="s">
        <v>68</v>
      </c>
      <c r="X915" t="s">
        <v>104</v>
      </c>
      <c r="Y915" t="s">
        <v>118</v>
      </c>
      <c r="Z915" t="s">
        <v>107</v>
      </c>
      <c r="AA915" t="s">
        <v>1097</v>
      </c>
      <c r="AB915">
        <v>23</v>
      </c>
      <c r="AC915" t="str">
        <f t="shared" si="43"/>
        <v>Evening</v>
      </c>
      <c r="AD915">
        <v>1</v>
      </c>
      <c r="AE915" t="s">
        <v>67</v>
      </c>
      <c r="AF915">
        <v>1</v>
      </c>
      <c r="AG915">
        <v>1</v>
      </c>
      <c r="AH915" t="s">
        <v>84</v>
      </c>
      <c r="AI915">
        <v>87780</v>
      </c>
      <c r="AJ915">
        <v>7980</v>
      </c>
      <c r="AK915">
        <v>7980</v>
      </c>
      <c r="AL915">
        <v>71820</v>
      </c>
      <c r="AM915" t="s">
        <v>214</v>
      </c>
      <c r="AN915" t="s">
        <v>230</v>
      </c>
      <c r="AO915">
        <v>2015</v>
      </c>
      <c r="AP915">
        <v>2011</v>
      </c>
      <c r="AQ915">
        <f t="shared" si="44"/>
        <v>4</v>
      </c>
      <c r="AR915" t="s">
        <v>87</v>
      </c>
    </row>
    <row r="916" spans="1:44" x14ac:dyDescent="0.25">
      <c r="A916">
        <v>140</v>
      </c>
      <c r="B916" t="str">
        <f t="shared" si="42"/>
        <v>10+ years</v>
      </c>
      <c r="C916">
        <v>36</v>
      </c>
      <c r="D916" t="str" cm="1">
        <f t="array" ref="D916">_xlfn.IFS(C916&lt;26, "19-25", C916&lt;33, "26-32", C916&lt;40, "33-39", C916&lt;47, "40-46",C916&lt;54, "47-53", TRUE, "54+")</f>
        <v>33-39</v>
      </c>
      <c r="E916">
        <v>117862</v>
      </c>
      <c r="F916" s="1">
        <v>36721</v>
      </c>
      <c r="G916" t="s">
        <v>44</v>
      </c>
      <c r="H916" t="s">
        <v>96</v>
      </c>
      <c r="I916">
        <v>2000</v>
      </c>
      <c r="J916">
        <v>979.26</v>
      </c>
      <c r="K916">
        <v>0</v>
      </c>
      <c r="L916">
        <v>436364</v>
      </c>
      <c r="M916" t="s">
        <v>75</v>
      </c>
      <c r="N916" t="s">
        <v>166</v>
      </c>
      <c r="O916" t="s">
        <v>150</v>
      </c>
      <c r="P916" t="s">
        <v>247</v>
      </c>
      <c r="Q916" t="s">
        <v>79</v>
      </c>
      <c r="R916">
        <v>0</v>
      </c>
      <c r="S916">
        <v>-67000</v>
      </c>
      <c r="T916" s="1">
        <v>42064</v>
      </c>
      <c r="U916" t="s">
        <v>80</v>
      </c>
      <c r="V916" t="s">
        <v>91</v>
      </c>
      <c r="W916" t="s">
        <v>53</v>
      </c>
      <c r="X916" t="s">
        <v>104</v>
      </c>
      <c r="Y916" t="s">
        <v>82</v>
      </c>
      <c r="Z916" t="s">
        <v>70</v>
      </c>
      <c r="AA916" t="s">
        <v>1098</v>
      </c>
      <c r="AB916">
        <v>2</v>
      </c>
      <c r="AC916" t="str">
        <f t="shared" si="43"/>
        <v>Night</v>
      </c>
      <c r="AD916">
        <v>4</v>
      </c>
      <c r="AE916" t="s">
        <v>58</v>
      </c>
      <c r="AF916">
        <v>0</v>
      </c>
      <c r="AG916">
        <v>2</v>
      </c>
      <c r="AH916" t="s">
        <v>58</v>
      </c>
      <c r="AI916">
        <v>72800</v>
      </c>
      <c r="AJ916">
        <v>14560</v>
      </c>
      <c r="AK916">
        <v>14560</v>
      </c>
      <c r="AL916">
        <v>43680</v>
      </c>
      <c r="AM916" t="s">
        <v>214</v>
      </c>
      <c r="AN916" t="s">
        <v>236</v>
      </c>
      <c r="AO916">
        <v>2015</v>
      </c>
      <c r="AP916">
        <v>1998</v>
      </c>
      <c r="AQ916">
        <f t="shared" si="44"/>
        <v>17</v>
      </c>
      <c r="AR916" t="s">
        <v>87</v>
      </c>
    </row>
    <row r="917" spans="1:44" x14ac:dyDescent="0.25">
      <c r="A917">
        <v>231</v>
      </c>
      <c r="B917" t="str">
        <f t="shared" si="42"/>
        <v>10+ years</v>
      </c>
      <c r="C917">
        <v>37</v>
      </c>
      <c r="D917" t="str" cm="1">
        <f t="array" ref="D917">_xlfn.IFS(C917&lt;26, "19-25", C917&lt;33, "26-32", C917&lt;40, "33-39", C917&lt;47, "40-46",C917&lt;54, "47-53", TRUE, "54+")</f>
        <v>33-39</v>
      </c>
      <c r="E917">
        <v>991553</v>
      </c>
      <c r="F917" s="1">
        <v>33584</v>
      </c>
      <c r="G917" t="s">
        <v>44</v>
      </c>
      <c r="H917" t="s">
        <v>45</v>
      </c>
      <c r="I917">
        <v>500</v>
      </c>
      <c r="J917">
        <v>920.81</v>
      </c>
      <c r="K917">
        <v>0</v>
      </c>
      <c r="L917">
        <v>467654</v>
      </c>
      <c r="M917" t="s">
        <v>75</v>
      </c>
      <c r="N917" t="s">
        <v>136</v>
      </c>
      <c r="O917" t="s">
        <v>77</v>
      </c>
      <c r="P917" t="s">
        <v>173</v>
      </c>
      <c r="Q917" t="s">
        <v>124</v>
      </c>
      <c r="R917">
        <v>0</v>
      </c>
      <c r="S917">
        <v>0</v>
      </c>
      <c r="T917" s="1">
        <v>42048</v>
      </c>
      <c r="U917" t="s">
        <v>51</v>
      </c>
      <c r="V917" t="s">
        <v>81</v>
      </c>
      <c r="W917" t="s">
        <v>53</v>
      </c>
      <c r="X917" t="s">
        <v>104</v>
      </c>
      <c r="Y917" t="s">
        <v>55</v>
      </c>
      <c r="Z917" t="s">
        <v>127</v>
      </c>
      <c r="AA917" t="s">
        <v>1099</v>
      </c>
      <c r="AB917">
        <v>14</v>
      </c>
      <c r="AC917" t="str">
        <f t="shared" si="43"/>
        <v>Afternoon</v>
      </c>
      <c r="AD917">
        <v>1</v>
      </c>
      <c r="AE917" t="s">
        <v>58</v>
      </c>
      <c r="AF917">
        <v>2</v>
      </c>
      <c r="AG917">
        <v>0</v>
      </c>
      <c r="AH917" t="s">
        <v>67</v>
      </c>
      <c r="AI917">
        <v>71190</v>
      </c>
      <c r="AJ917">
        <v>0</v>
      </c>
      <c r="AK917">
        <v>7910</v>
      </c>
      <c r="AL917">
        <v>63280</v>
      </c>
      <c r="AM917" t="s">
        <v>72</v>
      </c>
      <c r="AN917" t="s">
        <v>198</v>
      </c>
      <c r="AO917">
        <v>2015</v>
      </c>
      <c r="AP917">
        <v>1997</v>
      </c>
      <c r="AQ917">
        <f t="shared" si="44"/>
        <v>18</v>
      </c>
      <c r="AR917" t="s">
        <v>61</v>
      </c>
    </row>
    <row r="918" spans="1:44" x14ac:dyDescent="0.25">
      <c r="A918">
        <v>186</v>
      </c>
      <c r="B918" t="str">
        <f t="shared" si="42"/>
        <v>10+ years</v>
      </c>
      <c r="C918">
        <v>38</v>
      </c>
      <c r="D918" t="str" cm="1">
        <f t="array" ref="D918">_xlfn.IFS(C918&lt;26, "19-25", C918&lt;33, "26-32", C918&lt;40, "33-39", C918&lt;47, "40-46",C918&lt;54, "47-53", TRUE, "54+")</f>
        <v>33-39</v>
      </c>
      <c r="E918">
        <v>727443</v>
      </c>
      <c r="F918" s="1">
        <v>41456</v>
      </c>
      <c r="G918" t="s">
        <v>44</v>
      </c>
      <c r="H918" t="s">
        <v>74</v>
      </c>
      <c r="I918">
        <v>500</v>
      </c>
      <c r="J918">
        <v>922.85</v>
      </c>
      <c r="K918">
        <v>0</v>
      </c>
      <c r="L918">
        <v>471148</v>
      </c>
      <c r="M918" t="s">
        <v>46</v>
      </c>
      <c r="N918" t="s">
        <v>136</v>
      </c>
      <c r="O918" t="s">
        <v>190</v>
      </c>
      <c r="P918" t="s">
        <v>117</v>
      </c>
      <c r="Q918" t="s">
        <v>50</v>
      </c>
      <c r="R918">
        <v>70300</v>
      </c>
      <c r="S918">
        <v>-70900</v>
      </c>
      <c r="T918" s="1">
        <v>42060</v>
      </c>
      <c r="U918" t="s">
        <v>66</v>
      </c>
      <c r="V918" t="s">
        <v>67</v>
      </c>
      <c r="W918" t="s">
        <v>217</v>
      </c>
      <c r="X918" t="s">
        <v>98</v>
      </c>
      <c r="Y918" t="s">
        <v>82</v>
      </c>
      <c r="Z918" t="s">
        <v>127</v>
      </c>
      <c r="AA918" t="s">
        <v>1100</v>
      </c>
      <c r="AB918">
        <v>7</v>
      </c>
      <c r="AC918" t="str">
        <f t="shared" si="43"/>
        <v>Morning</v>
      </c>
      <c r="AD918">
        <v>1</v>
      </c>
      <c r="AE918" t="s">
        <v>67</v>
      </c>
      <c r="AF918">
        <v>1</v>
      </c>
      <c r="AG918">
        <v>1</v>
      </c>
      <c r="AH918" t="s">
        <v>58</v>
      </c>
      <c r="AI918">
        <v>3600</v>
      </c>
      <c r="AJ918">
        <v>400</v>
      </c>
      <c r="AK918">
        <v>400</v>
      </c>
      <c r="AL918">
        <v>2800</v>
      </c>
      <c r="AM918" t="s">
        <v>214</v>
      </c>
      <c r="AN918" t="s">
        <v>215</v>
      </c>
      <c r="AO918">
        <v>2015</v>
      </c>
      <c r="AP918">
        <v>1999</v>
      </c>
      <c r="AQ918">
        <f t="shared" si="44"/>
        <v>16</v>
      </c>
      <c r="AR918" t="s">
        <v>87</v>
      </c>
    </row>
    <row r="919" spans="1:44" x14ac:dyDescent="0.25">
      <c r="A919">
        <v>229</v>
      </c>
      <c r="B919" t="str">
        <f t="shared" si="42"/>
        <v>10+ years</v>
      </c>
      <c r="C919">
        <v>41</v>
      </c>
      <c r="D919" t="str" cm="1">
        <f t="array" ref="D919">_xlfn.IFS(C919&lt;26, "19-25", C919&lt;33, "26-32", C919&lt;40, "33-39", C919&lt;47, "40-46",C919&lt;54, "47-53", TRUE, "54+")</f>
        <v>40-46</v>
      </c>
      <c r="E919">
        <v>378587</v>
      </c>
      <c r="F919" s="1">
        <v>36145</v>
      </c>
      <c r="G919" t="s">
        <v>44</v>
      </c>
      <c r="H919" t="s">
        <v>45</v>
      </c>
      <c r="I919">
        <v>2000</v>
      </c>
      <c r="J919">
        <v>1107.5899999999999</v>
      </c>
      <c r="K919">
        <v>3000000</v>
      </c>
      <c r="L919">
        <v>468202</v>
      </c>
      <c r="M919" t="s">
        <v>46</v>
      </c>
      <c r="N919" t="s">
        <v>76</v>
      </c>
      <c r="O919" t="s">
        <v>102</v>
      </c>
      <c r="P919" t="s">
        <v>173</v>
      </c>
      <c r="Q919" t="s">
        <v>147</v>
      </c>
      <c r="R919">
        <v>65400</v>
      </c>
      <c r="S919">
        <v>0</v>
      </c>
      <c r="T919" s="1">
        <v>42027</v>
      </c>
      <c r="U919" t="s">
        <v>51</v>
      </c>
      <c r="V919" t="s">
        <v>52</v>
      </c>
      <c r="W919" t="s">
        <v>53</v>
      </c>
      <c r="X919" t="s">
        <v>125</v>
      </c>
      <c r="Y919" t="s">
        <v>82</v>
      </c>
      <c r="Z919" t="s">
        <v>56</v>
      </c>
      <c r="AA919" t="s">
        <v>1101</v>
      </c>
      <c r="AB919">
        <v>23</v>
      </c>
      <c r="AC919" t="str">
        <f t="shared" si="43"/>
        <v>Evening</v>
      </c>
      <c r="AD919">
        <v>1</v>
      </c>
      <c r="AE919" t="s">
        <v>84</v>
      </c>
      <c r="AF919">
        <v>1</v>
      </c>
      <c r="AG919">
        <v>3</v>
      </c>
      <c r="AH919" t="s">
        <v>84</v>
      </c>
      <c r="AI919">
        <v>62640</v>
      </c>
      <c r="AJ919">
        <v>10440</v>
      </c>
      <c r="AK919">
        <v>10440</v>
      </c>
      <c r="AL919">
        <v>41760</v>
      </c>
      <c r="AM919" t="s">
        <v>72</v>
      </c>
      <c r="AN919" t="s">
        <v>198</v>
      </c>
      <c r="AO919">
        <v>2015</v>
      </c>
      <c r="AP919">
        <v>2009</v>
      </c>
      <c r="AQ919">
        <f t="shared" si="44"/>
        <v>6</v>
      </c>
      <c r="AR919" t="s">
        <v>87</v>
      </c>
    </row>
    <row r="920" spans="1:44" x14ac:dyDescent="0.25">
      <c r="A920">
        <v>180</v>
      </c>
      <c r="B920" t="str">
        <f t="shared" si="42"/>
        <v>10+ years</v>
      </c>
      <c r="C920">
        <v>36</v>
      </c>
      <c r="D920" t="str" cm="1">
        <f t="array" ref="D920">_xlfn.IFS(C920&lt;26, "19-25", C920&lt;33, "26-32", C920&lt;40, "33-39", C920&lt;47, "40-46",C920&lt;54, "47-53", TRUE, "54+")</f>
        <v>33-39</v>
      </c>
      <c r="E920">
        <v>420948</v>
      </c>
      <c r="F920" s="1">
        <v>42007</v>
      </c>
      <c r="G920" t="s">
        <v>88</v>
      </c>
      <c r="H920" t="s">
        <v>74</v>
      </c>
      <c r="I920">
        <v>500</v>
      </c>
      <c r="J920">
        <v>1272.46</v>
      </c>
      <c r="K920">
        <v>0</v>
      </c>
      <c r="L920">
        <v>456959</v>
      </c>
      <c r="M920" t="s">
        <v>46</v>
      </c>
      <c r="N920" t="s">
        <v>146</v>
      </c>
      <c r="O920" t="s">
        <v>106</v>
      </c>
      <c r="P920" t="s">
        <v>269</v>
      </c>
      <c r="Q920" t="s">
        <v>124</v>
      </c>
      <c r="R920">
        <v>0</v>
      </c>
      <c r="S920">
        <v>0</v>
      </c>
      <c r="T920" s="1">
        <v>42054</v>
      </c>
      <c r="U920" t="s">
        <v>80</v>
      </c>
      <c r="V920" t="s">
        <v>91</v>
      </c>
      <c r="W920" t="s">
        <v>68</v>
      </c>
      <c r="X920" t="s">
        <v>141</v>
      </c>
      <c r="Y920" t="s">
        <v>82</v>
      </c>
      <c r="Z920" t="s">
        <v>161</v>
      </c>
      <c r="AA920" t="s">
        <v>1102</v>
      </c>
      <c r="AB920">
        <v>7</v>
      </c>
      <c r="AC920" t="str">
        <f t="shared" si="43"/>
        <v>Morning</v>
      </c>
      <c r="AD920">
        <v>3</v>
      </c>
      <c r="AE920" t="s">
        <v>58</v>
      </c>
      <c r="AF920">
        <v>2</v>
      </c>
      <c r="AG920">
        <v>1</v>
      </c>
      <c r="AH920" t="s">
        <v>67</v>
      </c>
      <c r="AI920">
        <v>69630</v>
      </c>
      <c r="AJ920">
        <v>12660</v>
      </c>
      <c r="AK920">
        <v>6330</v>
      </c>
      <c r="AL920">
        <v>50640</v>
      </c>
      <c r="AM920" t="s">
        <v>120</v>
      </c>
      <c r="AN920" t="s">
        <v>188</v>
      </c>
      <c r="AO920">
        <v>2015</v>
      </c>
      <c r="AP920">
        <v>1998</v>
      </c>
      <c r="AQ920">
        <f t="shared" si="44"/>
        <v>17</v>
      </c>
      <c r="AR920" t="s">
        <v>87</v>
      </c>
    </row>
    <row r="921" spans="1:44" x14ac:dyDescent="0.25">
      <c r="A921">
        <v>188</v>
      </c>
      <c r="B921" t="str">
        <f t="shared" si="42"/>
        <v>10+ years</v>
      </c>
      <c r="C921">
        <v>33</v>
      </c>
      <c r="D921" t="str" cm="1">
        <f t="array" ref="D921">_xlfn.IFS(C921&lt;26, "19-25", C921&lt;33, "26-32", C921&lt;40, "33-39", C921&lt;47, "40-46",C921&lt;54, "47-53", TRUE, "54+")</f>
        <v>33-39</v>
      </c>
      <c r="E921">
        <v>457188</v>
      </c>
      <c r="F921" s="1">
        <v>34425</v>
      </c>
      <c r="G921" t="s">
        <v>88</v>
      </c>
      <c r="H921" t="s">
        <v>45</v>
      </c>
      <c r="I921">
        <v>1000</v>
      </c>
      <c r="J921">
        <v>1340.24</v>
      </c>
      <c r="K921">
        <v>0</v>
      </c>
      <c r="L921">
        <v>447274</v>
      </c>
      <c r="M921" t="s">
        <v>46</v>
      </c>
      <c r="N921" t="s">
        <v>136</v>
      </c>
      <c r="O921" t="s">
        <v>140</v>
      </c>
      <c r="P921" t="s">
        <v>173</v>
      </c>
      <c r="Q921" t="s">
        <v>79</v>
      </c>
      <c r="R921">
        <v>0</v>
      </c>
      <c r="S921">
        <v>-68800</v>
      </c>
      <c r="T921" s="1">
        <v>42043</v>
      </c>
      <c r="U921" t="s">
        <v>80</v>
      </c>
      <c r="V921" t="s">
        <v>81</v>
      </c>
      <c r="W921" t="s">
        <v>68</v>
      </c>
      <c r="X921" t="s">
        <v>54</v>
      </c>
      <c r="Y921" t="s">
        <v>82</v>
      </c>
      <c r="Z921" t="s">
        <v>127</v>
      </c>
      <c r="AA921" t="s">
        <v>1103</v>
      </c>
      <c r="AB921">
        <v>8</v>
      </c>
      <c r="AC921" t="str">
        <f t="shared" si="43"/>
        <v>Morning</v>
      </c>
      <c r="AD921">
        <v>3</v>
      </c>
      <c r="AE921" t="s">
        <v>58</v>
      </c>
      <c r="AF921">
        <v>1</v>
      </c>
      <c r="AG921">
        <v>0</v>
      </c>
      <c r="AH921" t="s">
        <v>67</v>
      </c>
      <c r="AI921">
        <v>76010</v>
      </c>
      <c r="AJ921">
        <v>13820</v>
      </c>
      <c r="AK921">
        <v>6910</v>
      </c>
      <c r="AL921">
        <v>55280</v>
      </c>
      <c r="AM921" t="s">
        <v>85</v>
      </c>
      <c r="AN921" t="s">
        <v>86</v>
      </c>
      <c r="AO921">
        <v>2015</v>
      </c>
      <c r="AP921">
        <v>1995</v>
      </c>
      <c r="AQ921">
        <f t="shared" si="44"/>
        <v>20</v>
      </c>
      <c r="AR921" t="s">
        <v>61</v>
      </c>
    </row>
    <row r="922" spans="1:44" x14ac:dyDescent="0.25">
      <c r="A922">
        <v>214</v>
      </c>
      <c r="B922" t="str">
        <f t="shared" si="42"/>
        <v>10+ years</v>
      </c>
      <c r="C922">
        <v>40</v>
      </c>
      <c r="D922" t="str" cm="1">
        <f t="array" ref="D922">_xlfn.IFS(C922&lt;26, "19-25", C922&lt;33, "26-32", C922&lt;40, "33-39", C922&lt;47, "40-46",C922&lt;54, "47-53", TRUE, "54+")</f>
        <v>40-46</v>
      </c>
      <c r="E922">
        <v>118236</v>
      </c>
      <c r="F922" s="1">
        <v>36753</v>
      </c>
      <c r="G922" t="s">
        <v>44</v>
      </c>
      <c r="H922" t="s">
        <v>74</v>
      </c>
      <c r="I922">
        <v>1000</v>
      </c>
      <c r="J922">
        <v>1648</v>
      </c>
      <c r="K922">
        <v>0</v>
      </c>
      <c r="L922">
        <v>608405</v>
      </c>
      <c r="M922" t="s">
        <v>46</v>
      </c>
      <c r="N922" t="s">
        <v>166</v>
      </c>
      <c r="O922" t="s">
        <v>150</v>
      </c>
      <c r="P922" t="s">
        <v>111</v>
      </c>
      <c r="Q922" t="s">
        <v>147</v>
      </c>
      <c r="R922">
        <v>57700</v>
      </c>
      <c r="S922">
        <v>-43500</v>
      </c>
      <c r="T922" s="1">
        <v>42039</v>
      </c>
      <c r="U922" t="s">
        <v>51</v>
      </c>
      <c r="V922" t="s">
        <v>81</v>
      </c>
      <c r="W922" t="s">
        <v>112</v>
      </c>
      <c r="X922" t="s">
        <v>125</v>
      </c>
      <c r="Y922" t="s">
        <v>118</v>
      </c>
      <c r="Z922" t="s">
        <v>161</v>
      </c>
      <c r="AA922" t="s">
        <v>1104</v>
      </c>
      <c r="AB922">
        <v>17</v>
      </c>
      <c r="AC922" t="str">
        <f t="shared" si="43"/>
        <v>Afternoon</v>
      </c>
      <c r="AD922">
        <v>1</v>
      </c>
      <c r="AE922" t="s">
        <v>84</v>
      </c>
      <c r="AF922">
        <v>1</v>
      </c>
      <c r="AG922">
        <v>0</v>
      </c>
      <c r="AH922" t="s">
        <v>58</v>
      </c>
      <c r="AI922">
        <v>44220</v>
      </c>
      <c r="AJ922">
        <v>8040</v>
      </c>
      <c r="AK922">
        <v>4020</v>
      </c>
      <c r="AL922">
        <v>32160</v>
      </c>
      <c r="AM922" t="s">
        <v>100</v>
      </c>
      <c r="AN922" t="s">
        <v>153</v>
      </c>
      <c r="AO922">
        <v>2015</v>
      </c>
      <c r="AP922">
        <v>2000</v>
      </c>
      <c r="AQ922">
        <f t="shared" si="44"/>
        <v>15</v>
      </c>
      <c r="AR922" t="s">
        <v>87</v>
      </c>
    </row>
    <row r="923" spans="1:44" x14ac:dyDescent="0.25">
      <c r="A923">
        <v>178</v>
      </c>
      <c r="B923" t="str">
        <f t="shared" si="42"/>
        <v>10+ years</v>
      </c>
      <c r="C923">
        <v>38</v>
      </c>
      <c r="D923" t="str" cm="1">
        <f t="array" ref="D923">_xlfn.IFS(C923&lt;26, "19-25", C923&lt;33, "26-32", C923&lt;40, "33-39", C923&lt;47, "40-46",C923&lt;54, "47-53", TRUE, "54+")</f>
        <v>33-39</v>
      </c>
      <c r="E923">
        <v>987524</v>
      </c>
      <c r="F923" s="1">
        <v>41956</v>
      </c>
      <c r="G923" t="s">
        <v>88</v>
      </c>
      <c r="H923" t="s">
        <v>45</v>
      </c>
      <c r="I923">
        <v>500</v>
      </c>
      <c r="J923">
        <v>1381.14</v>
      </c>
      <c r="K923">
        <v>0</v>
      </c>
      <c r="L923">
        <v>472253</v>
      </c>
      <c r="M923" t="s">
        <v>75</v>
      </c>
      <c r="N923" t="s">
        <v>146</v>
      </c>
      <c r="O923" t="s">
        <v>116</v>
      </c>
      <c r="P923" t="s">
        <v>123</v>
      </c>
      <c r="Q923" t="s">
        <v>124</v>
      </c>
      <c r="R923">
        <v>0</v>
      </c>
      <c r="S923">
        <v>0</v>
      </c>
      <c r="T923" s="1">
        <v>42057</v>
      </c>
      <c r="U923" t="s">
        <v>80</v>
      </c>
      <c r="V923" t="s">
        <v>81</v>
      </c>
      <c r="W923" t="s">
        <v>68</v>
      </c>
      <c r="X923" t="s">
        <v>125</v>
      </c>
      <c r="Y923" t="s">
        <v>82</v>
      </c>
      <c r="Z923" t="s">
        <v>161</v>
      </c>
      <c r="AA923" t="s">
        <v>1105</v>
      </c>
      <c r="AB923">
        <v>10</v>
      </c>
      <c r="AC923" t="str">
        <f t="shared" si="43"/>
        <v>Morning</v>
      </c>
      <c r="AD923">
        <v>3</v>
      </c>
      <c r="AE923" t="s">
        <v>84</v>
      </c>
      <c r="AF923">
        <v>0</v>
      </c>
      <c r="AG923">
        <v>3</v>
      </c>
      <c r="AH923" t="s">
        <v>84</v>
      </c>
      <c r="AI923">
        <v>57200</v>
      </c>
      <c r="AJ923">
        <v>5200</v>
      </c>
      <c r="AK923">
        <v>10400</v>
      </c>
      <c r="AL923">
        <v>41600</v>
      </c>
      <c r="AM923" t="s">
        <v>192</v>
      </c>
      <c r="AN923" t="s">
        <v>206</v>
      </c>
      <c r="AO923">
        <v>2015</v>
      </c>
      <c r="AP923">
        <v>2011</v>
      </c>
      <c r="AQ923">
        <f t="shared" si="44"/>
        <v>4</v>
      </c>
      <c r="AR923" t="s">
        <v>87</v>
      </c>
    </row>
    <row r="924" spans="1:44" x14ac:dyDescent="0.25">
      <c r="A924">
        <v>55</v>
      </c>
      <c r="B924" t="str">
        <f t="shared" si="42"/>
        <v>2-5 years</v>
      </c>
      <c r="C924">
        <v>35</v>
      </c>
      <c r="D924" t="str" cm="1">
        <f t="array" ref="D924">_xlfn.IFS(C924&lt;26, "19-25", C924&lt;33, "26-32", C924&lt;40, "33-39", C924&lt;47, "40-46",C924&lt;54, "47-53", TRUE, "54+")</f>
        <v>33-39</v>
      </c>
      <c r="E924">
        <v>490596</v>
      </c>
      <c r="F924" s="1">
        <v>40578</v>
      </c>
      <c r="G924" t="s">
        <v>88</v>
      </c>
      <c r="H924" t="s">
        <v>96</v>
      </c>
      <c r="I924">
        <v>500</v>
      </c>
      <c r="J924">
        <v>1198.44</v>
      </c>
      <c r="K924">
        <v>8000000</v>
      </c>
      <c r="L924">
        <v>438923</v>
      </c>
      <c r="M924" t="s">
        <v>46</v>
      </c>
      <c r="N924" t="s">
        <v>47</v>
      </c>
      <c r="O924" t="s">
        <v>122</v>
      </c>
      <c r="P924" t="s">
        <v>178</v>
      </c>
      <c r="Q924" t="s">
        <v>124</v>
      </c>
      <c r="R924">
        <v>0</v>
      </c>
      <c r="S924">
        <v>0</v>
      </c>
      <c r="T924" s="1">
        <v>42018</v>
      </c>
      <c r="U924" t="s">
        <v>66</v>
      </c>
      <c r="V924" t="s">
        <v>67</v>
      </c>
      <c r="W924" t="s">
        <v>68</v>
      </c>
      <c r="X924" t="s">
        <v>54</v>
      </c>
      <c r="Y924" t="s">
        <v>118</v>
      </c>
      <c r="Z924" t="s">
        <v>56</v>
      </c>
      <c r="AA924" t="s">
        <v>1106</v>
      </c>
      <c r="AB924">
        <v>9</v>
      </c>
      <c r="AC924" t="str">
        <f t="shared" si="43"/>
        <v>Morning</v>
      </c>
      <c r="AD924">
        <v>1</v>
      </c>
      <c r="AE924" t="s">
        <v>84</v>
      </c>
      <c r="AF924">
        <v>0</v>
      </c>
      <c r="AG924">
        <v>3</v>
      </c>
      <c r="AH924" t="s">
        <v>84</v>
      </c>
      <c r="AI924">
        <v>3080</v>
      </c>
      <c r="AJ924">
        <v>560</v>
      </c>
      <c r="AK924">
        <v>560</v>
      </c>
      <c r="AL924">
        <v>1960</v>
      </c>
      <c r="AM924" t="s">
        <v>109</v>
      </c>
      <c r="AN924" t="s">
        <v>292</v>
      </c>
      <c r="AO924">
        <v>2015</v>
      </c>
      <c r="AP924">
        <v>1998</v>
      </c>
      <c r="AQ924">
        <f t="shared" si="44"/>
        <v>17</v>
      </c>
      <c r="AR924" t="s">
        <v>87</v>
      </c>
    </row>
    <row r="925" spans="1:44" x14ac:dyDescent="0.25">
      <c r="A925">
        <v>90</v>
      </c>
      <c r="B925" t="str">
        <f t="shared" si="42"/>
        <v>5-10 years</v>
      </c>
      <c r="C925">
        <v>31</v>
      </c>
      <c r="D925" t="str" cm="1">
        <f t="array" ref="D925">_xlfn.IFS(C925&lt;26, "19-25", C925&lt;33, "26-32", C925&lt;40, "33-39", C925&lt;47, "40-46",C925&lt;54, "47-53", TRUE, "54+")</f>
        <v>26-32</v>
      </c>
      <c r="E925">
        <v>524215</v>
      </c>
      <c r="F925" s="1">
        <v>33048</v>
      </c>
      <c r="G925" t="s">
        <v>44</v>
      </c>
      <c r="H925" t="s">
        <v>45</v>
      </c>
      <c r="I925">
        <v>2000</v>
      </c>
      <c r="J925">
        <v>951.27</v>
      </c>
      <c r="K925">
        <v>0</v>
      </c>
      <c r="L925">
        <v>607131</v>
      </c>
      <c r="M925" t="s">
        <v>75</v>
      </c>
      <c r="N925" t="s">
        <v>76</v>
      </c>
      <c r="O925" t="s">
        <v>116</v>
      </c>
      <c r="P925" t="s">
        <v>154</v>
      </c>
      <c r="Q925" t="s">
        <v>147</v>
      </c>
      <c r="R925">
        <v>42100</v>
      </c>
      <c r="S925">
        <v>0</v>
      </c>
      <c r="T925" s="1">
        <v>42010</v>
      </c>
      <c r="U925" t="s">
        <v>51</v>
      </c>
      <c r="V925" t="s">
        <v>81</v>
      </c>
      <c r="W925" t="s">
        <v>112</v>
      </c>
      <c r="X925" t="s">
        <v>125</v>
      </c>
      <c r="Y925" t="s">
        <v>55</v>
      </c>
      <c r="Z925" t="s">
        <v>127</v>
      </c>
      <c r="AA925" t="s">
        <v>1107</v>
      </c>
      <c r="AB925">
        <v>2</v>
      </c>
      <c r="AC925" t="str">
        <f t="shared" si="43"/>
        <v>Night</v>
      </c>
      <c r="AD925">
        <v>1</v>
      </c>
      <c r="AE925" t="s">
        <v>58</v>
      </c>
      <c r="AF925">
        <v>1</v>
      </c>
      <c r="AG925">
        <v>0</v>
      </c>
      <c r="AH925" t="s">
        <v>58</v>
      </c>
      <c r="AI925">
        <v>75790</v>
      </c>
      <c r="AJ925">
        <v>13780</v>
      </c>
      <c r="AK925">
        <v>6890</v>
      </c>
      <c r="AL925">
        <v>55120</v>
      </c>
      <c r="AM925" t="s">
        <v>100</v>
      </c>
      <c r="AN925" t="s">
        <v>101</v>
      </c>
      <c r="AO925">
        <v>2015</v>
      </c>
      <c r="AP925">
        <v>2007</v>
      </c>
      <c r="AQ925">
        <f t="shared" si="44"/>
        <v>8</v>
      </c>
      <c r="AR925" t="s">
        <v>87</v>
      </c>
    </row>
    <row r="926" spans="1:44" x14ac:dyDescent="0.25">
      <c r="A926">
        <v>135</v>
      </c>
      <c r="B926" t="str">
        <f t="shared" si="42"/>
        <v>10+ years</v>
      </c>
      <c r="C926">
        <v>30</v>
      </c>
      <c r="D926" t="str" cm="1">
        <f t="array" ref="D926">_xlfn.IFS(C926&lt;26, "19-25", C926&lt;33, "26-32", C926&lt;40, "33-39", C926&lt;47, "40-46",C926&lt;54, "47-53", TRUE, "54+")</f>
        <v>26-32</v>
      </c>
      <c r="E926">
        <v>913464</v>
      </c>
      <c r="F926" s="1">
        <v>39834</v>
      </c>
      <c r="G926" t="s">
        <v>62</v>
      </c>
      <c r="H926" t="s">
        <v>96</v>
      </c>
      <c r="I926">
        <v>2000</v>
      </c>
      <c r="J926">
        <v>1341.24</v>
      </c>
      <c r="K926">
        <v>0</v>
      </c>
      <c r="L926">
        <v>601701</v>
      </c>
      <c r="M926" t="s">
        <v>75</v>
      </c>
      <c r="N926" t="s">
        <v>47</v>
      </c>
      <c r="O926" t="s">
        <v>194</v>
      </c>
      <c r="P926" t="s">
        <v>137</v>
      </c>
      <c r="Q926" t="s">
        <v>124</v>
      </c>
      <c r="R926">
        <v>37100</v>
      </c>
      <c r="S926">
        <v>-46500</v>
      </c>
      <c r="T926" s="1">
        <v>42023</v>
      </c>
      <c r="U926" t="s">
        <v>80</v>
      </c>
      <c r="V926" t="s">
        <v>81</v>
      </c>
      <c r="W926" t="s">
        <v>68</v>
      </c>
      <c r="X926" t="s">
        <v>141</v>
      </c>
      <c r="Y926" t="s">
        <v>118</v>
      </c>
      <c r="Z926" t="s">
        <v>70</v>
      </c>
      <c r="AA926" t="s">
        <v>1108</v>
      </c>
      <c r="AB926">
        <v>18</v>
      </c>
      <c r="AC926" t="str">
        <f t="shared" si="43"/>
        <v>Evening</v>
      </c>
      <c r="AD926">
        <v>3</v>
      </c>
      <c r="AE926" t="s">
        <v>84</v>
      </c>
      <c r="AF926">
        <v>0</v>
      </c>
      <c r="AG926">
        <v>1</v>
      </c>
      <c r="AH926" t="s">
        <v>84</v>
      </c>
      <c r="AI926">
        <v>32670</v>
      </c>
      <c r="AJ926">
        <v>5940</v>
      </c>
      <c r="AK926">
        <v>2970</v>
      </c>
      <c r="AL926">
        <v>23760</v>
      </c>
      <c r="AM926" t="s">
        <v>214</v>
      </c>
      <c r="AN926" t="s">
        <v>236</v>
      </c>
      <c r="AO926">
        <v>2015</v>
      </c>
      <c r="AP926">
        <v>2003</v>
      </c>
      <c r="AQ926">
        <f t="shared" si="44"/>
        <v>12</v>
      </c>
      <c r="AR926" t="s">
        <v>87</v>
      </c>
    </row>
    <row r="927" spans="1:44" x14ac:dyDescent="0.25">
      <c r="A927">
        <v>277</v>
      </c>
      <c r="B927" t="str">
        <f t="shared" si="42"/>
        <v>10+ years</v>
      </c>
      <c r="C927">
        <v>46</v>
      </c>
      <c r="D927" t="str" cm="1">
        <f t="array" ref="D927">_xlfn.IFS(C927&lt;26, "19-25", C927&lt;33, "26-32", C927&lt;40, "33-39", C927&lt;47, "40-46",C927&lt;54, "47-53", TRUE, "54+")</f>
        <v>40-46</v>
      </c>
      <c r="E927">
        <v>398484</v>
      </c>
      <c r="F927" s="1">
        <v>33915</v>
      </c>
      <c r="G927" t="s">
        <v>88</v>
      </c>
      <c r="H927" t="s">
        <v>45</v>
      </c>
      <c r="I927">
        <v>2000</v>
      </c>
      <c r="J927">
        <v>1177.57</v>
      </c>
      <c r="K927">
        <v>0</v>
      </c>
      <c r="L927">
        <v>469220</v>
      </c>
      <c r="M927" t="s">
        <v>75</v>
      </c>
      <c r="N927" t="s">
        <v>97</v>
      </c>
      <c r="O927" t="s">
        <v>190</v>
      </c>
      <c r="P927" t="s">
        <v>186</v>
      </c>
      <c r="Q927" t="s">
        <v>50</v>
      </c>
      <c r="R927">
        <v>0</v>
      </c>
      <c r="S927">
        <v>-65500</v>
      </c>
      <c r="T927" s="1">
        <v>42028</v>
      </c>
      <c r="U927" t="s">
        <v>66</v>
      </c>
      <c r="V927" t="s">
        <v>67</v>
      </c>
      <c r="W927" t="s">
        <v>68</v>
      </c>
      <c r="X927" t="s">
        <v>54</v>
      </c>
      <c r="Y927" t="s">
        <v>69</v>
      </c>
      <c r="Z927" t="s">
        <v>92</v>
      </c>
      <c r="AA927" t="s">
        <v>1109</v>
      </c>
      <c r="AB927">
        <v>4</v>
      </c>
      <c r="AC927" t="str">
        <f t="shared" si="43"/>
        <v>Night</v>
      </c>
      <c r="AD927">
        <v>1</v>
      </c>
      <c r="AE927" t="s">
        <v>67</v>
      </c>
      <c r="AF927">
        <v>2</v>
      </c>
      <c r="AG927">
        <v>3</v>
      </c>
      <c r="AH927" t="s">
        <v>84</v>
      </c>
      <c r="AI927">
        <v>3870</v>
      </c>
      <c r="AJ927">
        <v>430</v>
      </c>
      <c r="AK927">
        <v>860</v>
      </c>
      <c r="AL927">
        <v>2580</v>
      </c>
      <c r="AM927" t="s">
        <v>202</v>
      </c>
      <c r="AN927" t="s">
        <v>203</v>
      </c>
      <c r="AO927">
        <v>2015</v>
      </c>
      <c r="AP927">
        <v>2010</v>
      </c>
      <c r="AQ927">
        <f t="shared" si="44"/>
        <v>5</v>
      </c>
      <c r="AR927" t="s">
        <v>87</v>
      </c>
    </row>
    <row r="928" spans="1:44" x14ac:dyDescent="0.25">
      <c r="A928">
        <v>211</v>
      </c>
      <c r="B928" t="str">
        <f t="shared" si="42"/>
        <v>10+ years</v>
      </c>
      <c r="C928">
        <v>38</v>
      </c>
      <c r="D928" t="str" cm="1">
        <f t="array" ref="D928">_xlfn.IFS(C928&lt;26, "19-25", C928&lt;33, "26-32", C928&lt;40, "33-39", C928&lt;47, "40-46",C928&lt;54, "47-53", TRUE, "54+")</f>
        <v>33-39</v>
      </c>
      <c r="E928">
        <v>752504</v>
      </c>
      <c r="F928" s="1">
        <v>35565</v>
      </c>
      <c r="G928" t="s">
        <v>62</v>
      </c>
      <c r="H928" t="s">
        <v>45</v>
      </c>
      <c r="I928">
        <v>1000</v>
      </c>
      <c r="J928">
        <v>1055.0899999999999</v>
      </c>
      <c r="K928">
        <v>0</v>
      </c>
      <c r="L928">
        <v>433250</v>
      </c>
      <c r="M928" t="s">
        <v>75</v>
      </c>
      <c r="N928" t="s">
        <v>129</v>
      </c>
      <c r="O928" t="s">
        <v>150</v>
      </c>
      <c r="P928" t="s">
        <v>186</v>
      </c>
      <c r="Q928" t="s">
        <v>79</v>
      </c>
      <c r="R928">
        <v>0</v>
      </c>
      <c r="S928">
        <v>0</v>
      </c>
      <c r="T928" s="1">
        <v>42031</v>
      </c>
      <c r="U928" t="s">
        <v>51</v>
      </c>
      <c r="V928" t="s">
        <v>91</v>
      </c>
      <c r="W928" t="s">
        <v>112</v>
      </c>
      <c r="X928" t="s">
        <v>104</v>
      </c>
      <c r="Y928" t="s">
        <v>82</v>
      </c>
      <c r="Z928" t="s">
        <v>56</v>
      </c>
      <c r="AA928" t="s">
        <v>1110</v>
      </c>
      <c r="AB928">
        <v>12</v>
      </c>
      <c r="AC928" t="str">
        <f t="shared" si="43"/>
        <v>Afternoon</v>
      </c>
      <c r="AD928">
        <v>1</v>
      </c>
      <c r="AE928" t="s">
        <v>67</v>
      </c>
      <c r="AF928">
        <v>0</v>
      </c>
      <c r="AG928">
        <v>3</v>
      </c>
      <c r="AH928" t="s">
        <v>58</v>
      </c>
      <c r="AI928">
        <v>91520</v>
      </c>
      <c r="AJ928">
        <v>8320</v>
      </c>
      <c r="AK928">
        <v>16640</v>
      </c>
      <c r="AL928">
        <v>66560</v>
      </c>
      <c r="AM928" t="s">
        <v>192</v>
      </c>
      <c r="AN928" t="s">
        <v>243</v>
      </c>
      <c r="AO928">
        <v>2015</v>
      </c>
      <c r="AP928">
        <v>2005</v>
      </c>
      <c r="AQ928">
        <f t="shared" si="44"/>
        <v>10</v>
      </c>
      <c r="AR928" t="s">
        <v>61</v>
      </c>
    </row>
    <row r="929" spans="1:44" x14ac:dyDescent="0.25">
      <c r="A929">
        <v>156</v>
      </c>
      <c r="B929" t="str">
        <f t="shared" si="42"/>
        <v>10+ years</v>
      </c>
      <c r="C929">
        <v>32</v>
      </c>
      <c r="D929" t="str" cm="1">
        <f t="array" ref="D929">_xlfn.IFS(C929&lt;26, "19-25", C929&lt;33, "26-32", C929&lt;40, "33-39", C929&lt;47, "40-46",C929&lt;54, "47-53", TRUE, "54+")</f>
        <v>26-32</v>
      </c>
      <c r="E929">
        <v>449263</v>
      </c>
      <c r="F929" s="1">
        <v>33683</v>
      </c>
      <c r="G929" t="s">
        <v>88</v>
      </c>
      <c r="H929" t="s">
        <v>45</v>
      </c>
      <c r="I929">
        <v>500</v>
      </c>
      <c r="J929">
        <v>1479.48</v>
      </c>
      <c r="K929">
        <v>0</v>
      </c>
      <c r="L929">
        <v>444413</v>
      </c>
      <c r="M929" t="s">
        <v>46</v>
      </c>
      <c r="N929" t="s">
        <v>129</v>
      </c>
      <c r="O929" t="s">
        <v>106</v>
      </c>
      <c r="P929" t="s">
        <v>103</v>
      </c>
      <c r="Q929" t="s">
        <v>90</v>
      </c>
      <c r="R929">
        <v>0</v>
      </c>
      <c r="S929">
        <v>0</v>
      </c>
      <c r="T929" s="1">
        <v>42017</v>
      </c>
      <c r="U929" t="s">
        <v>51</v>
      </c>
      <c r="V929" t="s">
        <v>91</v>
      </c>
      <c r="W929" t="s">
        <v>53</v>
      </c>
      <c r="X929" t="s">
        <v>125</v>
      </c>
      <c r="Y929" t="s">
        <v>82</v>
      </c>
      <c r="Z929" t="s">
        <v>161</v>
      </c>
      <c r="AA929" t="s">
        <v>1111</v>
      </c>
      <c r="AB929">
        <v>15</v>
      </c>
      <c r="AC929" t="str">
        <f t="shared" si="43"/>
        <v>Afternoon</v>
      </c>
      <c r="AD929">
        <v>1</v>
      </c>
      <c r="AE929" t="s">
        <v>58</v>
      </c>
      <c r="AF929">
        <v>1</v>
      </c>
      <c r="AG929">
        <v>3</v>
      </c>
      <c r="AH929" t="s">
        <v>58</v>
      </c>
      <c r="AI929">
        <v>74690</v>
      </c>
      <c r="AJ929">
        <v>6790</v>
      </c>
      <c r="AK929">
        <v>13580</v>
      </c>
      <c r="AL929">
        <v>54320</v>
      </c>
      <c r="AM929" t="s">
        <v>85</v>
      </c>
      <c r="AN929" t="s">
        <v>86</v>
      </c>
      <c r="AO929">
        <v>2015</v>
      </c>
      <c r="AP929">
        <v>2008</v>
      </c>
      <c r="AQ929">
        <f t="shared" si="44"/>
        <v>7</v>
      </c>
      <c r="AR929" t="s">
        <v>61</v>
      </c>
    </row>
    <row r="930" spans="1:44" x14ac:dyDescent="0.25">
      <c r="A930">
        <v>84</v>
      </c>
      <c r="B930" t="str">
        <f t="shared" si="42"/>
        <v>5-10 years</v>
      </c>
      <c r="C930">
        <v>30</v>
      </c>
      <c r="D930" t="str" cm="1">
        <f t="array" ref="D930">_xlfn.IFS(C930&lt;26, "19-25", C930&lt;33, "26-32", C930&lt;40, "33-39", C930&lt;47, "40-46",C930&lt;54, "47-53", TRUE, "54+")</f>
        <v>26-32</v>
      </c>
      <c r="E930">
        <v>844007</v>
      </c>
      <c r="F930" s="1">
        <v>34897</v>
      </c>
      <c r="G930" t="s">
        <v>62</v>
      </c>
      <c r="H930" t="s">
        <v>96</v>
      </c>
      <c r="I930">
        <v>2000</v>
      </c>
      <c r="J930">
        <v>1827.38</v>
      </c>
      <c r="K930">
        <v>0</v>
      </c>
      <c r="L930">
        <v>433593</v>
      </c>
      <c r="M930" t="s">
        <v>46</v>
      </c>
      <c r="N930" t="s">
        <v>97</v>
      </c>
      <c r="O930" t="s">
        <v>122</v>
      </c>
      <c r="P930" t="s">
        <v>178</v>
      </c>
      <c r="Q930" t="s">
        <v>65</v>
      </c>
      <c r="R930">
        <v>0</v>
      </c>
      <c r="S930">
        <v>-15900</v>
      </c>
      <c r="T930" s="1">
        <v>42019</v>
      </c>
      <c r="U930" t="s">
        <v>66</v>
      </c>
      <c r="V930" t="s">
        <v>67</v>
      </c>
      <c r="W930" t="s">
        <v>217</v>
      </c>
      <c r="X930" t="s">
        <v>54</v>
      </c>
      <c r="Y930" t="s">
        <v>69</v>
      </c>
      <c r="Z930" t="s">
        <v>107</v>
      </c>
      <c r="AA930" t="s">
        <v>1112</v>
      </c>
      <c r="AB930">
        <v>9</v>
      </c>
      <c r="AC930" t="str">
        <f t="shared" si="43"/>
        <v>Morning</v>
      </c>
      <c r="AD930">
        <v>1</v>
      </c>
      <c r="AE930" t="s">
        <v>58</v>
      </c>
      <c r="AF930">
        <v>1</v>
      </c>
      <c r="AG930">
        <v>3</v>
      </c>
      <c r="AH930" t="s">
        <v>67</v>
      </c>
      <c r="AI930">
        <v>4620</v>
      </c>
      <c r="AJ930">
        <v>420</v>
      </c>
      <c r="AK930">
        <v>840</v>
      </c>
      <c r="AL930">
        <v>3360</v>
      </c>
      <c r="AM930" t="s">
        <v>114</v>
      </c>
      <c r="AN930" t="s">
        <v>115</v>
      </c>
      <c r="AO930">
        <v>2015</v>
      </c>
      <c r="AP930">
        <v>1998</v>
      </c>
      <c r="AQ930">
        <f t="shared" si="44"/>
        <v>17</v>
      </c>
      <c r="AR930" t="s">
        <v>87</v>
      </c>
    </row>
    <row r="931" spans="1:44" x14ac:dyDescent="0.25">
      <c r="A931">
        <v>136</v>
      </c>
      <c r="B931" t="str">
        <f t="shared" si="42"/>
        <v>10+ years</v>
      </c>
      <c r="C931">
        <v>32</v>
      </c>
      <c r="D931" t="str" cm="1">
        <f t="array" ref="D931">_xlfn.IFS(C931&lt;26, "19-25", C931&lt;33, "26-32", C931&lt;40, "33-39", C931&lt;47, "40-46",C931&lt;54, "47-53", TRUE, "54+")</f>
        <v>26-32</v>
      </c>
      <c r="E931">
        <v>686522</v>
      </c>
      <c r="F931" s="1">
        <v>36887</v>
      </c>
      <c r="G931" t="s">
        <v>62</v>
      </c>
      <c r="H931" t="s">
        <v>74</v>
      </c>
      <c r="I931">
        <v>500</v>
      </c>
      <c r="J931">
        <v>1169.6199999999999</v>
      </c>
      <c r="K931">
        <v>0</v>
      </c>
      <c r="L931">
        <v>458143</v>
      </c>
      <c r="M931" t="s">
        <v>75</v>
      </c>
      <c r="N931" t="s">
        <v>166</v>
      </c>
      <c r="O931" t="s">
        <v>77</v>
      </c>
      <c r="P931" t="s">
        <v>160</v>
      </c>
      <c r="Q931" t="s">
        <v>147</v>
      </c>
      <c r="R931">
        <v>0</v>
      </c>
      <c r="S931">
        <v>0</v>
      </c>
      <c r="T931" s="1">
        <v>42039</v>
      </c>
      <c r="U931" t="s">
        <v>51</v>
      </c>
      <c r="V931" t="s">
        <v>52</v>
      </c>
      <c r="W931" t="s">
        <v>53</v>
      </c>
      <c r="X931" t="s">
        <v>54</v>
      </c>
      <c r="Y931" t="s">
        <v>55</v>
      </c>
      <c r="Z931" t="s">
        <v>92</v>
      </c>
      <c r="AA931" t="s">
        <v>1113</v>
      </c>
      <c r="AB931">
        <v>6</v>
      </c>
      <c r="AC931" t="str">
        <f t="shared" si="43"/>
        <v>Morning</v>
      </c>
      <c r="AD931">
        <v>1</v>
      </c>
      <c r="AE931" t="s">
        <v>58</v>
      </c>
      <c r="AF931">
        <v>0</v>
      </c>
      <c r="AG931">
        <v>0</v>
      </c>
      <c r="AH931" t="s">
        <v>84</v>
      </c>
      <c r="AI931">
        <v>55000</v>
      </c>
      <c r="AJ931">
        <v>10000</v>
      </c>
      <c r="AK931">
        <v>10000</v>
      </c>
      <c r="AL931">
        <v>35000</v>
      </c>
      <c r="AM931" t="s">
        <v>120</v>
      </c>
      <c r="AN931" t="s">
        <v>121</v>
      </c>
      <c r="AO931">
        <v>2015</v>
      </c>
      <c r="AP931">
        <v>2008</v>
      </c>
      <c r="AQ931">
        <f t="shared" si="44"/>
        <v>7</v>
      </c>
      <c r="AR931" t="s">
        <v>61</v>
      </c>
    </row>
    <row r="932" spans="1:44" x14ac:dyDescent="0.25">
      <c r="A932">
        <v>310</v>
      </c>
      <c r="B932" t="str">
        <f t="shared" si="42"/>
        <v>10+ years</v>
      </c>
      <c r="C932">
        <v>48</v>
      </c>
      <c r="D932" t="str" cm="1">
        <f t="array" ref="D932">_xlfn.IFS(C932&lt;26, "19-25", C932&lt;33, "26-32", C932&lt;40, "33-39", C932&lt;47, "40-46",C932&lt;54, "47-53", TRUE, "54+")</f>
        <v>47-53</v>
      </c>
      <c r="E932">
        <v>670142</v>
      </c>
      <c r="F932" s="1">
        <v>36378</v>
      </c>
      <c r="G932" t="s">
        <v>62</v>
      </c>
      <c r="H932" t="s">
        <v>74</v>
      </c>
      <c r="I932">
        <v>500</v>
      </c>
      <c r="J932">
        <v>1516.34</v>
      </c>
      <c r="K932">
        <v>0</v>
      </c>
      <c r="L932">
        <v>474167</v>
      </c>
      <c r="M932" t="s">
        <v>75</v>
      </c>
      <c r="N932" t="s">
        <v>166</v>
      </c>
      <c r="O932" t="s">
        <v>190</v>
      </c>
      <c r="P932" t="s">
        <v>49</v>
      </c>
      <c r="Q932" t="s">
        <v>90</v>
      </c>
      <c r="R932">
        <v>11000</v>
      </c>
      <c r="S932">
        <v>0</v>
      </c>
      <c r="T932" s="1">
        <v>42008</v>
      </c>
      <c r="U932" t="s">
        <v>80</v>
      </c>
      <c r="V932" t="s">
        <v>81</v>
      </c>
      <c r="W932" t="s">
        <v>53</v>
      </c>
      <c r="X932" t="s">
        <v>54</v>
      </c>
      <c r="Y932" t="s">
        <v>55</v>
      </c>
      <c r="Z932" t="s">
        <v>107</v>
      </c>
      <c r="AA932" t="s">
        <v>1114</v>
      </c>
      <c r="AB932">
        <v>11</v>
      </c>
      <c r="AC932" t="str">
        <f t="shared" si="43"/>
        <v>Morning</v>
      </c>
      <c r="AD932">
        <v>4</v>
      </c>
      <c r="AE932" t="s">
        <v>58</v>
      </c>
      <c r="AF932">
        <v>0</v>
      </c>
      <c r="AG932">
        <v>2</v>
      </c>
      <c r="AH932" t="s">
        <v>84</v>
      </c>
      <c r="AI932">
        <v>59400</v>
      </c>
      <c r="AJ932">
        <v>13200</v>
      </c>
      <c r="AK932">
        <v>6600</v>
      </c>
      <c r="AL932">
        <v>39600</v>
      </c>
      <c r="AM932" t="s">
        <v>59</v>
      </c>
      <c r="AN932">
        <v>93</v>
      </c>
      <c r="AO932">
        <v>2015</v>
      </c>
      <c r="AP932">
        <v>1996</v>
      </c>
      <c r="AQ932">
        <f t="shared" si="44"/>
        <v>19</v>
      </c>
      <c r="AR932" t="s">
        <v>61</v>
      </c>
    </row>
    <row r="933" spans="1:44" x14ac:dyDescent="0.25">
      <c r="A933">
        <v>123</v>
      </c>
      <c r="B933" t="str">
        <f t="shared" si="42"/>
        <v>10+ years</v>
      </c>
      <c r="C933">
        <v>34</v>
      </c>
      <c r="D933" t="str" cm="1">
        <f t="array" ref="D933">_xlfn.IFS(C933&lt;26, "19-25", C933&lt;33, "26-32", C933&lt;40, "33-39", C933&lt;47, "40-46",C933&lt;54, "47-53", TRUE, "54+")</f>
        <v>33-39</v>
      </c>
      <c r="E933">
        <v>607687</v>
      </c>
      <c r="F933" s="1">
        <v>39144</v>
      </c>
      <c r="G933" t="s">
        <v>44</v>
      </c>
      <c r="H933" t="s">
        <v>96</v>
      </c>
      <c r="I933">
        <v>2000</v>
      </c>
      <c r="J933">
        <v>1270.21</v>
      </c>
      <c r="K933">
        <v>0</v>
      </c>
      <c r="L933">
        <v>476413</v>
      </c>
      <c r="M933" t="s">
        <v>75</v>
      </c>
      <c r="N933" t="s">
        <v>146</v>
      </c>
      <c r="O933" t="s">
        <v>77</v>
      </c>
      <c r="P933" t="s">
        <v>49</v>
      </c>
      <c r="Q933" t="s">
        <v>50</v>
      </c>
      <c r="R933">
        <v>16100</v>
      </c>
      <c r="S933">
        <v>-61200</v>
      </c>
      <c r="T933" s="1">
        <v>42018</v>
      </c>
      <c r="U933" t="s">
        <v>80</v>
      </c>
      <c r="V933" t="s">
        <v>52</v>
      </c>
      <c r="W933" t="s">
        <v>112</v>
      </c>
      <c r="X933" t="s">
        <v>104</v>
      </c>
      <c r="Y933" t="s">
        <v>180</v>
      </c>
      <c r="Z933" t="s">
        <v>56</v>
      </c>
      <c r="AA933" t="s">
        <v>1115</v>
      </c>
      <c r="AB933">
        <v>13</v>
      </c>
      <c r="AC933" t="str">
        <f t="shared" si="43"/>
        <v>Afternoon</v>
      </c>
      <c r="AD933">
        <v>3</v>
      </c>
      <c r="AE933" t="s">
        <v>84</v>
      </c>
      <c r="AF933">
        <v>1</v>
      </c>
      <c r="AG933">
        <v>1</v>
      </c>
      <c r="AH933" t="s">
        <v>67</v>
      </c>
      <c r="AI933">
        <v>55260</v>
      </c>
      <c r="AJ933">
        <v>6140</v>
      </c>
      <c r="AK933">
        <v>0</v>
      </c>
      <c r="AL933">
        <v>49120</v>
      </c>
      <c r="AM933" t="s">
        <v>109</v>
      </c>
      <c r="AN933" t="s">
        <v>292</v>
      </c>
      <c r="AO933">
        <v>2015</v>
      </c>
      <c r="AP933">
        <v>2000</v>
      </c>
      <c r="AQ933">
        <f t="shared" si="44"/>
        <v>15</v>
      </c>
      <c r="AR933" t="s">
        <v>87</v>
      </c>
    </row>
    <row r="934" spans="1:44" x14ac:dyDescent="0.25">
      <c r="A934">
        <v>243</v>
      </c>
      <c r="B934" t="str">
        <f t="shared" si="42"/>
        <v>10+ years</v>
      </c>
      <c r="C934">
        <v>44</v>
      </c>
      <c r="D934" t="str" cm="1">
        <f t="array" ref="D934">_xlfn.IFS(C934&lt;26, "19-25", C934&lt;33, "26-32", C934&lt;40, "33-39", C934&lt;47, "40-46",C934&lt;54, "47-53", TRUE, "54+")</f>
        <v>40-46</v>
      </c>
      <c r="E934">
        <v>967713</v>
      </c>
      <c r="F934" s="1">
        <v>35789</v>
      </c>
      <c r="G934" t="s">
        <v>88</v>
      </c>
      <c r="H934" t="s">
        <v>45</v>
      </c>
      <c r="I934">
        <v>500</v>
      </c>
      <c r="J934">
        <v>809.11</v>
      </c>
      <c r="K934">
        <v>0</v>
      </c>
      <c r="L934">
        <v>600208</v>
      </c>
      <c r="M934" t="s">
        <v>46</v>
      </c>
      <c r="N934" t="s">
        <v>166</v>
      </c>
      <c r="O934" t="s">
        <v>48</v>
      </c>
      <c r="P934" t="s">
        <v>178</v>
      </c>
      <c r="Q934" t="s">
        <v>65</v>
      </c>
      <c r="R934">
        <v>33200</v>
      </c>
      <c r="S934">
        <v>0</v>
      </c>
      <c r="T934" s="1">
        <v>42031</v>
      </c>
      <c r="U934" t="s">
        <v>80</v>
      </c>
      <c r="V934" t="s">
        <v>52</v>
      </c>
      <c r="W934" t="s">
        <v>68</v>
      </c>
      <c r="X934" t="s">
        <v>125</v>
      </c>
      <c r="Y934" t="s">
        <v>126</v>
      </c>
      <c r="Z934" t="s">
        <v>107</v>
      </c>
      <c r="AA934" t="s">
        <v>1116</v>
      </c>
      <c r="AB934">
        <v>4</v>
      </c>
      <c r="AC934" t="str">
        <f t="shared" si="43"/>
        <v>Night</v>
      </c>
      <c r="AD934">
        <v>3</v>
      </c>
      <c r="AE934" t="s">
        <v>67</v>
      </c>
      <c r="AF934">
        <v>2</v>
      </c>
      <c r="AG934">
        <v>1</v>
      </c>
      <c r="AH934" t="s">
        <v>58</v>
      </c>
      <c r="AI934">
        <v>51400</v>
      </c>
      <c r="AJ934">
        <v>5140</v>
      </c>
      <c r="AK934">
        <v>10280</v>
      </c>
      <c r="AL934">
        <v>35980</v>
      </c>
      <c r="AM934" t="s">
        <v>214</v>
      </c>
      <c r="AN934" t="s">
        <v>215</v>
      </c>
      <c r="AO934">
        <v>2015</v>
      </c>
      <c r="AP934">
        <v>1996</v>
      </c>
      <c r="AQ934">
        <f t="shared" si="44"/>
        <v>19</v>
      </c>
      <c r="AR934" t="s">
        <v>87</v>
      </c>
    </row>
    <row r="935" spans="1:44" x14ac:dyDescent="0.25">
      <c r="A935">
        <v>36</v>
      </c>
      <c r="B935" t="str">
        <f t="shared" si="42"/>
        <v>2-5 years</v>
      </c>
      <c r="C935">
        <v>37</v>
      </c>
      <c r="D935" t="str" cm="1">
        <f t="array" ref="D935">_xlfn.IFS(C935&lt;26, "19-25", C935&lt;33, "26-32", C935&lt;40, "33-39", C935&lt;47, "40-46",C935&lt;54, "47-53", TRUE, "54+")</f>
        <v>33-39</v>
      </c>
      <c r="E935">
        <v>291902</v>
      </c>
      <c r="F935" s="1">
        <v>41584</v>
      </c>
      <c r="G935" t="s">
        <v>88</v>
      </c>
      <c r="H935" t="s">
        <v>96</v>
      </c>
      <c r="I935">
        <v>1000</v>
      </c>
      <c r="J935">
        <v>1115.81</v>
      </c>
      <c r="K935">
        <v>0</v>
      </c>
      <c r="L935">
        <v>618926</v>
      </c>
      <c r="M935" t="s">
        <v>75</v>
      </c>
      <c r="N935" t="s">
        <v>129</v>
      </c>
      <c r="O935" t="s">
        <v>63</v>
      </c>
      <c r="P935" t="s">
        <v>64</v>
      </c>
      <c r="Q935" t="s">
        <v>50</v>
      </c>
      <c r="R935">
        <v>0</v>
      </c>
      <c r="S935">
        <v>-59800</v>
      </c>
      <c r="T935" s="1">
        <v>42047</v>
      </c>
      <c r="U935" t="s">
        <v>80</v>
      </c>
      <c r="V935" t="s">
        <v>52</v>
      </c>
      <c r="W935" t="s">
        <v>68</v>
      </c>
      <c r="X935" t="s">
        <v>141</v>
      </c>
      <c r="Y935" t="s">
        <v>82</v>
      </c>
      <c r="Z935" t="s">
        <v>56</v>
      </c>
      <c r="AA935" t="s">
        <v>1117</v>
      </c>
      <c r="AB935">
        <v>20</v>
      </c>
      <c r="AC935" t="str">
        <f t="shared" si="43"/>
        <v>Evening</v>
      </c>
      <c r="AD935">
        <v>3</v>
      </c>
      <c r="AE935" t="s">
        <v>58</v>
      </c>
      <c r="AF935">
        <v>1</v>
      </c>
      <c r="AG935">
        <v>3</v>
      </c>
      <c r="AH935" t="s">
        <v>67</v>
      </c>
      <c r="AI935">
        <v>48780</v>
      </c>
      <c r="AJ935">
        <v>5420</v>
      </c>
      <c r="AK935">
        <v>10840</v>
      </c>
      <c r="AL935">
        <v>32520</v>
      </c>
      <c r="AM935" t="s">
        <v>85</v>
      </c>
      <c r="AN935" t="s">
        <v>149</v>
      </c>
      <c r="AO935">
        <v>2015</v>
      </c>
      <c r="AP935">
        <v>2008</v>
      </c>
      <c r="AQ935">
        <f t="shared" si="44"/>
        <v>7</v>
      </c>
      <c r="AR935" t="s">
        <v>87</v>
      </c>
    </row>
    <row r="936" spans="1:44" x14ac:dyDescent="0.25">
      <c r="A936">
        <v>146</v>
      </c>
      <c r="B936" t="str">
        <f t="shared" si="42"/>
        <v>10+ years</v>
      </c>
      <c r="C936">
        <v>31</v>
      </c>
      <c r="D936" t="str" cm="1">
        <f t="array" ref="D936">_xlfn.IFS(C936&lt;26, "19-25", C936&lt;33, "26-32", C936&lt;40, "33-39", C936&lt;47, "40-46",C936&lt;54, "47-53", TRUE, "54+")</f>
        <v>26-32</v>
      </c>
      <c r="E936">
        <v>149839</v>
      </c>
      <c r="F936" s="1">
        <v>33137</v>
      </c>
      <c r="G936" t="s">
        <v>44</v>
      </c>
      <c r="H936" t="s">
        <v>74</v>
      </c>
      <c r="I936">
        <v>1000</v>
      </c>
      <c r="J936">
        <v>1457.65</v>
      </c>
      <c r="K936">
        <v>5000000</v>
      </c>
      <c r="L936">
        <v>606219</v>
      </c>
      <c r="M936" t="s">
        <v>75</v>
      </c>
      <c r="N936" t="s">
        <v>146</v>
      </c>
      <c r="O936" t="s">
        <v>89</v>
      </c>
      <c r="P936" t="s">
        <v>123</v>
      </c>
      <c r="Q936" t="s">
        <v>79</v>
      </c>
      <c r="R936">
        <v>0</v>
      </c>
      <c r="S936">
        <v>0</v>
      </c>
      <c r="T936" s="1">
        <v>42038</v>
      </c>
      <c r="U936" t="s">
        <v>80</v>
      </c>
      <c r="V936" t="s">
        <v>81</v>
      </c>
      <c r="W936" t="s">
        <v>53</v>
      </c>
      <c r="X936" t="s">
        <v>141</v>
      </c>
      <c r="Y936" t="s">
        <v>69</v>
      </c>
      <c r="Z936" t="s">
        <v>70</v>
      </c>
      <c r="AA936" t="s">
        <v>1118</v>
      </c>
      <c r="AB936">
        <v>0</v>
      </c>
      <c r="AC936" t="str">
        <f t="shared" si="43"/>
        <v>Night</v>
      </c>
      <c r="AD936">
        <v>3</v>
      </c>
      <c r="AE936" t="s">
        <v>84</v>
      </c>
      <c r="AF936">
        <v>1</v>
      </c>
      <c r="AG936">
        <v>3</v>
      </c>
      <c r="AH936" t="s">
        <v>67</v>
      </c>
      <c r="AI936">
        <v>52380</v>
      </c>
      <c r="AJ936">
        <v>5820</v>
      </c>
      <c r="AK936">
        <v>5820</v>
      </c>
      <c r="AL936">
        <v>40740</v>
      </c>
      <c r="AM936" t="s">
        <v>120</v>
      </c>
      <c r="AN936" t="s">
        <v>145</v>
      </c>
      <c r="AO936">
        <v>2015</v>
      </c>
      <c r="AP936">
        <v>2010</v>
      </c>
      <c r="AQ936">
        <f t="shared" si="44"/>
        <v>5</v>
      </c>
      <c r="AR936" t="s">
        <v>87</v>
      </c>
    </row>
    <row r="937" spans="1:44" x14ac:dyDescent="0.25">
      <c r="A937">
        <v>154</v>
      </c>
      <c r="B937" t="str">
        <f t="shared" si="42"/>
        <v>10+ years</v>
      </c>
      <c r="C937">
        <v>34</v>
      </c>
      <c r="D937" t="str" cm="1">
        <f t="array" ref="D937">_xlfn.IFS(C937&lt;26, "19-25", C937&lt;33, "26-32", C937&lt;40, "33-39", C937&lt;47, "40-46",C937&lt;54, "47-53", TRUE, "54+")</f>
        <v>33-39</v>
      </c>
      <c r="E937">
        <v>840225</v>
      </c>
      <c r="F937" s="1">
        <v>36438</v>
      </c>
      <c r="G937" t="s">
        <v>44</v>
      </c>
      <c r="H937" t="s">
        <v>74</v>
      </c>
      <c r="I937">
        <v>1000</v>
      </c>
      <c r="J937">
        <v>1041.3599999999999</v>
      </c>
      <c r="K937">
        <v>0</v>
      </c>
      <c r="L937">
        <v>448436</v>
      </c>
      <c r="M937" t="s">
        <v>75</v>
      </c>
      <c r="N937" t="s">
        <v>166</v>
      </c>
      <c r="O937" t="s">
        <v>122</v>
      </c>
      <c r="P937" t="s">
        <v>247</v>
      </c>
      <c r="Q937" t="s">
        <v>50</v>
      </c>
      <c r="R937">
        <v>53100</v>
      </c>
      <c r="S937">
        <v>-43900</v>
      </c>
      <c r="T937" s="1">
        <v>42030</v>
      </c>
      <c r="U937" t="s">
        <v>80</v>
      </c>
      <c r="V937" t="s">
        <v>52</v>
      </c>
      <c r="W937" t="s">
        <v>112</v>
      </c>
      <c r="X937" t="s">
        <v>125</v>
      </c>
      <c r="Y937" t="s">
        <v>118</v>
      </c>
      <c r="Z937" t="s">
        <v>127</v>
      </c>
      <c r="AA937" t="s">
        <v>1119</v>
      </c>
      <c r="AB937">
        <v>18</v>
      </c>
      <c r="AC937" t="str">
        <f t="shared" si="43"/>
        <v>Evening</v>
      </c>
      <c r="AD937">
        <v>4</v>
      </c>
      <c r="AE937" t="s">
        <v>67</v>
      </c>
      <c r="AF937">
        <v>2</v>
      </c>
      <c r="AG937">
        <v>3</v>
      </c>
      <c r="AH937" t="s">
        <v>58</v>
      </c>
      <c r="AI937">
        <v>74360</v>
      </c>
      <c r="AJ937">
        <v>13520</v>
      </c>
      <c r="AK937">
        <v>13520</v>
      </c>
      <c r="AL937">
        <v>47320</v>
      </c>
      <c r="AM937" t="s">
        <v>120</v>
      </c>
      <c r="AN937" t="s">
        <v>145</v>
      </c>
      <c r="AO937">
        <v>2015</v>
      </c>
      <c r="AP937">
        <v>2005</v>
      </c>
      <c r="AQ937">
        <f t="shared" si="44"/>
        <v>10</v>
      </c>
      <c r="AR937" t="s">
        <v>61</v>
      </c>
    </row>
    <row r="938" spans="1:44" x14ac:dyDescent="0.25">
      <c r="A938">
        <v>204</v>
      </c>
      <c r="B938" t="str">
        <f t="shared" si="42"/>
        <v>10+ years</v>
      </c>
      <c r="C938">
        <v>40</v>
      </c>
      <c r="D938" t="str" cm="1">
        <f t="array" ref="D938">_xlfn.IFS(C938&lt;26, "19-25", C938&lt;33, "26-32", C938&lt;40, "33-39", C938&lt;47, "40-46",C938&lt;54, "47-53", TRUE, "54+")</f>
        <v>40-46</v>
      </c>
      <c r="E938">
        <v>643226</v>
      </c>
      <c r="F938" s="1">
        <v>33701</v>
      </c>
      <c r="G938" t="s">
        <v>44</v>
      </c>
      <c r="H938" t="s">
        <v>45</v>
      </c>
      <c r="I938">
        <v>1000</v>
      </c>
      <c r="J938">
        <v>1693.83</v>
      </c>
      <c r="K938">
        <v>7000000</v>
      </c>
      <c r="L938">
        <v>447976</v>
      </c>
      <c r="M938" t="s">
        <v>46</v>
      </c>
      <c r="N938" t="s">
        <v>136</v>
      </c>
      <c r="O938" t="s">
        <v>140</v>
      </c>
      <c r="P938" t="s">
        <v>178</v>
      </c>
      <c r="Q938" t="s">
        <v>65</v>
      </c>
      <c r="R938">
        <v>44000</v>
      </c>
      <c r="S938">
        <v>-20800</v>
      </c>
      <c r="T938" s="1">
        <v>42013</v>
      </c>
      <c r="U938" t="s">
        <v>51</v>
      </c>
      <c r="V938" t="s">
        <v>91</v>
      </c>
      <c r="W938" t="s">
        <v>68</v>
      </c>
      <c r="X938" t="s">
        <v>54</v>
      </c>
      <c r="Y938" t="s">
        <v>82</v>
      </c>
      <c r="Z938" t="s">
        <v>161</v>
      </c>
      <c r="AA938" t="s">
        <v>1120</v>
      </c>
      <c r="AB938">
        <v>6</v>
      </c>
      <c r="AC938" t="str">
        <f t="shared" si="43"/>
        <v>Morning</v>
      </c>
      <c r="AD938">
        <v>1</v>
      </c>
      <c r="AE938" t="s">
        <v>67</v>
      </c>
      <c r="AF938">
        <v>1</v>
      </c>
      <c r="AG938">
        <v>0</v>
      </c>
      <c r="AH938" t="s">
        <v>67</v>
      </c>
      <c r="AI938">
        <v>53400</v>
      </c>
      <c r="AJ938">
        <v>5340</v>
      </c>
      <c r="AK938">
        <v>5340</v>
      </c>
      <c r="AL938">
        <v>42720</v>
      </c>
      <c r="AM938" t="s">
        <v>214</v>
      </c>
      <c r="AN938" t="s">
        <v>230</v>
      </c>
      <c r="AO938">
        <v>2015</v>
      </c>
      <c r="AP938">
        <v>2003</v>
      </c>
      <c r="AQ938">
        <f t="shared" si="44"/>
        <v>12</v>
      </c>
      <c r="AR938" t="s">
        <v>87</v>
      </c>
    </row>
    <row r="939" spans="1:44" x14ac:dyDescent="0.25">
      <c r="A939">
        <v>458</v>
      </c>
      <c r="B939" t="str">
        <f t="shared" si="42"/>
        <v>10+ years</v>
      </c>
      <c r="C939">
        <v>59</v>
      </c>
      <c r="D939" t="str" cm="1">
        <f t="array" ref="D939">_xlfn.IFS(C939&lt;26, "19-25", C939&lt;33, "26-32", C939&lt;40, "33-39", C939&lt;47, "40-46",C939&lt;54, "47-53", TRUE, "54+")</f>
        <v>54+</v>
      </c>
      <c r="E939">
        <v>535879</v>
      </c>
      <c r="F939" s="1">
        <v>39877</v>
      </c>
      <c r="G939" t="s">
        <v>62</v>
      </c>
      <c r="H939" t="s">
        <v>74</v>
      </c>
      <c r="I939">
        <v>1000</v>
      </c>
      <c r="J939">
        <v>1685.69</v>
      </c>
      <c r="K939">
        <v>0</v>
      </c>
      <c r="L939">
        <v>472236</v>
      </c>
      <c r="M939" t="s">
        <v>75</v>
      </c>
      <c r="N939" t="s">
        <v>136</v>
      </c>
      <c r="O939" t="s">
        <v>140</v>
      </c>
      <c r="P939" t="s">
        <v>154</v>
      </c>
      <c r="Q939" t="s">
        <v>124</v>
      </c>
      <c r="R939">
        <v>31400</v>
      </c>
      <c r="S939">
        <v>0</v>
      </c>
      <c r="T939" s="1">
        <v>42052</v>
      </c>
      <c r="U939" t="s">
        <v>51</v>
      </c>
      <c r="V939" t="s">
        <v>91</v>
      </c>
      <c r="W939" t="s">
        <v>112</v>
      </c>
      <c r="X939" t="s">
        <v>54</v>
      </c>
      <c r="Y939" t="s">
        <v>69</v>
      </c>
      <c r="Z939" t="s">
        <v>127</v>
      </c>
      <c r="AA939" t="s">
        <v>1121</v>
      </c>
      <c r="AB939">
        <v>23</v>
      </c>
      <c r="AC939" t="str">
        <f t="shared" si="43"/>
        <v>Evening</v>
      </c>
      <c r="AD939">
        <v>1</v>
      </c>
      <c r="AE939" t="s">
        <v>67</v>
      </c>
      <c r="AF939">
        <v>2</v>
      </c>
      <c r="AG939">
        <v>2</v>
      </c>
      <c r="AH939" t="s">
        <v>58</v>
      </c>
      <c r="AI939">
        <v>71800</v>
      </c>
      <c r="AJ939">
        <v>14360</v>
      </c>
      <c r="AK939">
        <v>14360</v>
      </c>
      <c r="AL939">
        <v>43080</v>
      </c>
      <c r="AM939" t="s">
        <v>202</v>
      </c>
      <c r="AN939" t="s">
        <v>380</v>
      </c>
      <c r="AO939">
        <v>2015</v>
      </c>
      <c r="AP939">
        <v>1995</v>
      </c>
      <c r="AQ939">
        <f t="shared" si="44"/>
        <v>20</v>
      </c>
      <c r="AR939" t="s">
        <v>87</v>
      </c>
    </row>
    <row r="940" spans="1:44" x14ac:dyDescent="0.25">
      <c r="A940">
        <v>147</v>
      </c>
      <c r="B940" t="str">
        <f t="shared" si="42"/>
        <v>10+ years</v>
      </c>
      <c r="C940">
        <v>31</v>
      </c>
      <c r="D940" t="str" cm="1">
        <f t="array" ref="D940">_xlfn.IFS(C940&lt;26, "19-25", C940&lt;33, "26-32", C940&lt;40, "33-39", C940&lt;47, "40-46",C940&lt;54, "47-53", TRUE, "54+")</f>
        <v>26-32</v>
      </c>
      <c r="E940">
        <v>746630</v>
      </c>
      <c r="F940" s="1">
        <v>35471</v>
      </c>
      <c r="G940" t="s">
        <v>62</v>
      </c>
      <c r="H940" t="s">
        <v>45</v>
      </c>
      <c r="I940">
        <v>500</v>
      </c>
      <c r="J940">
        <v>1054.92</v>
      </c>
      <c r="K940">
        <v>6000000</v>
      </c>
      <c r="L940">
        <v>468232</v>
      </c>
      <c r="M940" t="s">
        <v>75</v>
      </c>
      <c r="N940" t="s">
        <v>76</v>
      </c>
      <c r="O940" t="s">
        <v>106</v>
      </c>
      <c r="P940" t="s">
        <v>269</v>
      </c>
      <c r="Q940" t="s">
        <v>79</v>
      </c>
      <c r="R940">
        <v>51900</v>
      </c>
      <c r="S940">
        <v>0</v>
      </c>
      <c r="T940" s="1">
        <v>42020</v>
      </c>
      <c r="U940" t="s">
        <v>51</v>
      </c>
      <c r="V940" t="s">
        <v>91</v>
      </c>
      <c r="W940" t="s">
        <v>53</v>
      </c>
      <c r="X940" t="s">
        <v>125</v>
      </c>
      <c r="Y940" t="s">
        <v>82</v>
      </c>
      <c r="Z940" t="s">
        <v>161</v>
      </c>
      <c r="AA940" t="s">
        <v>1122</v>
      </c>
      <c r="AB940">
        <v>4</v>
      </c>
      <c r="AC940" t="str">
        <f t="shared" si="43"/>
        <v>Night</v>
      </c>
      <c r="AD940">
        <v>1</v>
      </c>
      <c r="AE940" t="s">
        <v>67</v>
      </c>
      <c r="AF940">
        <v>0</v>
      </c>
      <c r="AG940">
        <v>0</v>
      </c>
      <c r="AH940" t="s">
        <v>67</v>
      </c>
      <c r="AI940">
        <v>68240</v>
      </c>
      <c r="AJ940">
        <v>8530</v>
      </c>
      <c r="AK940">
        <v>0</v>
      </c>
      <c r="AL940">
        <v>59710</v>
      </c>
      <c r="AM940" t="s">
        <v>120</v>
      </c>
      <c r="AN940" t="s">
        <v>188</v>
      </c>
      <c r="AO940">
        <v>2015</v>
      </c>
      <c r="AP940">
        <v>2013</v>
      </c>
      <c r="AQ940">
        <f t="shared" si="44"/>
        <v>2</v>
      </c>
      <c r="AR940" t="s">
        <v>61</v>
      </c>
    </row>
    <row r="941" spans="1:44" x14ac:dyDescent="0.25">
      <c r="A941">
        <v>279</v>
      </c>
      <c r="B941" t="str">
        <f t="shared" si="42"/>
        <v>10+ years</v>
      </c>
      <c r="C941">
        <v>45</v>
      </c>
      <c r="D941" t="str" cm="1">
        <f t="array" ref="D941">_xlfn.IFS(C941&lt;26, "19-25", C941&lt;33, "26-32", C941&lt;40, "33-39", C941&lt;47, "40-46",C941&lt;54, "47-53", TRUE, "54+")</f>
        <v>40-46</v>
      </c>
      <c r="E941">
        <v>598308</v>
      </c>
      <c r="F941" s="1">
        <v>33631</v>
      </c>
      <c r="G941" t="s">
        <v>62</v>
      </c>
      <c r="H941" t="s">
        <v>45</v>
      </c>
      <c r="I941">
        <v>2000</v>
      </c>
      <c r="J941">
        <v>1333.97</v>
      </c>
      <c r="K941">
        <v>6000000</v>
      </c>
      <c r="L941">
        <v>620819</v>
      </c>
      <c r="M941" t="s">
        <v>75</v>
      </c>
      <c r="N941" t="s">
        <v>47</v>
      </c>
      <c r="O941" t="s">
        <v>116</v>
      </c>
      <c r="P941" t="s">
        <v>103</v>
      </c>
      <c r="Q941" t="s">
        <v>90</v>
      </c>
      <c r="R941">
        <v>61100</v>
      </c>
      <c r="S941">
        <v>-30700</v>
      </c>
      <c r="T941" s="1">
        <v>42016</v>
      </c>
      <c r="U941" t="s">
        <v>80</v>
      </c>
      <c r="V941" t="s">
        <v>81</v>
      </c>
      <c r="W941" t="s">
        <v>53</v>
      </c>
      <c r="X941" t="s">
        <v>125</v>
      </c>
      <c r="Y941" t="s">
        <v>55</v>
      </c>
      <c r="Z941" t="s">
        <v>92</v>
      </c>
      <c r="AA941" t="s">
        <v>1123</v>
      </c>
      <c r="AB941">
        <v>21</v>
      </c>
      <c r="AC941" t="str">
        <f t="shared" si="43"/>
        <v>Evening</v>
      </c>
      <c r="AD941">
        <v>3</v>
      </c>
      <c r="AE941" t="s">
        <v>67</v>
      </c>
      <c r="AF941">
        <v>1</v>
      </c>
      <c r="AG941">
        <v>0</v>
      </c>
      <c r="AH941" t="s">
        <v>67</v>
      </c>
      <c r="AI941">
        <v>61050</v>
      </c>
      <c r="AJ941">
        <v>11100</v>
      </c>
      <c r="AK941">
        <v>11100</v>
      </c>
      <c r="AL941">
        <v>38850</v>
      </c>
      <c r="AM941" t="s">
        <v>85</v>
      </c>
      <c r="AN941" t="s">
        <v>86</v>
      </c>
      <c r="AO941">
        <v>2015</v>
      </c>
      <c r="AP941">
        <v>2011</v>
      </c>
      <c r="AQ941">
        <f t="shared" si="44"/>
        <v>4</v>
      </c>
      <c r="AR941" t="s">
        <v>61</v>
      </c>
    </row>
    <row r="942" spans="1:44" x14ac:dyDescent="0.25">
      <c r="A942">
        <v>308</v>
      </c>
      <c r="B942" t="str">
        <f t="shared" si="42"/>
        <v>10+ years</v>
      </c>
      <c r="C942">
        <v>47</v>
      </c>
      <c r="D942" t="str" cm="1">
        <f t="array" ref="D942">_xlfn.IFS(C942&lt;26, "19-25", C942&lt;33, "26-32", C942&lt;40, "33-39", C942&lt;47, "40-46",C942&lt;54, "47-53", TRUE, "54+")</f>
        <v>47-53</v>
      </c>
      <c r="E942">
        <v>720356</v>
      </c>
      <c r="F942" s="1">
        <v>41533</v>
      </c>
      <c r="G942" t="s">
        <v>44</v>
      </c>
      <c r="H942" t="s">
        <v>74</v>
      </c>
      <c r="I942">
        <v>1000</v>
      </c>
      <c r="J942">
        <v>1013.61</v>
      </c>
      <c r="K942">
        <v>6000000</v>
      </c>
      <c r="L942">
        <v>452349</v>
      </c>
      <c r="M942" t="s">
        <v>75</v>
      </c>
      <c r="N942" t="s">
        <v>97</v>
      </c>
      <c r="O942" t="s">
        <v>48</v>
      </c>
      <c r="P942" t="s">
        <v>151</v>
      </c>
      <c r="Q942" t="s">
        <v>79</v>
      </c>
      <c r="R942">
        <v>45700</v>
      </c>
      <c r="S942">
        <v>-41400</v>
      </c>
      <c r="T942" s="1">
        <v>42007</v>
      </c>
      <c r="U942" t="s">
        <v>143</v>
      </c>
      <c r="V942" t="s">
        <v>67</v>
      </c>
      <c r="W942" t="s">
        <v>68</v>
      </c>
      <c r="X942" t="s">
        <v>98</v>
      </c>
      <c r="Y942" t="s">
        <v>82</v>
      </c>
      <c r="Z942" t="s">
        <v>107</v>
      </c>
      <c r="AA942" t="s">
        <v>1124</v>
      </c>
      <c r="AB942">
        <v>7</v>
      </c>
      <c r="AC942" t="str">
        <f t="shared" si="43"/>
        <v>Morning</v>
      </c>
      <c r="AD942">
        <v>1</v>
      </c>
      <c r="AE942" t="s">
        <v>67</v>
      </c>
      <c r="AF942">
        <v>1</v>
      </c>
      <c r="AG942">
        <v>1</v>
      </c>
      <c r="AH942" t="s">
        <v>58</v>
      </c>
      <c r="AI942">
        <v>5590</v>
      </c>
      <c r="AJ942">
        <v>860</v>
      </c>
      <c r="AK942">
        <v>860</v>
      </c>
      <c r="AL942">
        <v>3870</v>
      </c>
      <c r="AM942" t="s">
        <v>158</v>
      </c>
      <c r="AN942" t="s">
        <v>168</v>
      </c>
      <c r="AO942">
        <v>2015</v>
      </c>
      <c r="AP942">
        <v>2002</v>
      </c>
      <c r="AQ942">
        <f t="shared" si="44"/>
        <v>13</v>
      </c>
      <c r="AR942" t="s">
        <v>87</v>
      </c>
    </row>
    <row r="943" spans="1:44" x14ac:dyDescent="0.25">
      <c r="A943">
        <v>284</v>
      </c>
      <c r="B943" t="str">
        <f t="shared" si="42"/>
        <v>10+ years</v>
      </c>
      <c r="C943">
        <v>48</v>
      </c>
      <c r="D943" t="str" cm="1">
        <f t="array" ref="D943">_xlfn.IFS(C943&lt;26, "19-25", C943&lt;33, "26-32", C943&lt;40, "33-39", C943&lt;47, "40-46",C943&lt;54, "47-53", TRUE, "54+")</f>
        <v>47-53</v>
      </c>
      <c r="E943">
        <v>724752</v>
      </c>
      <c r="F943" s="1">
        <v>39584</v>
      </c>
      <c r="G943" t="s">
        <v>88</v>
      </c>
      <c r="H943" t="s">
        <v>96</v>
      </c>
      <c r="I943">
        <v>500</v>
      </c>
      <c r="J943">
        <v>958.3</v>
      </c>
      <c r="K943">
        <v>0</v>
      </c>
      <c r="L943">
        <v>464646</v>
      </c>
      <c r="M943" t="s">
        <v>75</v>
      </c>
      <c r="N943" t="s">
        <v>76</v>
      </c>
      <c r="O943" t="s">
        <v>63</v>
      </c>
      <c r="P943" t="s">
        <v>269</v>
      </c>
      <c r="Q943" t="s">
        <v>50</v>
      </c>
      <c r="R943">
        <v>47900</v>
      </c>
      <c r="S943">
        <v>0</v>
      </c>
      <c r="T943" s="1">
        <v>42026</v>
      </c>
      <c r="U943" t="s">
        <v>80</v>
      </c>
      <c r="V943" t="s">
        <v>52</v>
      </c>
      <c r="W943" t="s">
        <v>53</v>
      </c>
      <c r="X943" t="s">
        <v>104</v>
      </c>
      <c r="Y943" t="s">
        <v>82</v>
      </c>
      <c r="Z943" t="s">
        <v>56</v>
      </c>
      <c r="AA943" t="s">
        <v>1125</v>
      </c>
      <c r="AB943">
        <v>19</v>
      </c>
      <c r="AC943" t="str">
        <f t="shared" si="43"/>
        <v>Evening</v>
      </c>
      <c r="AD943">
        <v>3</v>
      </c>
      <c r="AE943" t="s">
        <v>67</v>
      </c>
      <c r="AF943">
        <v>0</v>
      </c>
      <c r="AG943">
        <v>0</v>
      </c>
      <c r="AH943" t="s">
        <v>67</v>
      </c>
      <c r="AI943">
        <v>46860</v>
      </c>
      <c r="AJ943">
        <v>8520</v>
      </c>
      <c r="AK943">
        <v>8520</v>
      </c>
      <c r="AL943">
        <v>29820</v>
      </c>
      <c r="AM943" t="s">
        <v>219</v>
      </c>
      <c r="AN943" t="s">
        <v>220</v>
      </c>
      <c r="AO943">
        <v>2015</v>
      </c>
      <c r="AP943">
        <v>1998</v>
      </c>
      <c r="AQ943">
        <f t="shared" si="44"/>
        <v>17</v>
      </c>
      <c r="AR943" t="s">
        <v>87</v>
      </c>
    </row>
    <row r="944" spans="1:44" x14ac:dyDescent="0.25">
      <c r="A944">
        <v>108</v>
      </c>
      <c r="B944" t="str">
        <f t="shared" si="42"/>
        <v>5-10 years</v>
      </c>
      <c r="C944">
        <v>31</v>
      </c>
      <c r="D944" t="str" cm="1">
        <f t="array" ref="D944">_xlfn.IFS(C944&lt;26, "19-25", C944&lt;33, "26-32", C944&lt;40, "33-39", C944&lt;47, "40-46",C944&lt;54, "47-53", TRUE, "54+")</f>
        <v>26-32</v>
      </c>
      <c r="E944">
        <v>148498</v>
      </c>
      <c r="F944" s="1">
        <v>37260</v>
      </c>
      <c r="G944" t="s">
        <v>62</v>
      </c>
      <c r="H944" t="s">
        <v>45</v>
      </c>
      <c r="I944">
        <v>2000</v>
      </c>
      <c r="J944">
        <v>1112.04</v>
      </c>
      <c r="K944">
        <v>6000000</v>
      </c>
      <c r="L944">
        <v>472209</v>
      </c>
      <c r="M944" t="s">
        <v>75</v>
      </c>
      <c r="N944" t="s">
        <v>76</v>
      </c>
      <c r="O944" t="s">
        <v>116</v>
      </c>
      <c r="P944" t="s">
        <v>111</v>
      </c>
      <c r="Q944" t="s">
        <v>79</v>
      </c>
      <c r="R944">
        <v>52800</v>
      </c>
      <c r="S944">
        <v>-54300</v>
      </c>
      <c r="T944" s="1">
        <v>42017</v>
      </c>
      <c r="U944" t="s">
        <v>143</v>
      </c>
      <c r="V944" t="s">
        <v>67</v>
      </c>
      <c r="W944" t="s">
        <v>68</v>
      </c>
      <c r="X944" t="s">
        <v>98</v>
      </c>
      <c r="Y944" t="s">
        <v>55</v>
      </c>
      <c r="Z944" t="s">
        <v>92</v>
      </c>
      <c r="AA944" t="s">
        <v>1126</v>
      </c>
      <c r="AB944">
        <v>5</v>
      </c>
      <c r="AC944" t="str">
        <f t="shared" si="43"/>
        <v>Night</v>
      </c>
      <c r="AD944">
        <v>1</v>
      </c>
      <c r="AE944" t="s">
        <v>84</v>
      </c>
      <c r="AF944">
        <v>1</v>
      </c>
      <c r="AG944">
        <v>3</v>
      </c>
      <c r="AH944" t="s">
        <v>84</v>
      </c>
      <c r="AI944">
        <v>4290</v>
      </c>
      <c r="AJ944">
        <v>780</v>
      </c>
      <c r="AK944">
        <v>780</v>
      </c>
      <c r="AL944">
        <v>2730</v>
      </c>
      <c r="AM944" t="s">
        <v>219</v>
      </c>
      <c r="AN944" t="s">
        <v>220</v>
      </c>
      <c r="AO944">
        <v>2015</v>
      </c>
      <c r="AP944">
        <v>1998</v>
      </c>
      <c r="AQ944">
        <f t="shared" si="44"/>
        <v>17</v>
      </c>
      <c r="AR944" t="s">
        <v>87</v>
      </c>
    </row>
    <row r="945" spans="1:44" x14ac:dyDescent="0.25">
      <c r="A945">
        <v>421</v>
      </c>
      <c r="B945" t="str">
        <f t="shared" si="42"/>
        <v>10+ years</v>
      </c>
      <c r="C945">
        <v>57</v>
      </c>
      <c r="D945" t="str" cm="1">
        <f t="array" ref="D945">_xlfn.IFS(C945&lt;26, "19-25", C945&lt;33, "26-32", C945&lt;40, "33-39", C945&lt;47, "40-46",C945&lt;54, "47-53", TRUE, "54+")</f>
        <v>54+</v>
      </c>
      <c r="E945">
        <v>110122</v>
      </c>
      <c r="F945" s="1">
        <v>37348</v>
      </c>
      <c r="G945" t="s">
        <v>62</v>
      </c>
      <c r="H945" t="s">
        <v>45</v>
      </c>
      <c r="I945">
        <v>2000</v>
      </c>
      <c r="J945">
        <v>1206.26</v>
      </c>
      <c r="K945">
        <v>0</v>
      </c>
      <c r="L945">
        <v>459955</v>
      </c>
      <c r="M945" t="s">
        <v>75</v>
      </c>
      <c r="N945" t="s">
        <v>97</v>
      </c>
      <c r="O945" t="s">
        <v>89</v>
      </c>
      <c r="P945" t="s">
        <v>103</v>
      </c>
      <c r="Q945" t="s">
        <v>79</v>
      </c>
      <c r="R945">
        <v>69900</v>
      </c>
      <c r="S945">
        <v>0</v>
      </c>
      <c r="T945" s="1">
        <v>42035</v>
      </c>
      <c r="U945" t="s">
        <v>80</v>
      </c>
      <c r="V945" t="s">
        <v>91</v>
      </c>
      <c r="W945" t="s">
        <v>68</v>
      </c>
      <c r="X945" t="s">
        <v>54</v>
      </c>
      <c r="Y945" t="s">
        <v>126</v>
      </c>
      <c r="Z945" t="s">
        <v>92</v>
      </c>
      <c r="AA945" t="s">
        <v>1127</v>
      </c>
      <c r="AB945">
        <v>22</v>
      </c>
      <c r="AC945" t="str">
        <f t="shared" si="43"/>
        <v>Evening</v>
      </c>
      <c r="AD945">
        <v>3</v>
      </c>
      <c r="AE945" t="s">
        <v>58</v>
      </c>
      <c r="AF945">
        <v>0</v>
      </c>
      <c r="AG945">
        <v>0</v>
      </c>
      <c r="AH945" t="s">
        <v>84</v>
      </c>
      <c r="AI945">
        <v>78500</v>
      </c>
      <c r="AJ945">
        <v>15700</v>
      </c>
      <c r="AK945">
        <v>7850</v>
      </c>
      <c r="AL945">
        <v>54950</v>
      </c>
      <c r="AM945" t="s">
        <v>114</v>
      </c>
      <c r="AN945" t="s">
        <v>139</v>
      </c>
      <c r="AO945">
        <v>2015</v>
      </c>
      <c r="AP945">
        <v>2015</v>
      </c>
      <c r="AQ945">
        <f t="shared" si="44"/>
        <v>0</v>
      </c>
      <c r="AR945" t="s">
        <v>87</v>
      </c>
    </row>
    <row r="946" spans="1:44" x14ac:dyDescent="0.25">
      <c r="A946">
        <v>266</v>
      </c>
      <c r="B946" t="str">
        <f t="shared" si="42"/>
        <v>10+ years</v>
      </c>
      <c r="C946">
        <v>42</v>
      </c>
      <c r="D946" t="str" cm="1">
        <f t="array" ref="D946">_xlfn.IFS(C946&lt;26, "19-25", C946&lt;33, "26-32", C946&lt;40, "33-39", C946&lt;47, "40-46",C946&lt;54, "47-53", TRUE, "54+")</f>
        <v>40-46</v>
      </c>
      <c r="E946">
        <v>281388</v>
      </c>
      <c r="F946" s="1">
        <v>35992</v>
      </c>
      <c r="G946" t="s">
        <v>88</v>
      </c>
      <c r="H946" t="s">
        <v>96</v>
      </c>
      <c r="I946">
        <v>1000</v>
      </c>
      <c r="J946">
        <v>763.67</v>
      </c>
      <c r="K946">
        <v>0</v>
      </c>
      <c r="L946">
        <v>473389</v>
      </c>
      <c r="M946" t="s">
        <v>46</v>
      </c>
      <c r="N946" t="s">
        <v>97</v>
      </c>
      <c r="O946" t="s">
        <v>106</v>
      </c>
      <c r="P946" t="s">
        <v>151</v>
      </c>
      <c r="Q946" t="s">
        <v>79</v>
      </c>
      <c r="R946">
        <v>12800</v>
      </c>
      <c r="S946">
        <v>-49700</v>
      </c>
      <c r="T946" s="1">
        <v>42039</v>
      </c>
      <c r="U946" t="s">
        <v>51</v>
      </c>
      <c r="V946" t="s">
        <v>52</v>
      </c>
      <c r="W946" t="s">
        <v>112</v>
      </c>
      <c r="X946" t="s">
        <v>54</v>
      </c>
      <c r="Y946" t="s">
        <v>55</v>
      </c>
      <c r="Z946" t="s">
        <v>161</v>
      </c>
      <c r="AA946" t="s">
        <v>1128</v>
      </c>
      <c r="AB946">
        <v>12</v>
      </c>
      <c r="AC946" t="str">
        <f t="shared" si="43"/>
        <v>Afternoon</v>
      </c>
      <c r="AD946">
        <v>1</v>
      </c>
      <c r="AE946" t="s">
        <v>58</v>
      </c>
      <c r="AF946">
        <v>1</v>
      </c>
      <c r="AG946">
        <v>3</v>
      </c>
      <c r="AH946" t="s">
        <v>58</v>
      </c>
      <c r="AI946">
        <v>70830</v>
      </c>
      <c r="AJ946">
        <v>7870</v>
      </c>
      <c r="AK946">
        <v>7870</v>
      </c>
      <c r="AL946">
        <v>55090</v>
      </c>
      <c r="AM946" t="s">
        <v>202</v>
      </c>
      <c r="AN946" t="s">
        <v>380</v>
      </c>
      <c r="AO946">
        <v>2015</v>
      </c>
      <c r="AP946">
        <v>2005</v>
      </c>
      <c r="AQ946">
        <f t="shared" si="44"/>
        <v>10</v>
      </c>
      <c r="AR946" t="s">
        <v>87</v>
      </c>
    </row>
    <row r="947" spans="1:44" x14ac:dyDescent="0.25">
      <c r="A947">
        <v>412</v>
      </c>
      <c r="B947" t="str">
        <f t="shared" si="42"/>
        <v>10+ years</v>
      </c>
      <c r="C947">
        <v>56</v>
      </c>
      <c r="D947" t="str" cm="1">
        <f t="array" ref="D947">_xlfn.IFS(C947&lt;26, "19-25", C947&lt;33, "26-32", C947&lt;40, "33-39", C947&lt;47, "40-46",C947&lt;54, "47-53", TRUE, "54+")</f>
        <v>54+</v>
      </c>
      <c r="E947">
        <v>728600</v>
      </c>
      <c r="F947" s="1">
        <v>37483</v>
      </c>
      <c r="G947" t="s">
        <v>88</v>
      </c>
      <c r="H947" t="s">
        <v>45</v>
      </c>
      <c r="I947">
        <v>500</v>
      </c>
      <c r="J947">
        <v>1042.56</v>
      </c>
      <c r="K947">
        <v>0</v>
      </c>
      <c r="L947">
        <v>616767</v>
      </c>
      <c r="M947" t="s">
        <v>46</v>
      </c>
      <c r="N947" t="s">
        <v>136</v>
      </c>
      <c r="O947" t="s">
        <v>164</v>
      </c>
      <c r="P947" t="s">
        <v>160</v>
      </c>
      <c r="Q947" t="s">
        <v>79</v>
      </c>
      <c r="R947">
        <v>0</v>
      </c>
      <c r="S947">
        <v>-66100</v>
      </c>
      <c r="T947" s="1">
        <v>42024</v>
      </c>
      <c r="U947" t="s">
        <v>80</v>
      </c>
      <c r="V947" t="s">
        <v>91</v>
      </c>
      <c r="W947" t="s">
        <v>112</v>
      </c>
      <c r="X947" t="s">
        <v>54</v>
      </c>
      <c r="Y947" t="s">
        <v>55</v>
      </c>
      <c r="Z947" t="s">
        <v>107</v>
      </c>
      <c r="AA947" t="s">
        <v>1129</v>
      </c>
      <c r="AB947">
        <v>19</v>
      </c>
      <c r="AC947" t="str">
        <f t="shared" si="43"/>
        <v>Evening</v>
      </c>
      <c r="AD947">
        <v>3</v>
      </c>
      <c r="AE947" t="s">
        <v>84</v>
      </c>
      <c r="AF947">
        <v>0</v>
      </c>
      <c r="AG947">
        <v>2</v>
      </c>
      <c r="AH947" t="s">
        <v>84</v>
      </c>
      <c r="AI947">
        <v>68040</v>
      </c>
      <c r="AJ947">
        <v>15120</v>
      </c>
      <c r="AK947">
        <v>7560</v>
      </c>
      <c r="AL947">
        <v>45360</v>
      </c>
      <c r="AM947" t="s">
        <v>158</v>
      </c>
      <c r="AN947" t="s">
        <v>172</v>
      </c>
      <c r="AO947">
        <v>2015</v>
      </c>
      <c r="AP947">
        <v>1997</v>
      </c>
      <c r="AQ947">
        <f t="shared" si="44"/>
        <v>18</v>
      </c>
      <c r="AR947" t="s">
        <v>87</v>
      </c>
    </row>
    <row r="948" spans="1:44" x14ac:dyDescent="0.25">
      <c r="A948">
        <v>31</v>
      </c>
      <c r="B948" t="str">
        <f t="shared" si="42"/>
        <v>2-5 years</v>
      </c>
      <c r="C948">
        <v>32</v>
      </c>
      <c r="D948" t="str" cm="1">
        <f t="array" ref="D948">_xlfn.IFS(C948&lt;26, "19-25", C948&lt;33, "26-32", C948&lt;40, "33-39", C948&lt;47, "40-46",C948&lt;54, "47-53", TRUE, "54+")</f>
        <v>26-32</v>
      </c>
      <c r="E948">
        <v>231548</v>
      </c>
      <c r="F948" s="1">
        <v>36410</v>
      </c>
      <c r="G948" t="s">
        <v>88</v>
      </c>
      <c r="H948" t="s">
        <v>74</v>
      </c>
      <c r="I948">
        <v>2000</v>
      </c>
      <c r="J948">
        <v>1263.48</v>
      </c>
      <c r="K948">
        <v>4000000</v>
      </c>
      <c r="L948">
        <v>442948</v>
      </c>
      <c r="M948" t="s">
        <v>75</v>
      </c>
      <c r="N948" t="s">
        <v>166</v>
      </c>
      <c r="O948" t="s">
        <v>116</v>
      </c>
      <c r="P948" t="s">
        <v>154</v>
      </c>
      <c r="Q948" t="s">
        <v>124</v>
      </c>
      <c r="R948">
        <v>46800</v>
      </c>
      <c r="S948">
        <v>-87300</v>
      </c>
      <c r="T948" s="1">
        <v>42042</v>
      </c>
      <c r="U948" t="s">
        <v>51</v>
      </c>
      <c r="V948" t="s">
        <v>52</v>
      </c>
      <c r="W948" t="s">
        <v>53</v>
      </c>
      <c r="X948" t="s">
        <v>104</v>
      </c>
      <c r="Y948" t="s">
        <v>118</v>
      </c>
      <c r="Z948" t="s">
        <v>127</v>
      </c>
      <c r="AA948" t="s">
        <v>1130</v>
      </c>
      <c r="AB948">
        <v>10</v>
      </c>
      <c r="AC948" t="str">
        <f t="shared" si="43"/>
        <v>Morning</v>
      </c>
      <c r="AD948">
        <v>1</v>
      </c>
      <c r="AE948" t="s">
        <v>67</v>
      </c>
      <c r="AF948">
        <v>2</v>
      </c>
      <c r="AG948">
        <v>0</v>
      </c>
      <c r="AH948" t="s">
        <v>67</v>
      </c>
      <c r="AI948">
        <v>63600</v>
      </c>
      <c r="AJ948">
        <v>5300</v>
      </c>
      <c r="AK948">
        <v>10600</v>
      </c>
      <c r="AL948">
        <v>47700</v>
      </c>
      <c r="AM948" t="s">
        <v>114</v>
      </c>
      <c r="AN948" t="s">
        <v>115</v>
      </c>
      <c r="AO948">
        <v>2015</v>
      </c>
      <c r="AP948">
        <v>1997</v>
      </c>
      <c r="AQ948">
        <f t="shared" si="44"/>
        <v>18</v>
      </c>
      <c r="AR948" t="s">
        <v>61</v>
      </c>
    </row>
    <row r="949" spans="1:44" x14ac:dyDescent="0.25">
      <c r="A949">
        <v>465</v>
      </c>
      <c r="B949" t="str">
        <f t="shared" si="42"/>
        <v>10+ years</v>
      </c>
      <c r="C949">
        <v>63</v>
      </c>
      <c r="D949" t="str" cm="1">
        <f t="array" ref="D949">_xlfn.IFS(C949&lt;26, "19-25", C949&lt;33, "26-32", C949&lt;40, "33-39", C949&lt;47, "40-46",C949&lt;54, "47-53", TRUE, "54+")</f>
        <v>54+</v>
      </c>
      <c r="E949">
        <v>531160</v>
      </c>
      <c r="F949" s="1">
        <v>40920</v>
      </c>
      <c r="G949" t="s">
        <v>88</v>
      </c>
      <c r="H949" t="s">
        <v>45</v>
      </c>
      <c r="I949">
        <v>500</v>
      </c>
      <c r="J949">
        <v>1006.99</v>
      </c>
      <c r="K949">
        <v>6000000</v>
      </c>
      <c r="L949">
        <v>458936</v>
      </c>
      <c r="M949" t="s">
        <v>75</v>
      </c>
      <c r="N949" t="s">
        <v>129</v>
      </c>
      <c r="O949" t="s">
        <v>77</v>
      </c>
      <c r="P949" t="s">
        <v>78</v>
      </c>
      <c r="Q949" t="s">
        <v>79</v>
      </c>
      <c r="R949">
        <v>0</v>
      </c>
      <c r="S949">
        <v>0</v>
      </c>
      <c r="T949" s="1">
        <v>42040</v>
      </c>
      <c r="U949" t="s">
        <v>51</v>
      </c>
      <c r="V949" t="s">
        <v>52</v>
      </c>
      <c r="W949" t="s">
        <v>68</v>
      </c>
      <c r="X949" t="s">
        <v>125</v>
      </c>
      <c r="Y949" t="s">
        <v>118</v>
      </c>
      <c r="Z949" t="s">
        <v>56</v>
      </c>
      <c r="AA949" t="s">
        <v>1131</v>
      </c>
      <c r="AB949">
        <v>7</v>
      </c>
      <c r="AC949" t="str">
        <f t="shared" si="43"/>
        <v>Morning</v>
      </c>
      <c r="AD949">
        <v>1</v>
      </c>
      <c r="AE949" t="s">
        <v>84</v>
      </c>
      <c r="AF949">
        <v>0</v>
      </c>
      <c r="AG949">
        <v>3</v>
      </c>
      <c r="AH949" t="s">
        <v>67</v>
      </c>
      <c r="AI949">
        <v>43560</v>
      </c>
      <c r="AJ949">
        <v>4840</v>
      </c>
      <c r="AK949">
        <v>4840</v>
      </c>
      <c r="AL949">
        <v>33880</v>
      </c>
      <c r="AM949" t="s">
        <v>158</v>
      </c>
      <c r="AN949" t="s">
        <v>159</v>
      </c>
      <c r="AO949">
        <v>2015</v>
      </c>
      <c r="AP949">
        <v>2015</v>
      </c>
      <c r="AQ949">
        <f t="shared" si="44"/>
        <v>0</v>
      </c>
      <c r="AR949" t="s">
        <v>87</v>
      </c>
    </row>
    <row r="950" spans="1:44" x14ac:dyDescent="0.25">
      <c r="A950">
        <v>126</v>
      </c>
      <c r="B950" t="str">
        <f t="shared" si="42"/>
        <v>10+ years</v>
      </c>
      <c r="C950">
        <v>31</v>
      </c>
      <c r="D950" t="str" cm="1">
        <f t="array" ref="D950">_xlfn.IFS(C950&lt;26, "19-25", C950&lt;33, "26-32", C950&lt;40, "33-39", C950&lt;47, "40-46",C950&lt;54, "47-53", TRUE, "54+")</f>
        <v>26-32</v>
      </c>
      <c r="E950">
        <v>889003</v>
      </c>
      <c r="F950" s="1">
        <v>35295</v>
      </c>
      <c r="G950" t="s">
        <v>44</v>
      </c>
      <c r="H950" t="s">
        <v>45</v>
      </c>
      <c r="I950">
        <v>1000</v>
      </c>
      <c r="J950">
        <v>1328.26</v>
      </c>
      <c r="K950">
        <v>0</v>
      </c>
      <c r="L950">
        <v>613921</v>
      </c>
      <c r="M950" t="s">
        <v>46</v>
      </c>
      <c r="N950" t="s">
        <v>129</v>
      </c>
      <c r="O950" t="s">
        <v>77</v>
      </c>
      <c r="P950" t="s">
        <v>269</v>
      </c>
      <c r="Q950" t="s">
        <v>147</v>
      </c>
      <c r="R950">
        <v>42300</v>
      </c>
      <c r="S950">
        <v>-45800</v>
      </c>
      <c r="T950" s="1">
        <v>42006</v>
      </c>
      <c r="U950" t="s">
        <v>51</v>
      </c>
      <c r="V950" t="s">
        <v>91</v>
      </c>
      <c r="W950" t="s">
        <v>112</v>
      </c>
      <c r="X950" t="s">
        <v>54</v>
      </c>
      <c r="Y950" t="s">
        <v>118</v>
      </c>
      <c r="Z950" t="s">
        <v>127</v>
      </c>
      <c r="AA950" t="s">
        <v>1132</v>
      </c>
      <c r="AB950">
        <v>17</v>
      </c>
      <c r="AC950" t="str">
        <f t="shared" si="43"/>
        <v>Afternoon</v>
      </c>
      <c r="AD950">
        <v>1</v>
      </c>
      <c r="AE950" t="s">
        <v>84</v>
      </c>
      <c r="AF950">
        <v>1</v>
      </c>
      <c r="AG950">
        <v>1</v>
      </c>
      <c r="AH950" t="s">
        <v>84</v>
      </c>
      <c r="AI950">
        <v>60840</v>
      </c>
      <c r="AJ950">
        <v>13520</v>
      </c>
      <c r="AK950">
        <v>6760</v>
      </c>
      <c r="AL950">
        <v>40560</v>
      </c>
      <c r="AM950" t="s">
        <v>158</v>
      </c>
      <c r="AN950" t="s">
        <v>172</v>
      </c>
      <c r="AO950">
        <v>2015</v>
      </c>
      <c r="AP950">
        <v>2011</v>
      </c>
      <c r="AQ950">
        <f t="shared" si="44"/>
        <v>4</v>
      </c>
      <c r="AR950" t="s">
        <v>87</v>
      </c>
    </row>
    <row r="951" spans="1:44" x14ac:dyDescent="0.25">
      <c r="A951">
        <v>407</v>
      </c>
      <c r="B951" t="str">
        <f t="shared" si="42"/>
        <v>10+ years</v>
      </c>
      <c r="C951">
        <v>55</v>
      </c>
      <c r="D951" t="str" cm="1">
        <f t="array" ref="D951">_xlfn.IFS(C951&lt;26, "19-25", C951&lt;33, "26-32", C951&lt;40, "33-39", C951&lt;47, "40-46",C951&lt;54, "47-53", TRUE, "54+")</f>
        <v>54+</v>
      </c>
      <c r="E951">
        <v>193213</v>
      </c>
      <c r="F951" s="1">
        <v>35135</v>
      </c>
      <c r="G951" t="s">
        <v>44</v>
      </c>
      <c r="H951" t="s">
        <v>74</v>
      </c>
      <c r="I951">
        <v>1000</v>
      </c>
      <c r="J951">
        <v>1250.08</v>
      </c>
      <c r="K951">
        <v>5000000</v>
      </c>
      <c r="L951">
        <v>474598</v>
      </c>
      <c r="M951" t="s">
        <v>75</v>
      </c>
      <c r="N951" t="s">
        <v>76</v>
      </c>
      <c r="O951" t="s">
        <v>102</v>
      </c>
      <c r="P951" t="s">
        <v>103</v>
      </c>
      <c r="Q951" t="s">
        <v>124</v>
      </c>
      <c r="R951">
        <v>0</v>
      </c>
      <c r="S951">
        <v>-57700</v>
      </c>
      <c r="T951" s="1">
        <v>42043</v>
      </c>
      <c r="U951" t="s">
        <v>80</v>
      </c>
      <c r="V951" t="s">
        <v>52</v>
      </c>
      <c r="W951" t="s">
        <v>112</v>
      </c>
      <c r="X951" t="s">
        <v>54</v>
      </c>
      <c r="Y951" t="s">
        <v>118</v>
      </c>
      <c r="Z951" t="s">
        <v>92</v>
      </c>
      <c r="AA951" t="s">
        <v>1133</v>
      </c>
      <c r="AB951">
        <v>0</v>
      </c>
      <c r="AC951" t="str">
        <f t="shared" si="43"/>
        <v>Night</v>
      </c>
      <c r="AD951">
        <v>3</v>
      </c>
      <c r="AE951" t="s">
        <v>67</v>
      </c>
      <c r="AF951">
        <v>2</v>
      </c>
      <c r="AG951">
        <v>3</v>
      </c>
      <c r="AH951" t="s">
        <v>58</v>
      </c>
      <c r="AI951">
        <v>68160</v>
      </c>
      <c r="AJ951">
        <v>11360</v>
      </c>
      <c r="AK951">
        <v>11360</v>
      </c>
      <c r="AL951">
        <v>45440</v>
      </c>
      <c r="AM951" t="s">
        <v>134</v>
      </c>
      <c r="AN951" t="s">
        <v>177</v>
      </c>
      <c r="AO951">
        <v>2015</v>
      </c>
      <c r="AP951">
        <v>2010</v>
      </c>
      <c r="AQ951">
        <f t="shared" si="44"/>
        <v>5</v>
      </c>
      <c r="AR951" t="s">
        <v>87</v>
      </c>
    </row>
    <row r="952" spans="1:44" x14ac:dyDescent="0.25">
      <c r="A952">
        <v>101</v>
      </c>
      <c r="B952" t="str">
        <f t="shared" si="42"/>
        <v>5-10 years</v>
      </c>
      <c r="C952">
        <v>27</v>
      </c>
      <c r="D952" t="str" cm="1">
        <f t="array" ref="D952">_xlfn.IFS(C952&lt;26, "19-25", C952&lt;33, "26-32", C952&lt;40, "33-39", C952&lt;47, "40-46",C952&lt;54, "47-53", TRUE, "54+")</f>
        <v>26-32</v>
      </c>
      <c r="E952">
        <v>557218</v>
      </c>
      <c r="F952" s="1">
        <v>35757</v>
      </c>
      <c r="G952" t="s">
        <v>88</v>
      </c>
      <c r="H952" t="s">
        <v>96</v>
      </c>
      <c r="I952">
        <v>500</v>
      </c>
      <c r="J952">
        <v>982.7</v>
      </c>
      <c r="K952">
        <v>6000000</v>
      </c>
      <c r="L952">
        <v>440865</v>
      </c>
      <c r="M952" t="s">
        <v>75</v>
      </c>
      <c r="N952" t="s">
        <v>146</v>
      </c>
      <c r="O952" t="s">
        <v>150</v>
      </c>
      <c r="P952" t="s">
        <v>186</v>
      </c>
      <c r="Q952" t="s">
        <v>90</v>
      </c>
      <c r="R952">
        <v>30800</v>
      </c>
      <c r="S952">
        <v>-43700</v>
      </c>
      <c r="T952" s="1">
        <v>42017</v>
      </c>
      <c r="U952" t="s">
        <v>143</v>
      </c>
      <c r="V952" t="s">
        <v>67</v>
      </c>
      <c r="W952" t="s">
        <v>68</v>
      </c>
      <c r="X952" t="s">
        <v>98</v>
      </c>
      <c r="Y952" t="s">
        <v>55</v>
      </c>
      <c r="Z952" t="s">
        <v>92</v>
      </c>
      <c r="AA952" t="s">
        <v>1134</v>
      </c>
      <c r="AB952">
        <v>9</v>
      </c>
      <c r="AC952" t="str">
        <f t="shared" si="43"/>
        <v>Morning</v>
      </c>
      <c r="AD952">
        <v>1</v>
      </c>
      <c r="AE952" t="s">
        <v>84</v>
      </c>
      <c r="AF952">
        <v>1</v>
      </c>
      <c r="AG952">
        <v>0</v>
      </c>
      <c r="AH952" t="s">
        <v>84</v>
      </c>
      <c r="AI952">
        <v>5170</v>
      </c>
      <c r="AJ952">
        <v>940</v>
      </c>
      <c r="AK952">
        <v>470</v>
      </c>
      <c r="AL952">
        <v>3760</v>
      </c>
      <c r="AM952" t="s">
        <v>120</v>
      </c>
      <c r="AN952" t="s">
        <v>121</v>
      </c>
      <c r="AO952">
        <v>2015</v>
      </c>
      <c r="AP952">
        <v>2001</v>
      </c>
      <c r="AQ952">
        <f t="shared" si="44"/>
        <v>14</v>
      </c>
      <c r="AR952" t="s">
        <v>87</v>
      </c>
    </row>
    <row r="953" spans="1:44" x14ac:dyDescent="0.25">
      <c r="A953">
        <v>187</v>
      </c>
      <c r="B953" t="str">
        <f t="shared" si="42"/>
        <v>10+ years</v>
      </c>
      <c r="C953">
        <v>37</v>
      </c>
      <c r="D953" t="str" cm="1">
        <f t="array" ref="D953">_xlfn.IFS(C953&lt;26, "19-25", C953&lt;33, "26-32", C953&lt;40, "33-39", C953&lt;47, "40-46",C953&lt;54, "47-53", TRUE, "54+")</f>
        <v>33-39</v>
      </c>
      <c r="E953">
        <v>125591</v>
      </c>
      <c r="F953" s="1">
        <v>41494</v>
      </c>
      <c r="G953" t="s">
        <v>62</v>
      </c>
      <c r="H953" t="s">
        <v>96</v>
      </c>
      <c r="I953">
        <v>1000</v>
      </c>
      <c r="J953">
        <v>1412.06</v>
      </c>
      <c r="K953">
        <v>5000000</v>
      </c>
      <c r="L953">
        <v>450947</v>
      </c>
      <c r="M953" t="s">
        <v>75</v>
      </c>
      <c r="N953" t="s">
        <v>129</v>
      </c>
      <c r="O953" t="s">
        <v>140</v>
      </c>
      <c r="P953" t="s">
        <v>64</v>
      </c>
      <c r="Q953" t="s">
        <v>147</v>
      </c>
      <c r="R953">
        <v>60100</v>
      </c>
      <c r="S953">
        <v>0</v>
      </c>
      <c r="T953" s="1">
        <v>42020</v>
      </c>
      <c r="U953" t="s">
        <v>51</v>
      </c>
      <c r="V953" t="s">
        <v>52</v>
      </c>
      <c r="W953" t="s">
        <v>112</v>
      </c>
      <c r="X953" t="s">
        <v>141</v>
      </c>
      <c r="Y953" t="s">
        <v>126</v>
      </c>
      <c r="Z953" t="s">
        <v>70</v>
      </c>
      <c r="AA953" t="s">
        <v>1135</v>
      </c>
      <c r="AB953">
        <v>21</v>
      </c>
      <c r="AC953" t="str">
        <f t="shared" si="43"/>
        <v>Evening</v>
      </c>
      <c r="AD953">
        <v>1</v>
      </c>
      <c r="AE953" t="s">
        <v>67</v>
      </c>
      <c r="AF953">
        <v>0</v>
      </c>
      <c r="AG953">
        <v>3</v>
      </c>
      <c r="AH953" t="s">
        <v>67</v>
      </c>
      <c r="AI953">
        <v>57700</v>
      </c>
      <c r="AJ953">
        <v>5770</v>
      </c>
      <c r="AK953">
        <v>5770</v>
      </c>
      <c r="AL953">
        <v>46160</v>
      </c>
      <c r="AM953" t="s">
        <v>109</v>
      </c>
      <c r="AN953" t="s">
        <v>156</v>
      </c>
      <c r="AO953">
        <v>2015</v>
      </c>
      <c r="AP953">
        <v>2000</v>
      </c>
      <c r="AQ953">
        <f t="shared" si="44"/>
        <v>15</v>
      </c>
      <c r="AR953" t="s">
        <v>87</v>
      </c>
    </row>
    <row r="954" spans="1:44" x14ac:dyDescent="0.25">
      <c r="A954">
        <v>252</v>
      </c>
      <c r="B954" t="str">
        <f t="shared" si="42"/>
        <v>10+ years</v>
      </c>
      <c r="C954">
        <v>46</v>
      </c>
      <c r="D954" t="str" cm="1">
        <f t="array" ref="D954">_xlfn.IFS(C954&lt;26, "19-25", C954&lt;33, "26-32", C954&lt;40, "33-39", C954&lt;47, "40-46",C954&lt;54, "47-53", TRUE, "54+")</f>
        <v>40-46</v>
      </c>
      <c r="E954">
        <v>227244</v>
      </c>
      <c r="F954" s="1">
        <v>35399</v>
      </c>
      <c r="G954" t="s">
        <v>62</v>
      </c>
      <c r="H954" t="s">
        <v>96</v>
      </c>
      <c r="I954">
        <v>2000</v>
      </c>
      <c r="J954">
        <v>1066.7</v>
      </c>
      <c r="K954">
        <v>0</v>
      </c>
      <c r="L954">
        <v>473370</v>
      </c>
      <c r="M954" t="s">
        <v>75</v>
      </c>
      <c r="N954" t="s">
        <v>166</v>
      </c>
      <c r="O954" t="s">
        <v>164</v>
      </c>
      <c r="P954" t="s">
        <v>49</v>
      </c>
      <c r="Q954" t="s">
        <v>79</v>
      </c>
      <c r="R954">
        <v>0</v>
      </c>
      <c r="S954">
        <v>0</v>
      </c>
      <c r="T954" s="1">
        <v>42034</v>
      </c>
      <c r="U954" t="s">
        <v>80</v>
      </c>
      <c r="V954" t="s">
        <v>91</v>
      </c>
      <c r="W954" t="s">
        <v>112</v>
      </c>
      <c r="X954" t="s">
        <v>125</v>
      </c>
      <c r="Y954" t="s">
        <v>69</v>
      </c>
      <c r="Z954" t="s">
        <v>132</v>
      </c>
      <c r="AA954" t="s">
        <v>1136</v>
      </c>
      <c r="AB954">
        <v>22</v>
      </c>
      <c r="AC954" t="str">
        <f t="shared" si="43"/>
        <v>Evening</v>
      </c>
      <c r="AD954">
        <v>3</v>
      </c>
      <c r="AE954" t="s">
        <v>84</v>
      </c>
      <c r="AF954">
        <v>0</v>
      </c>
      <c r="AG954">
        <v>2</v>
      </c>
      <c r="AH954" t="s">
        <v>84</v>
      </c>
      <c r="AI954">
        <v>89520</v>
      </c>
      <c r="AJ954">
        <v>14920</v>
      </c>
      <c r="AK954">
        <v>14920</v>
      </c>
      <c r="AL954">
        <v>59680</v>
      </c>
      <c r="AM954" t="s">
        <v>114</v>
      </c>
      <c r="AN954" t="s">
        <v>139</v>
      </c>
      <c r="AO954">
        <v>2015</v>
      </c>
      <c r="AP954">
        <v>2014</v>
      </c>
      <c r="AQ954">
        <f t="shared" si="44"/>
        <v>1</v>
      </c>
      <c r="AR954" t="s">
        <v>87</v>
      </c>
    </row>
    <row r="955" spans="1:44" x14ac:dyDescent="0.25">
      <c r="A955">
        <v>229</v>
      </c>
      <c r="B955" t="str">
        <f t="shared" si="42"/>
        <v>10+ years</v>
      </c>
      <c r="C955">
        <v>43</v>
      </c>
      <c r="D955" t="str" cm="1">
        <f t="array" ref="D955">_xlfn.IFS(C955&lt;26, "19-25", C955&lt;33, "26-32", C955&lt;40, "33-39", C955&lt;47, "40-46",C955&lt;54, "47-53", TRUE, "54+")</f>
        <v>40-46</v>
      </c>
      <c r="E955">
        <v>791425</v>
      </c>
      <c r="F955" s="1">
        <v>35599</v>
      </c>
      <c r="G955" t="s">
        <v>62</v>
      </c>
      <c r="H955" t="s">
        <v>45</v>
      </c>
      <c r="I955">
        <v>2000</v>
      </c>
      <c r="J955">
        <v>1585.54</v>
      </c>
      <c r="K955">
        <v>0</v>
      </c>
      <c r="L955">
        <v>463153</v>
      </c>
      <c r="M955" t="s">
        <v>46</v>
      </c>
      <c r="N955" t="s">
        <v>136</v>
      </c>
      <c r="O955" t="s">
        <v>140</v>
      </c>
      <c r="P955" t="s">
        <v>64</v>
      </c>
      <c r="Q955" t="s">
        <v>147</v>
      </c>
      <c r="R955">
        <v>42600</v>
      </c>
      <c r="S955">
        <v>-44400</v>
      </c>
      <c r="T955" s="1">
        <v>42061</v>
      </c>
      <c r="U955" t="s">
        <v>66</v>
      </c>
      <c r="V955" t="s">
        <v>67</v>
      </c>
      <c r="W955" t="s">
        <v>68</v>
      </c>
      <c r="X955" t="s">
        <v>98</v>
      </c>
      <c r="Y955" t="s">
        <v>118</v>
      </c>
      <c r="Z955" t="s">
        <v>127</v>
      </c>
      <c r="AA955" t="s">
        <v>1137</v>
      </c>
      <c r="AB955">
        <v>3</v>
      </c>
      <c r="AC955" t="str">
        <f t="shared" si="43"/>
        <v>Night</v>
      </c>
      <c r="AD955">
        <v>1</v>
      </c>
      <c r="AE955" t="s">
        <v>84</v>
      </c>
      <c r="AF955">
        <v>1</v>
      </c>
      <c r="AG955">
        <v>0</v>
      </c>
      <c r="AH955" t="s">
        <v>58</v>
      </c>
      <c r="AI955">
        <v>4620</v>
      </c>
      <c r="AJ955">
        <v>420</v>
      </c>
      <c r="AK955">
        <v>840</v>
      </c>
      <c r="AL955">
        <v>3360</v>
      </c>
      <c r="AM955" t="s">
        <v>219</v>
      </c>
      <c r="AN955" t="s">
        <v>263</v>
      </c>
      <c r="AO955">
        <v>2015</v>
      </c>
      <c r="AP955">
        <v>2012</v>
      </c>
      <c r="AQ955">
        <f t="shared" si="44"/>
        <v>3</v>
      </c>
      <c r="AR955" t="s">
        <v>87</v>
      </c>
    </row>
    <row r="956" spans="1:44" x14ac:dyDescent="0.25">
      <c r="A956">
        <v>246</v>
      </c>
      <c r="B956" t="str">
        <f t="shared" si="42"/>
        <v>10+ years</v>
      </c>
      <c r="C956">
        <v>39</v>
      </c>
      <c r="D956" t="str" cm="1">
        <f t="array" ref="D956">_xlfn.IFS(C956&lt;26, "19-25", C956&lt;33, "26-32", C956&lt;40, "33-39", C956&lt;47, "40-46",C956&lt;54, "47-53", TRUE, "54+")</f>
        <v>33-39</v>
      </c>
      <c r="E956">
        <v>354455</v>
      </c>
      <c r="F956" s="1">
        <v>39191</v>
      </c>
      <c r="G956" t="s">
        <v>62</v>
      </c>
      <c r="H956" t="s">
        <v>45</v>
      </c>
      <c r="I956">
        <v>1000</v>
      </c>
      <c r="J956">
        <v>1416.08</v>
      </c>
      <c r="K956">
        <v>0</v>
      </c>
      <c r="L956">
        <v>612546</v>
      </c>
      <c r="M956" t="s">
        <v>75</v>
      </c>
      <c r="N956" t="s">
        <v>166</v>
      </c>
      <c r="O956" t="s">
        <v>48</v>
      </c>
      <c r="P956" t="s">
        <v>160</v>
      </c>
      <c r="Q956" t="s">
        <v>65</v>
      </c>
      <c r="R956">
        <v>0</v>
      </c>
      <c r="S956">
        <v>-36600</v>
      </c>
      <c r="T956" s="1">
        <v>42031</v>
      </c>
      <c r="U956" t="s">
        <v>51</v>
      </c>
      <c r="V956" t="s">
        <v>81</v>
      </c>
      <c r="W956" t="s">
        <v>68</v>
      </c>
      <c r="X956" t="s">
        <v>141</v>
      </c>
      <c r="Y956" t="s">
        <v>118</v>
      </c>
      <c r="Z956" t="s">
        <v>161</v>
      </c>
      <c r="AA956" t="s">
        <v>1138</v>
      </c>
      <c r="AB956">
        <v>16</v>
      </c>
      <c r="AC956" t="str">
        <f t="shared" si="43"/>
        <v>Afternoon</v>
      </c>
      <c r="AD956">
        <v>1</v>
      </c>
      <c r="AE956" t="s">
        <v>58</v>
      </c>
      <c r="AF956">
        <v>0</v>
      </c>
      <c r="AG956">
        <v>3</v>
      </c>
      <c r="AH956" t="s">
        <v>67</v>
      </c>
      <c r="AI956">
        <v>45180</v>
      </c>
      <c r="AJ956">
        <v>5020</v>
      </c>
      <c r="AK956">
        <v>5020</v>
      </c>
      <c r="AL956">
        <v>35140</v>
      </c>
      <c r="AM956" t="s">
        <v>214</v>
      </c>
      <c r="AN956" t="s">
        <v>230</v>
      </c>
      <c r="AO956">
        <v>2015</v>
      </c>
      <c r="AP956">
        <v>2004</v>
      </c>
      <c r="AQ956">
        <f t="shared" si="44"/>
        <v>11</v>
      </c>
      <c r="AR956" t="s">
        <v>87</v>
      </c>
    </row>
    <row r="957" spans="1:44" x14ac:dyDescent="0.25">
      <c r="A957">
        <v>190</v>
      </c>
      <c r="B957" t="str">
        <f t="shared" si="42"/>
        <v>10+ years</v>
      </c>
      <c r="C957">
        <v>38</v>
      </c>
      <c r="D957" t="str" cm="1">
        <f t="array" ref="D957">_xlfn.IFS(C957&lt;26, "19-25", C957&lt;33, "26-32", C957&lt;40, "33-39", C957&lt;47, "40-46",C957&lt;54, "47-53", TRUE, "54+")</f>
        <v>33-39</v>
      </c>
      <c r="E957">
        <v>601042</v>
      </c>
      <c r="F957" s="1">
        <v>39344</v>
      </c>
      <c r="G957" t="s">
        <v>44</v>
      </c>
      <c r="H957" t="s">
        <v>45</v>
      </c>
      <c r="I957">
        <v>500</v>
      </c>
      <c r="J957">
        <v>1246.03</v>
      </c>
      <c r="K957">
        <v>0</v>
      </c>
      <c r="L957">
        <v>442919</v>
      </c>
      <c r="M957" t="s">
        <v>46</v>
      </c>
      <c r="N957" t="s">
        <v>166</v>
      </c>
      <c r="O957" t="s">
        <v>48</v>
      </c>
      <c r="P957" t="s">
        <v>151</v>
      </c>
      <c r="Q957" t="s">
        <v>90</v>
      </c>
      <c r="R957">
        <v>61900</v>
      </c>
      <c r="S957">
        <v>-50000</v>
      </c>
      <c r="T957" s="1">
        <v>42032</v>
      </c>
      <c r="U957" t="s">
        <v>51</v>
      </c>
      <c r="V957" t="s">
        <v>52</v>
      </c>
      <c r="W957" t="s">
        <v>112</v>
      </c>
      <c r="X957" t="s">
        <v>125</v>
      </c>
      <c r="Y957" t="s">
        <v>82</v>
      </c>
      <c r="Z957" t="s">
        <v>70</v>
      </c>
      <c r="AA957" t="s">
        <v>1139</v>
      </c>
      <c r="AB957">
        <v>14</v>
      </c>
      <c r="AC957" t="str">
        <f t="shared" si="43"/>
        <v>Afternoon</v>
      </c>
      <c r="AD957">
        <v>1</v>
      </c>
      <c r="AE957" t="s">
        <v>58</v>
      </c>
      <c r="AF957">
        <v>0</v>
      </c>
      <c r="AG957">
        <v>0</v>
      </c>
      <c r="AH957" t="s">
        <v>84</v>
      </c>
      <c r="AI957">
        <v>45100</v>
      </c>
      <c r="AJ957">
        <v>9020</v>
      </c>
      <c r="AK957">
        <v>4510</v>
      </c>
      <c r="AL957">
        <v>31570</v>
      </c>
      <c r="AM957" t="s">
        <v>109</v>
      </c>
      <c r="AN957" t="s">
        <v>156</v>
      </c>
      <c r="AO957">
        <v>2015</v>
      </c>
      <c r="AP957">
        <v>2013</v>
      </c>
      <c r="AQ957">
        <f t="shared" si="44"/>
        <v>2</v>
      </c>
      <c r="AR957" t="s">
        <v>87</v>
      </c>
    </row>
    <row r="958" spans="1:44" x14ac:dyDescent="0.25">
      <c r="A958">
        <v>95</v>
      </c>
      <c r="B958" t="str">
        <f t="shared" si="42"/>
        <v>5-10 years</v>
      </c>
      <c r="C958">
        <v>32</v>
      </c>
      <c r="D958" t="str" cm="1">
        <f t="array" ref="D958">_xlfn.IFS(C958&lt;26, "19-25", C958&lt;33, "26-32", C958&lt;40, "33-39", C958&lt;47, "40-46",C958&lt;54, "47-53", TRUE, "54+")</f>
        <v>26-32</v>
      </c>
      <c r="E958">
        <v>433663</v>
      </c>
      <c r="F958" s="1">
        <v>35420</v>
      </c>
      <c r="G958" t="s">
        <v>62</v>
      </c>
      <c r="H958" t="s">
        <v>96</v>
      </c>
      <c r="I958">
        <v>2000</v>
      </c>
      <c r="J958">
        <v>1356.64</v>
      </c>
      <c r="K958">
        <v>0</v>
      </c>
      <c r="L958">
        <v>449352</v>
      </c>
      <c r="M958" t="s">
        <v>46</v>
      </c>
      <c r="N958" t="s">
        <v>129</v>
      </c>
      <c r="O958" t="s">
        <v>63</v>
      </c>
      <c r="P958" t="s">
        <v>117</v>
      </c>
      <c r="Q958" t="s">
        <v>147</v>
      </c>
      <c r="R958">
        <v>67800</v>
      </c>
      <c r="S958">
        <v>-48600</v>
      </c>
      <c r="T958" s="1">
        <v>42058</v>
      </c>
      <c r="U958" t="s">
        <v>80</v>
      </c>
      <c r="V958" t="s">
        <v>52</v>
      </c>
      <c r="W958" t="s">
        <v>112</v>
      </c>
      <c r="X958" t="s">
        <v>54</v>
      </c>
      <c r="Y958" t="s">
        <v>55</v>
      </c>
      <c r="Z958" t="s">
        <v>107</v>
      </c>
      <c r="AA958" t="s">
        <v>1140</v>
      </c>
      <c r="AB958">
        <v>21</v>
      </c>
      <c r="AC958" t="str">
        <f t="shared" si="43"/>
        <v>Evening</v>
      </c>
      <c r="AD958">
        <v>3</v>
      </c>
      <c r="AE958" t="s">
        <v>58</v>
      </c>
      <c r="AF958">
        <v>0</v>
      </c>
      <c r="AG958">
        <v>3</v>
      </c>
      <c r="AH958" t="s">
        <v>58</v>
      </c>
      <c r="AI958">
        <v>83160</v>
      </c>
      <c r="AJ958">
        <v>15120</v>
      </c>
      <c r="AK958">
        <v>15120</v>
      </c>
      <c r="AL958">
        <v>52920</v>
      </c>
      <c r="AM958" t="s">
        <v>120</v>
      </c>
      <c r="AN958" t="s">
        <v>121</v>
      </c>
      <c r="AO958">
        <v>2015</v>
      </c>
      <c r="AP958">
        <v>2003</v>
      </c>
      <c r="AQ958">
        <f t="shared" si="44"/>
        <v>12</v>
      </c>
      <c r="AR958" t="s">
        <v>87</v>
      </c>
    </row>
    <row r="959" spans="1:44" x14ac:dyDescent="0.25">
      <c r="A959">
        <v>205</v>
      </c>
      <c r="B959" t="str">
        <f t="shared" si="42"/>
        <v>10+ years</v>
      </c>
      <c r="C959">
        <v>42</v>
      </c>
      <c r="D959" t="str" cm="1">
        <f t="array" ref="D959">_xlfn.IFS(C959&lt;26, "19-25", C959&lt;33, "26-32", C959&lt;40, "33-39", C959&lt;47, "40-46",C959&lt;54, "47-53", TRUE, "54+")</f>
        <v>40-46</v>
      </c>
      <c r="E959">
        <v>471938</v>
      </c>
      <c r="F959" s="1">
        <v>39481</v>
      </c>
      <c r="G959" t="s">
        <v>88</v>
      </c>
      <c r="H959" t="s">
        <v>74</v>
      </c>
      <c r="I959">
        <v>2000</v>
      </c>
      <c r="J959">
        <v>1387.7</v>
      </c>
      <c r="K959">
        <v>4000000</v>
      </c>
      <c r="L959">
        <v>470104</v>
      </c>
      <c r="M959" t="s">
        <v>75</v>
      </c>
      <c r="N959" t="s">
        <v>136</v>
      </c>
      <c r="O959" t="s">
        <v>122</v>
      </c>
      <c r="P959" t="s">
        <v>137</v>
      </c>
      <c r="Q959" t="s">
        <v>65</v>
      </c>
      <c r="R959">
        <v>0</v>
      </c>
      <c r="S959">
        <v>0</v>
      </c>
      <c r="T959" s="1">
        <v>42022</v>
      </c>
      <c r="U959" t="s">
        <v>51</v>
      </c>
      <c r="V959" t="s">
        <v>81</v>
      </c>
      <c r="W959" t="s">
        <v>68</v>
      </c>
      <c r="X959" t="s">
        <v>54</v>
      </c>
      <c r="Y959" t="s">
        <v>118</v>
      </c>
      <c r="Z959" t="s">
        <v>56</v>
      </c>
      <c r="AA959" t="s">
        <v>1141</v>
      </c>
      <c r="AB959">
        <v>19</v>
      </c>
      <c r="AC959" t="str">
        <f t="shared" si="43"/>
        <v>Evening</v>
      </c>
      <c r="AD959">
        <v>1</v>
      </c>
      <c r="AE959" t="s">
        <v>84</v>
      </c>
      <c r="AF959">
        <v>2</v>
      </c>
      <c r="AG959">
        <v>1</v>
      </c>
      <c r="AH959" t="s">
        <v>84</v>
      </c>
      <c r="AI959">
        <v>86130</v>
      </c>
      <c r="AJ959">
        <v>15660</v>
      </c>
      <c r="AK959">
        <v>15660</v>
      </c>
      <c r="AL959">
        <v>54810</v>
      </c>
      <c r="AM959" t="s">
        <v>94</v>
      </c>
      <c r="AN959" t="s">
        <v>228</v>
      </c>
      <c r="AO959">
        <v>2015</v>
      </c>
      <c r="AP959">
        <v>1995</v>
      </c>
      <c r="AQ959">
        <f t="shared" si="44"/>
        <v>20</v>
      </c>
      <c r="AR959" t="s">
        <v>87</v>
      </c>
    </row>
    <row r="960" spans="1:44" x14ac:dyDescent="0.25">
      <c r="A960">
        <v>41</v>
      </c>
      <c r="B960" t="str">
        <f t="shared" si="42"/>
        <v>2-5 years</v>
      </c>
      <c r="C960">
        <v>25</v>
      </c>
      <c r="D960" t="str" cm="1">
        <f t="array" ref="D960">_xlfn.IFS(C960&lt;26, "19-25", C960&lt;33, "26-32", C960&lt;40, "33-39", C960&lt;47, "40-46",C960&lt;54, "47-53", TRUE, "54+")</f>
        <v>19-25</v>
      </c>
      <c r="E960">
        <v>564654</v>
      </c>
      <c r="F960" s="1">
        <v>37818</v>
      </c>
      <c r="G960" t="s">
        <v>44</v>
      </c>
      <c r="H960" t="s">
        <v>74</v>
      </c>
      <c r="I960">
        <v>1000</v>
      </c>
      <c r="J960">
        <v>1004.14</v>
      </c>
      <c r="K960">
        <v>0</v>
      </c>
      <c r="L960">
        <v>459889</v>
      </c>
      <c r="M960" t="s">
        <v>46</v>
      </c>
      <c r="N960" t="s">
        <v>129</v>
      </c>
      <c r="O960" t="s">
        <v>122</v>
      </c>
      <c r="P960" t="s">
        <v>49</v>
      </c>
      <c r="Q960" t="s">
        <v>124</v>
      </c>
      <c r="R960">
        <v>35400</v>
      </c>
      <c r="S960">
        <v>0</v>
      </c>
      <c r="T960" s="1">
        <v>42050</v>
      </c>
      <c r="U960" t="s">
        <v>80</v>
      </c>
      <c r="V960" t="s">
        <v>91</v>
      </c>
      <c r="W960" t="s">
        <v>53</v>
      </c>
      <c r="X960" t="s">
        <v>104</v>
      </c>
      <c r="Y960" t="s">
        <v>126</v>
      </c>
      <c r="Z960" t="s">
        <v>127</v>
      </c>
      <c r="AA960" t="s">
        <v>1142</v>
      </c>
      <c r="AB960">
        <v>13</v>
      </c>
      <c r="AC960" t="str">
        <f t="shared" si="43"/>
        <v>Afternoon</v>
      </c>
      <c r="AD960">
        <v>3</v>
      </c>
      <c r="AE960" t="s">
        <v>84</v>
      </c>
      <c r="AF960">
        <v>1</v>
      </c>
      <c r="AG960">
        <v>3</v>
      </c>
      <c r="AH960" t="s">
        <v>84</v>
      </c>
      <c r="AI960">
        <v>48000</v>
      </c>
      <c r="AJ960">
        <v>9600</v>
      </c>
      <c r="AK960">
        <v>4800</v>
      </c>
      <c r="AL960">
        <v>33600</v>
      </c>
      <c r="AM960" t="s">
        <v>85</v>
      </c>
      <c r="AN960" t="s">
        <v>86</v>
      </c>
      <c r="AO960">
        <v>2015</v>
      </c>
      <c r="AP960">
        <v>1995</v>
      </c>
      <c r="AQ960">
        <f t="shared" si="44"/>
        <v>20</v>
      </c>
      <c r="AR960" t="s">
        <v>87</v>
      </c>
    </row>
    <row r="961" spans="1:44" x14ac:dyDescent="0.25">
      <c r="A961">
        <v>137</v>
      </c>
      <c r="B961" t="str">
        <f t="shared" si="42"/>
        <v>10+ years</v>
      </c>
      <c r="C961">
        <v>35</v>
      </c>
      <c r="D961" t="str" cm="1">
        <f t="array" ref="D961">_xlfn.IFS(C961&lt;26, "19-25", C961&lt;33, "26-32", C961&lt;40, "33-39", C961&lt;47, "40-46",C961&lt;54, "47-53", TRUE, "54+")</f>
        <v>33-39</v>
      </c>
      <c r="E961">
        <v>645723</v>
      </c>
      <c r="F961" s="1">
        <v>33363</v>
      </c>
      <c r="G961" t="s">
        <v>44</v>
      </c>
      <c r="H961" t="s">
        <v>96</v>
      </c>
      <c r="I961">
        <v>500</v>
      </c>
      <c r="J961">
        <v>1107.07</v>
      </c>
      <c r="K961">
        <v>0</v>
      </c>
      <c r="L961">
        <v>478868</v>
      </c>
      <c r="M961" t="s">
        <v>75</v>
      </c>
      <c r="N961" t="s">
        <v>136</v>
      </c>
      <c r="O961" t="s">
        <v>140</v>
      </c>
      <c r="P961" t="s">
        <v>151</v>
      </c>
      <c r="Q961" t="s">
        <v>50</v>
      </c>
      <c r="R961">
        <v>0</v>
      </c>
      <c r="S961">
        <v>-45300</v>
      </c>
      <c r="T961" s="1">
        <v>42039</v>
      </c>
      <c r="U961" t="s">
        <v>66</v>
      </c>
      <c r="V961" t="s">
        <v>67</v>
      </c>
      <c r="W961" t="s">
        <v>68</v>
      </c>
      <c r="X961" t="s">
        <v>54</v>
      </c>
      <c r="Y961" t="s">
        <v>69</v>
      </c>
      <c r="Z961" t="s">
        <v>127</v>
      </c>
      <c r="AA961" t="s">
        <v>1143</v>
      </c>
      <c r="AB961">
        <v>21</v>
      </c>
      <c r="AC961" t="str">
        <f t="shared" si="43"/>
        <v>Evening</v>
      </c>
      <c r="AD961">
        <v>1</v>
      </c>
      <c r="AE961" t="s">
        <v>84</v>
      </c>
      <c r="AF961">
        <v>0</v>
      </c>
      <c r="AG961">
        <v>0</v>
      </c>
      <c r="AH961" t="s">
        <v>58</v>
      </c>
      <c r="AI961">
        <v>3300</v>
      </c>
      <c r="AJ961">
        <v>600</v>
      </c>
      <c r="AK961">
        <v>600</v>
      </c>
      <c r="AL961">
        <v>2100</v>
      </c>
      <c r="AM961" t="s">
        <v>59</v>
      </c>
      <c r="AN961" t="s">
        <v>60</v>
      </c>
      <c r="AO961">
        <v>2015</v>
      </c>
      <c r="AP961">
        <v>2008</v>
      </c>
      <c r="AQ961">
        <f t="shared" si="44"/>
        <v>7</v>
      </c>
      <c r="AR961" t="s">
        <v>87</v>
      </c>
    </row>
    <row r="962" spans="1:44" x14ac:dyDescent="0.25">
      <c r="A962">
        <v>194</v>
      </c>
      <c r="B962" t="str">
        <f t="shared" si="42"/>
        <v>10+ years</v>
      </c>
      <c r="C962">
        <v>34</v>
      </c>
      <c r="D962" t="str" cm="1">
        <f t="array" ref="D962">_xlfn.IFS(C962&lt;26, "19-25", C962&lt;33, "26-32", C962&lt;40, "33-39", C962&lt;47, "40-46",C962&lt;54, "47-53", TRUE, "54+")</f>
        <v>33-39</v>
      </c>
      <c r="E962">
        <v>573572</v>
      </c>
      <c r="F962" s="1">
        <v>33405</v>
      </c>
      <c r="G962" t="s">
        <v>88</v>
      </c>
      <c r="H962" t="s">
        <v>74</v>
      </c>
      <c r="I962">
        <v>500</v>
      </c>
      <c r="J962">
        <v>1429.96</v>
      </c>
      <c r="K962">
        <v>0</v>
      </c>
      <c r="L962">
        <v>463307</v>
      </c>
      <c r="M962" t="s">
        <v>75</v>
      </c>
      <c r="N962" t="s">
        <v>166</v>
      </c>
      <c r="O962" t="s">
        <v>140</v>
      </c>
      <c r="P962" t="s">
        <v>78</v>
      </c>
      <c r="Q962" t="s">
        <v>50</v>
      </c>
      <c r="R962">
        <v>67800</v>
      </c>
      <c r="S962">
        <v>0</v>
      </c>
      <c r="T962" s="1">
        <v>42016</v>
      </c>
      <c r="U962" t="s">
        <v>80</v>
      </c>
      <c r="V962" t="s">
        <v>81</v>
      </c>
      <c r="W962" t="s">
        <v>68</v>
      </c>
      <c r="X962" t="s">
        <v>141</v>
      </c>
      <c r="Y962" t="s">
        <v>82</v>
      </c>
      <c r="Z962" t="s">
        <v>132</v>
      </c>
      <c r="AA962" t="s">
        <v>1144</v>
      </c>
      <c r="AB962">
        <v>11</v>
      </c>
      <c r="AC962" t="str">
        <f t="shared" si="43"/>
        <v>Morning</v>
      </c>
      <c r="AD962">
        <v>3</v>
      </c>
      <c r="AE962" t="s">
        <v>84</v>
      </c>
      <c r="AF962">
        <v>1</v>
      </c>
      <c r="AG962">
        <v>2</v>
      </c>
      <c r="AH962" t="s">
        <v>58</v>
      </c>
      <c r="AI962">
        <v>57200</v>
      </c>
      <c r="AJ962">
        <v>11440</v>
      </c>
      <c r="AK962">
        <v>5720</v>
      </c>
      <c r="AL962">
        <v>40040</v>
      </c>
      <c r="AM962" t="s">
        <v>120</v>
      </c>
      <c r="AN962" t="s">
        <v>121</v>
      </c>
      <c r="AO962">
        <v>2015</v>
      </c>
      <c r="AP962">
        <v>2005</v>
      </c>
      <c r="AQ962">
        <f t="shared" si="44"/>
        <v>10</v>
      </c>
      <c r="AR962" t="s">
        <v>87</v>
      </c>
    </row>
    <row r="963" spans="1:44" x14ac:dyDescent="0.25">
      <c r="A963">
        <v>128</v>
      </c>
      <c r="B963" t="str">
        <f t="shared" ref="B963:B1001" si="45">IF(A963&lt;=24, "0-2 years", IF(A963&lt;=60, "2-5 years", IF(A963&lt;=120, "5-10 years", "10+ years")))</f>
        <v>10+ years</v>
      </c>
      <c r="C963">
        <v>35</v>
      </c>
      <c r="D963" t="str" cm="1">
        <f t="array" ref="D963">_xlfn.IFS(C963&lt;26, "19-25", C963&lt;33, "26-32", C963&lt;40, "33-39", C963&lt;47, "40-46",C963&lt;54, "47-53", TRUE, "54+")</f>
        <v>33-39</v>
      </c>
      <c r="E963">
        <v>437960</v>
      </c>
      <c r="F963" s="1">
        <v>36984</v>
      </c>
      <c r="G963" t="s">
        <v>62</v>
      </c>
      <c r="H963" t="s">
        <v>45</v>
      </c>
      <c r="I963">
        <v>1000</v>
      </c>
      <c r="J963">
        <v>1074.99</v>
      </c>
      <c r="K963">
        <v>0</v>
      </c>
      <c r="L963">
        <v>453620</v>
      </c>
      <c r="M963" t="s">
        <v>75</v>
      </c>
      <c r="N963" t="s">
        <v>97</v>
      </c>
      <c r="O963" t="s">
        <v>190</v>
      </c>
      <c r="P963" t="s">
        <v>103</v>
      </c>
      <c r="Q963" t="s">
        <v>50</v>
      </c>
      <c r="R963">
        <v>0</v>
      </c>
      <c r="S963">
        <v>-48800</v>
      </c>
      <c r="T963" s="1">
        <v>42006</v>
      </c>
      <c r="U963" t="s">
        <v>66</v>
      </c>
      <c r="V963" t="s">
        <v>67</v>
      </c>
      <c r="W963" t="s">
        <v>217</v>
      </c>
      <c r="X963" t="s">
        <v>54</v>
      </c>
      <c r="Y963" t="s">
        <v>69</v>
      </c>
      <c r="Z963" t="s">
        <v>56</v>
      </c>
      <c r="AA963" t="s">
        <v>1145</v>
      </c>
      <c r="AB963">
        <v>16</v>
      </c>
      <c r="AC963" t="str">
        <f t="shared" ref="AC963:AC1001" si="46">IF(AB963&lt;6, "Night", IF(AB963&lt;12, "Morning", IF(AB963&lt;18, "Afternoon", "Evening")))</f>
        <v>Afternoon</v>
      </c>
      <c r="AD963">
        <v>1</v>
      </c>
      <c r="AE963" t="s">
        <v>67</v>
      </c>
      <c r="AF963">
        <v>2</v>
      </c>
      <c r="AG963">
        <v>0</v>
      </c>
      <c r="AH963" t="s">
        <v>67</v>
      </c>
      <c r="AI963">
        <v>7590</v>
      </c>
      <c r="AJ963">
        <v>1380</v>
      </c>
      <c r="AK963">
        <v>690</v>
      </c>
      <c r="AL963">
        <v>5520</v>
      </c>
      <c r="AM963" t="s">
        <v>100</v>
      </c>
      <c r="AN963" t="s">
        <v>153</v>
      </c>
      <c r="AO963">
        <v>2015</v>
      </c>
      <c r="AP963">
        <v>2012</v>
      </c>
      <c r="AQ963">
        <f t="shared" ref="AQ963:AQ1001" si="47">AO963-AP963</f>
        <v>3</v>
      </c>
      <c r="AR963" t="s">
        <v>87</v>
      </c>
    </row>
    <row r="964" spans="1:44" x14ac:dyDescent="0.25">
      <c r="A964">
        <v>150</v>
      </c>
      <c r="B964" t="str">
        <f t="shared" si="45"/>
        <v>10+ years</v>
      </c>
      <c r="C964">
        <v>37</v>
      </c>
      <c r="D964" t="str" cm="1">
        <f t="array" ref="D964">_xlfn.IFS(C964&lt;26, "19-25", C964&lt;33, "26-32", C964&lt;40, "33-39", C964&lt;47, "40-46",C964&lt;54, "47-53", TRUE, "54+")</f>
        <v>33-39</v>
      </c>
      <c r="E964">
        <v>649800</v>
      </c>
      <c r="F964" s="1">
        <v>41714</v>
      </c>
      <c r="G964" t="s">
        <v>44</v>
      </c>
      <c r="H964" t="s">
        <v>96</v>
      </c>
      <c r="I964">
        <v>1000</v>
      </c>
      <c r="J964">
        <v>1007</v>
      </c>
      <c r="K964">
        <v>0</v>
      </c>
      <c r="L964">
        <v>466238</v>
      </c>
      <c r="M964" t="s">
        <v>75</v>
      </c>
      <c r="N964" t="s">
        <v>76</v>
      </c>
      <c r="O964" t="s">
        <v>150</v>
      </c>
      <c r="P964" t="s">
        <v>78</v>
      </c>
      <c r="Q964" t="s">
        <v>90</v>
      </c>
      <c r="R964">
        <v>30400</v>
      </c>
      <c r="S964">
        <v>-89400</v>
      </c>
      <c r="T964" s="1">
        <v>42031</v>
      </c>
      <c r="U964" t="s">
        <v>51</v>
      </c>
      <c r="V964" t="s">
        <v>81</v>
      </c>
      <c r="W964" t="s">
        <v>112</v>
      </c>
      <c r="X964" t="s">
        <v>54</v>
      </c>
      <c r="Y964" t="s">
        <v>69</v>
      </c>
      <c r="Z964" t="s">
        <v>92</v>
      </c>
      <c r="AA964" t="s">
        <v>1146</v>
      </c>
      <c r="AB964">
        <v>9</v>
      </c>
      <c r="AC964" t="str">
        <f t="shared" si="46"/>
        <v>Morning</v>
      </c>
      <c r="AD964">
        <v>1</v>
      </c>
      <c r="AE964" t="s">
        <v>84</v>
      </c>
      <c r="AF964">
        <v>0</v>
      </c>
      <c r="AG964">
        <v>2</v>
      </c>
      <c r="AH964" t="s">
        <v>67</v>
      </c>
      <c r="AI964">
        <v>80080</v>
      </c>
      <c r="AJ964">
        <v>12320</v>
      </c>
      <c r="AK964">
        <v>12320</v>
      </c>
      <c r="AL964">
        <v>55440</v>
      </c>
      <c r="AM964" t="s">
        <v>94</v>
      </c>
      <c r="AN964" t="s">
        <v>228</v>
      </c>
      <c r="AO964">
        <v>2015</v>
      </c>
      <c r="AP964">
        <v>2013</v>
      </c>
      <c r="AQ964">
        <f t="shared" si="47"/>
        <v>2</v>
      </c>
      <c r="AR964" t="s">
        <v>87</v>
      </c>
    </row>
    <row r="965" spans="1:44" x14ac:dyDescent="0.25">
      <c r="A965">
        <v>104</v>
      </c>
      <c r="B965" t="str">
        <f t="shared" si="45"/>
        <v>5-10 years</v>
      </c>
      <c r="C965">
        <v>30</v>
      </c>
      <c r="D965" t="str" cm="1">
        <f t="array" ref="D965">_xlfn.IFS(C965&lt;26, "19-25", C965&lt;33, "26-32", C965&lt;40, "33-39", C965&lt;47, "40-46",C965&lt;54, "47-53", TRUE, "54+")</f>
        <v>26-32</v>
      </c>
      <c r="E965">
        <v>544225</v>
      </c>
      <c r="F965" s="1">
        <v>40393</v>
      </c>
      <c r="G965" t="s">
        <v>44</v>
      </c>
      <c r="H965" t="s">
        <v>74</v>
      </c>
      <c r="I965">
        <v>500</v>
      </c>
      <c r="J965">
        <v>1052.8499999999999</v>
      </c>
      <c r="K965">
        <v>0</v>
      </c>
      <c r="L965">
        <v>607697</v>
      </c>
      <c r="M965" t="s">
        <v>75</v>
      </c>
      <c r="N965" t="s">
        <v>47</v>
      </c>
      <c r="O965" t="s">
        <v>140</v>
      </c>
      <c r="P965" t="s">
        <v>137</v>
      </c>
      <c r="Q965" t="s">
        <v>65</v>
      </c>
      <c r="R965">
        <v>0</v>
      </c>
      <c r="S965">
        <v>-70100</v>
      </c>
      <c r="T965" s="1">
        <v>42044</v>
      </c>
      <c r="U965" t="s">
        <v>66</v>
      </c>
      <c r="V965" t="s">
        <v>67</v>
      </c>
      <c r="W965" t="s">
        <v>68</v>
      </c>
      <c r="X965" t="s">
        <v>54</v>
      </c>
      <c r="Y965" t="s">
        <v>118</v>
      </c>
      <c r="Z965" t="s">
        <v>70</v>
      </c>
      <c r="AA965" t="s">
        <v>1147</v>
      </c>
      <c r="AB965">
        <v>8</v>
      </c>
      <c r="AC965" t="str">
        <f t="shared" si="46"/>
        <v>Morning</v>
      </c>
      <c r="AD965">
        <v>1</v>
      </c>
      <c r="AE965" t="s">
        <v>84</v>
      </c>
      <c r="AF965">
        <v>0</v>
      </c>
      <c r="AG965">
        <v>0</v>
      </c>
      <c r="AH965" t="s">
        <v>58</v>
      </c>
      <c r="AI965">
        <v>4800</v>
      </c>
      <c r="AJ965">
        <v>960</v>
      </c>
      <c r="AK965">
        <v>480</v>
      </c>
      <c r="AL965">
        <v>3360</v>
      </c>
      <c r="AM965" t="s">
        <v>192</v>
      </c>
      <c r="AN965" t="s">
        <v>193</v>
      </c>
      <c r="AO965">
        <v>2015</v>
      </c>
      <c r="AP965">
        <v>2006</v>
      </c>
      <c r="AQ965">
        <f t="shared" si="47"/>
        <v>9</v>
      </c>
      <c r="AR965" t="s">
        <v>87</v>
      </c>
    </row>
    <row r="966" spans="1:44" x14ac:dyDescent="0.25">
      <c r="A966">
        <v>163</v>
      </c>
      <c r="B966" t="str">
        <f t="shared" si="45"/>
        <v>10+ years</v>
      </c>
      <c r="C966">
        <v>37</v>
      </c>
      <c r="D966" t="str" cm="1">
        <f t="array" ref="D966">_xlfn.IFS(C966&lt;26, "19-25", C966&lt;33, "26-32", C966&lt;40, "33-39", C966&lt;47, "40-46",C966&lt;54, "47-53", TRUE, "54+")</f>
        <v>33-39</v>
      </c>
      <c r="E966">
        <v>390256</v>
      </c>
      <c r="F966" s="1">
        <v>40142</v>
      </c>
      <c r="G966" t="s">
        <v>62</v>
      </c>
      <c r="H966" t="s">
        <v>96</v>
      </c>
      <c r="I966">
        <v>1000</v>
      </c>
      <c r="J966">
        <v>1200.33</v>
      </c>
      <c r="K966">
        <v>4000000</v>
      </c>
      <c r="L966">
        <v>477631</v>
      </c>
      <c r="M966" t="s">
        <v>75</v>
      </c>
      <c r="N966" t="s">
        <v>136</v>
      </c>
      <c r="O966" t="s">
        <v>48</v>
      </c>
      <c r="P966" t="s">
        <v>247</v>
      </c>
      <c r="Q966" t="s">
        <v>79</v>
      </c>
      <c r="R966">
        <v>0</v>
      </c>
      <c r="S966">
        <v>-36400</v>
      </c>
      <c r="T966" s="1">
        <v>42041</v>
      </c>
      <c r="U966" t="s">
        <v>66</v>
      </c>
      <c r="V966" t="s">
        <v>67</v>
      </c>
      <c r="W966" t="s">
        <v>68</v>
      </c>
      <c r="X966" t="s">
        <v>54</v>
      </c>
      <c r="Y966" t="s">
        <v>118</v>
      </c>
      <c r="Z966" t="s">
        <v>107</v>
      </c>
      <c r="AA966" t="s">
        <v>1148</v>
      </c>
      <c r="AB966">
        <v>7</v>
      </c>
      <c r="AC966" t="str">
        <f t="shared" si="46"/>
        <v>Morning</v>
      </c>
      <c r="AD966">
        <v>1</v>
      </c>
      <c r="AE966" t="s">
        <v>67</v>
      </c>
      <c r="AF966">
        <v>2</v>
      </c>
      <c r="AG966">
        <v>1</v>
      </c>
      <c r="AH966" t="s">
        <v>58</v>
      </c>
      <c r="AI966">
        <v>3900</v>
      </c>
      <c r="AJ966">
        <v>390</v>
      </c>
      <c r="AK966">
        <v>780</v>
      </c>
      <c r="AL966">
        <v>2730</v>
      </c>
      <c r="AM966" t="s">
        <v>219</v>
      </c>
      <c r="AN966" t="s">
        <v>263</v>
      </c>
      <c r="AO966">
        <v>2015</v>
      </c>
      <c r="AP966">
        <v>2008</v>
      </c>
      <c r="AQ966">
        <f t="shared" si="47"/>
        <v>7</v>
      </c>
      <c r="AR966" t="s">
        <v>61</v>
      </c>
    </row>
    <row r="967" spans="1:44" x14ac:dyDescent="0.25">
      <c r="A967">
        <v>80</v>
      </c>
      <c r="B967" t="str">
        <f t="shared" si="45"/>
        <v>5-10 years</v>
      </c>
      <c r="C967">
        <v>26</v>
      </c>
      <c r="D967" t="str" cm="1">
        <f t="array" ref="D967">_xlfn.IFS(C967&lt;26, "19-25", C967&lt;33, "26-32", C967&lt;40, "33-39", C967&lt;47, "40-46",C967&lt;54, "47-53", TRUE, "54+")</f>
        <v>26-32</v>
      </c>
      <c r="E967">
        <v>488597</v>
      </c>
      <c r="F967" s="1">
        <v>37019</v>
      </c>
      <c r="G967" t="s">
        <v>88</v>
      </c>
      <c r="H967" t="s">
        <v>74</v>
      </c>
      <c r="I967">
        <v>1000</v>
      </c>
      <c r="J967">
        <v>1343</v>
      </c>
      <c r="K967">
        <v>0</v>
      </c>
      <c r="L967">
        <v>443625</v>
      </c>
      <c r="M967" t="s">
        <v>46</v>
      </c>
      <c r="N967" t="s">
        <v>129</v>
      </c>
      <c r="O967" t="s">
        <v>164</v>
      </c>
      <c r="P967" t="s">
        <v>123</v>
      </c>
      <c r="Q967" t="s">
        <v>65</v>
      </c>
      <c r="R967">
        <v>64600</v>
      </c>
      <c r="S967">
        <v>0</v>
      </c>
      <c r="T967" s="1">
        <v>42007</v>
      </c>
      <c r="U967" t="s">
        <v>51</v>
      </c>
      <c r="V967" t="s">
        <v>91</v>
      </c>
      <c r="W967" t="s">
        <v>68</v>
      </c>
      <c r="X967" t="s">
        <v>125</v>
      </c>
      <c r="Y967" t="s">
        <v>55</v>
      </c>
      <c r="Z967" t="s">
        <v>92</v>
      </c>
      <c r="AA967" t="s">
        <v>1149</v>
      </c>
      <c r="AB967">
        <v>12</v>
      </c>
      <c r="AC967" t="str">
        <f t="shared" si="46"/>
        <v>Afternoon</v>
      </c>
      <c r="AD967">
        <v>1</v>
      </c>
      <c r="AE967" t="s">
        <v>67</v>
      </c>
      <c r="AF967">
        <v>0</v>
      </c>
      <c r="AG967">
        <v>0</v>
      </c>
      <c r="AH967" t="s">
        <v>84</v>
      </c>
      <c r="AI967">
        <v>90400</v>
      </c>
      <c r="AJ967">
        <v>9040</v>
      </c>
      <c r="AK967">
        <v>9040</v>
      </c>
      <c r="AL967">
        <v>72320</v>
      </c>
      <c r="AM967" t="s">
        <v>192</v>
      </c>
      <c r="AN967" t="s">
        <v>193</v>
      </c>
      <c r="AO967">
        <v>2015</v>
      </c>
      <c r="AP967">
        <v>1995</v>
      </c>
      <c r="AQ967">
        <f t="shared" si="47"/>
        <v>20</v>
      </c>
      <c r="AR967" t="s">
        <v>87</v>
      </c>
    </row>
    <row r="968" spans="1:44" x14ac:dyDescent="0.25">
      <c r="A968">
        <v>65</v>
      </c>
      <c r="B968" t="str">
        <f t="shared" si="45"/>
        <v>5-10 years</v>
      </c>
      <c r="C968">
        <v>29</v>
      </c>
      <c r="D968" t="str" cm="1">
        <f t="array" ref="D968">_xlfn.IFS(C968&lt;26, "19-25", C968&lt;33, "26-32", C968&lt;40, "33-39", C968&lt;47, "40-46",C968&lt;54, "47-53", TRUE, "54+")</f>
        <v>26-32</v>
      </c>
      <c r="E968">
        <v>133889</v>
      </c>
      <c r="F968" s="1">
        <v>38152</v>
      </c>
      <c r="G968" t="s">
        <v>44</v>
      </c>
      <c r="H968" t="s">
        <v>45</v>
      </c>
      <c r="I968">
        <v>2000</v>
      </c>
      <c r="J968">
        <v>1441.6</v>
      </c>
      <c r="K968">
        <v>5000000</v>
      </c>
      <c r="L968">
        <v>472223</v>
      </c>
      <c r="M968" t="s">
        <v>75</v>
      </c>
      <c r="N968" t="s">
        <v>47</v>
      </c>
      <c r="O968" t="s">
        <v>77</v>
      </c>
      <c r="P968" t="s">
        <v>175</v>
      </c>
      <c r="Q968" t="s">
        <v>79</v>
      </c>
      <c r="R968">
        <v>0</v>
      </c>
      <c r="S968">
        <v>0</v>
      </c>
      <c r="T968" s="1">
        <v>42016</v>
      </c>
      <c r="U968" t="s">
        <v>80</v>
      </c>
      <c r="V968" t="s">
        <v>81</v>
      </c>
      <c r="W968" t="s">
        <v>68</v>
      </c>
      <c r="X968" t="s">
        <v>125</v>
      </c>
      <c r="Y968" t="s">
        <v>126</v>
      </c>
      <c r="Z968" t="s">
        <v>56</v>
      </c>
      <c r="AA968" t="s">
        <v>1150</v>
      </c>
      <c r="AB968">
        <v>21</v>
      </c>
      <c r="AC968" t="str">
        <f t="shared" si="46"/>
        <v>Evening</v>
      </c>
      <c r="AD968">
        <v>3</v>
      </c>
      <c r="AE968" t="s">
        <v>58</v>
      </c>
      <c r="AF968">
        <v>0</v>
      </c>
      <c r="AG968">
        <v>0</v>
      </c>
      <c r="AH968" t="s">
        <v>67</v>
      </c>
      <c r="AI968">
        <v>62900</v>
      </c>
      <c r="AJ968">
        <v>6290</v>
      </c>
      <c r="AK968">
        <v>12580</v>
      </c>
      <c r="AL968">
        <v>44030</v>
      </c>
      <c r="AM968" t="s">
        <v>202</v>
      </c>
      <c r="AN968" t="s">
        <v>380</v>
      </c>
      <c r="AO968">
        <v>2015</v>
      </c>
      <c r="AP968">
        <v>1998</v>
      </c>
      <c r="AQ968">
        <f t="shared" si="47"/>
        <v>17</v>
      </c>
      <c r="AR968" t="s">
        <v>87</v>
      </c>
    </row>
    <row r="969" spans="1:44" x14ac:dyDescent="0.25">
      <c r="A969">
        <v>179</v>
      </c>
      <c r="B969" t="str">
        <f t="shared" si="45"/>
        <v>10+ years</v>
      </c>
      <c r="C969">
        <v>32</v>
      </c>
      <c r="D969" t="str" cm="1">
        <f t="array" ref="D969">_xlfn.IFS(C969&lt;26, "19-25", C969&lt;33, "26-32", C969&lt;40, "33-39", C969&lt;47, "40-46",C969&lt;54, "47-53", TRUE, "54+")</f>
        <v>26-32</v>
      </c>
      <c r="E969">
        <v>931901</v>
      </c>
      <c r="F969" s="1">
        <v>34553</v>
      </c>
      <c r="G969" t="s">
        <v>44</v>
      </c>
      <c r="H969" t="s">
        <v>74</v>
      </c>
      <c r="I969">
        <v>1000</v>
      </c>
      <c r="J969">
        <v>1433.42</v>
      </c>
      <c r="K969">
        <v>6000000</v>
      </c>
      <c r="L969">
        <v>608328</v>
      </c>
      <c r="M969" t="s">
        <v>75</v>
      </c>
      <c r="N969" t="s">
        <v>97</v>
      </c>
      <c r="O969" t="s">
        <v>140</v>
      </c>
      <c r="P969" t="s">
        <v>111</v>
      </c>
      <c r="Q969" t="s">
        <v>79</v>
      </c>
      <c r="R969">
        <v>53800</v>
      </c>
      <c r="S969">
        <v>0</v>
      </c>
      <c r="T969" s="1">
        <v>42026</v>
      </c>
      <c r="U969" t="s">
        <v>51</v>
      </c>
      <c r="V969" t="s">
        <v>81</v>
      </c>
      <c r="W969" t="s">
        <v>53</v>
      </c>
      <c r="X969" t="s">
        <v>54</v>
      </c>
      <c r="Y969" t="s">
        <v>126</v>
      </c>
      <c r="Z969" t="s">
        <v>92</v>
      </c>
      <c r="AA969" t="s">
        <v>1151</v>
      </c>
      <c r="AB969">
        <v>4</v>
      </c>
      <c r="AC969" t="str">
        <f t="shared" si="46"/>
        <v>Night</v>
      </c>
      <c r="AD969">
        <v>1</v>
      </c>
      <c r="AE969" t="s">
        <v>58</v>
      </c>
      <c r="AF969">
        <v>1</v>
      </c>
      <c r="AG969">
        <v>2</v>
      </c>
      <c r="AH969" t="s">
        <v>84</v>
      </c>
      <c r="AI969">
        <v>54200</v>
      </c>
      <c r="AJ969">
        <v>5420</v>
      </c>
      <c r="AK969">
        <v>10840</v>
      </c>
      <c r="AL969">
        <v>37940</v>
      </c>
      <c r="AM969" t="s">
        <v>109</v>
      </c>
      <c r="AN969" t="s">
        <v>292</v>
      </c>
      <c r="AO969">
        <v>2015</v>
      </c>
      <c r="AP969">
        <v>2014</v>
      </c>
      <c r="AQ969">
        <f t="shared" si="47"/>
        <v>1</v>
      </c>
      <c r="AR969" t="s">
        <v>61</v>
      </c>
    </row>
    <row r="970" spans="1:44" x14ac:dyDescent="0.25">
      <c r="A970">
        <v>372</v>
      </c>
      <c r="B970" t="str">
        <f t="shared" si="45"/>
        <v>10+ years</v>
      </c>
      <c r="C970">
        <v>50</v>
      </c>
      <c r="D970" t="str" cm="1">
        <f t="array" ref="D970">_xlfn.IFS(C970&lt;26, "19-25", C970&lt;33, "26-32", C970&lt;40, "33-39", C970&lt;47, "40-46",C970&lt;54, "47-53", TRUE, "54+")</f>
        <v>47-53</v>
      </c>
      <c r="E970">
        <v>769475</v>
      </c>
      <c r="F970" s="1">
        <v>38225</v>
      </c>
      <c r="G970" t="s">
        <v>44</v>
      </c>
      <c r="H970" t="s">
        <v>96</v>
      </c>
      <c r="I970">
        <v>2000</v>
      </c>
      <c r="J970">
        <v>1368.57</v>
      </c>
      <c r="K970">
        <v>0</v>
      </c>
      <c r="L970">
        <v>474860</v>
      </c>
      <c r="M970" t="s">
        <v>75</v>
      </c>
      <c r="N970" t="s">
        <v>47</v>
      </c>
      <c r="O970" t="s">
        <v>102</v>
      </c>
      <c r="P970" t="s">
        <v>170</v>
      </c>
      <c r="Q970" t="s">
        <v>65</v>
      </c>
      <c r="R970">
        <v>0</v>
      </c>
      <c r="S970">
        <v>0</v>
      </c>
      <c r="T970" s="1">
        <v>42007</v>
      </c>
      <c r="U970" t="s">
        <v>80</v>
      </c>
      <c r="V970" t="s">
        <v>52</v>
      </c>
      <c r="W970" t="s">
        <v>53</v>
      </c>
      <c r="X970" t="s">
        <v>54</v>
      </c>
      <c r="Y970" t="s">
        <v>82</v>
      </c>
      <c r="Z970" t="s">
        <v>132</v>
      </c>
      <c r="AA970" t="s">
        <v>1152</v>
      </c>
      <c r="AB970">
        <v>18</v>
      </c>
      <c r="AC970" t="str">
        <f t="shared" si="46"/>
        <v>Evening</v>
      </c>
      <c r="AD970">
        <v>3</v>
      </c>
      <c r="AE970" t="s">
        <v>84</v>
      </c>
      <c r="AF970">
        <v>2</v>
      </c>
      <c r="AG970">
        <v>2</v>
      </c>
      <c r="AH970" t="s">
        <v>58</v>
      </c>
      <c r="AI970">
        <v>51800</v>
      </c>
      <c r="AJ970">
        <v>5180</v>
      </c>
      <c r="AK970">
        <v>10360</v>
      </c>
      <c r="AL970">
        <v>36260</v>
      </c>
      <c r="AM970" t="s">
        <v>100</v>
      </c>
      <c r="AN970" t="s">
        <v>153</v>
      </c>
      <c r="AO970">
        <v>2015</v>
      </c>
      <c r="AP970">
        <v>2003</v>
      </c>
      <c r="AQ970">
        <f t="shared" si="47"/>
        <v>12</v>
      </c>
      <c r="AR970" t="s">
        <v>87</v>
      </c>
    </row>
    <row r="971" spans="1:44" x14ac:dyDescent="0.25">
      <c r="A971">
        <v>398</v>
      </c>
      <c r="B971" t="str">
        <f t="shared" si="45"/>
        <v>10+ years</v>
      </c>
      <c r="C971">
        <v>55</v>
      </c>
      <c r="D971" t="str" cm="1">
        <f t="array" ref="D971">_xlfn.IFS(C971&lt;26, "19-25", C971&lt;33, "26-32", C971&lt;40, "33-39", C971&lt;47, "40-46",C971&lt;54, "47-53", TRUE, "54+")</f>
        <v>54+</v>
      </c>
      <c r="E971">
        <v>844062</v>
      </c>
      <c r="F971" s="1">
        <v>33018</v>
      </c>
      <c r="G971" t="s">
        <v>44</v>
      </c>
      <c r="H971" t="s">
        <v>45</v>
      </c>
      <c r="I971">
        <v>500</v>
      </c>
      <c r="J971">
        <v>862.19</v>
      </c>
      <c r="K971">
        <v>0</v>
      </c>
      <c r="L971">
        <v>606858</v>
      </c>
      <c r="M971" t="s">
        <v>46</v>
      </c>
      <c r="N971" t="s">
        <v>136</v>
      </c>
      <c r="O971" t="s">
        <v>190</v>
      </c>
      <c r="P971" t="s">
        <v>151</v>
      </c>
      <c r="Q971" t="s">
        <v>90</v>
      </c>
      <c r="R971">
        <v>69400</v>
      </c>
      <c r="S971">
        <v>0</v>
      </c>
      <c r="T971" s="1">
        <v>42058</v>
      </c>
      <c r="U971" t="s">
        <v>66</v>
      </c>
      <c r="V971" t="s">
        <v>67</v>
      </c>
      <c r="W971" t="s">
        <v>217</v>
      </c>
      <c r="X971" t="s">
        <v>54</v>
      </c>
      <c r="Y971" t="s">
        <v>55</v>
      </c>
      <c r="Z971" t="s">
        <v>132</v>
      </c>
      <c r="AA971" t="s">
        <v>1153</v>
      </c>
      <c r="AB971">
        <v>7</v>
      </c>
      <c r="AC971" t="str">
        <f t="shared" si="46"/>
        <v>Morning</v>
      </c>
      <c r="AD971">
        <v>1</v>
      </c>
      <c r="AE971" t="s">
        <v>67</v>
      </c>
      <c r="AF971">
        <v>2</v>
      </c>
      <c r="AG971">
        <v>3</v>
      </c>
      <c r="AH971" t="s">
        <v>67</v>
      </c>
      <c r="AI971">
        <v>6600</v>
      </c>
      <c r="AJ971">
        <v>600</v>
      </c>
      <c r="AK971">
        <v>1200</v>
      </c>
      <c r="AL971">
        <v>4800</v>
      </c>
      <c r="AM971" t="s">
        <v>100</v>
      </c>
      <c r="AN971" t="s">
        <v>153</v>
      </c>
      <c r="AO971">
        <v>2015</v>
      </c>
      <c r="AP971">
        <v>2012</v>
      </c>
      <c r="AQ971">
        <f t="shared" si="47"/>
        <v>3</v>
      </c>
      <c r="AR971" t="s">
        <v>87</v>
      </c>
    </row>
    <row r="972" spans="1:44" x14ac:dyDescent="0.25">
      <c r="A972">
        <v>213</v>
      </c>
      <c r="B972" t="str">
        <f t="shared" si="45"/>
        <v>10+ years</v>
      </c>
      <c r="C972">
        <v>35</v>
      </c>
      <c r="D972" t="str" cm="1">
        <f t="array" ref="D972">_xlfn.IFS(C972&lt;26, "19-25", C972&lt;33, "26-32", C972&lt;40, "33-39", C972&lt;47, "40-46",C972&lt;54, "47-53", TRUE, "54+")</f>
        <v>33-39</v>
      </c>
      <c r="E972">
        <v>844129</v>
      </c>
      <c r="F972" s="1">
        <v>33136</v>
      </c>
      <c r="G972" t="s">
        <v>44</v>
      </c>
      <c r="H972" t="s">
        <v>45</v>
      </c>
      <c r="I972">
        <v>500</v>
      </c>
      <c r="J972">
        <v>871.46</v>
      </c>
      <c r="K972">
        <v>0</v>
      </c>
      <c r="L972">
        <v>477938</v>
      </c>
      <c r="M972" t="s">
        <v>46</v>
      </c>
      <c r="N972" t="s">
        <v>47</v>
      </c>
      <c r="O972" t="s">
        <v>102</v>
      </c>
      <c r="P972" t="s">
        <v>151</v>
      </c>
      <c r="Q972" t="s">
        <v>50</v>
      </c>
      <c r="R972">
        <v>58500</v>
      </c>
      <c r="S972">
        <v>-77700</v>
      </c>
      <c r="T972" s="1">
        <v>42026</v>
      </c>
      <c r="U972" t="s">
        <v>51</v>
      </c>
      <c r="V972" t="s">
        <v>52</v>
      </c>
      <c r="W972" t="s">
        <v>112</v>
      </c>
      <c r="X972" t="s">
        <v>104</v>
      </c>
      <c r="Y972" t="s">
        <v>55</v>
      </c>
      <c r="Z972" t="s">
        <v>161</v>
      </c>
      <c r="AA972" t="s">
        <v>1154</v>
      </c>
      <c r="AB972">
        <v>13</v>
      </c>
      <c r="AC972" t="str">
        <f t="shared" si="46"/>
        <v>Afternoon</v>
      </c>
      <c r="AD972">
        <v>1</v>
      </c>
      <c r="AE972" t="s">
        <v>58</v>
      </c>
      <c r="AF972">
        <v>2</v>
      </c>
      <c r="AG972">
        <v>0</v>
      </c>
      <c r="AH972" t="s">
        <v>58</v>
      </c>
      <c r="AI972">
        <v>74140</v>
      </c>
      <c r="AJ972">
        <v>13480</v>
      </c>
      <c r="AK972">
        <v>6740</v>
      </c>
      <c r="AL972">
        <v>53920</v>
      </c>
      <c r="AM972" t="s">
        <v>134</v>
      </c>
      <c r="AN972" t="s">
        <v>177</v>
      </c>
      <c r="AO972">
        <v>2015</v>
      </c>
      <c r="AP972">
        <v>2007</v>
      </c>
      <c r="AQ972">
        <f t="shared" si="47"/>
        <v>8</v>
      </c>
      <c r="AR972" t="s">
        <v>87</v>
      </c>
    </row>
    <row r="973" spans="1:44" x14ac:dyDescent="0.25">
      <c r="A973">
        <v>79</v>
      </c>
      <c r="B973" t="str">
        <f t="shared" si="45"/>
        <v>5-10 years</v>
      </c>
      <c r="C973">
        <v>25</v>
      </c>
      <c r="D973" t="str" cm="1">
        <f t="array" ref="D973">_xlfn.IFS(C973&lt;26, "19-25", C973&lt;33, "26-32", C973&lt;40, "33-39", C973&lt;47, "40-46",C973&lt;54, "47-53", TRUE, "54+")</f>
        <v>19-25</v>
      </c>
      <c r="E973">
        <v>732169</v>
      </c>
      <c r="F973" s="1">
        <v>36835</v>
      </c>
      <c r="G973" t="s">
        <v>44</v>
      </c>
      <c r="H973" t="s">
        <v>96</v>
      </c>
      <c r="I973">
        <v>500</v>
      </c>
      <c r="J973">
        <v>1863.04</v>
      </c>
      <c r="K973">
        <v>0</v>
      </c>
      <c r="L973">
        <v>462698</v>
      </c>
      <c r="M973" t="s">
        <v>75</v>
      </c>
      <c r="N973" t="s">
        <v>97</v>
      </c>
      <c r="O973" t="s">
        <v>122</v>
      </c>
      <c r="P973" t="s">
        <v>170</v>
      </c>
      <c r="Q973" t="s">
        <v>147</v>
      </c>
      <c r="R973">
        <v>53400</v>
      </c>
      <c r="S973">
        <v>-35200</v>
      </c>
      <c r="T973" s="1">
        <v>42048</v>
      </c>
      <c r="U973" t="s">
        <v>51</v>
      </c>
      <c r="V973" t="s">
        <v>91</v>
      </c>
      <c r="W973" t="s">
        <v>112</v>
      </c>
      <c r="X973" t="s">
        <v>104</v>
      </c>
      <c r="Y973" t="s">
        <v>69</v>
      </c>
      <c r="Z973" t="s">
        <v>132</v>
      </c>
      <c r="AA973" t="s">
        <v>1155</v>
      </c>
      <c r="AB973">
        <v>0</v>
      </c>
      <c r="AC973" t="str">
        <f t="shared" si="46"/>
        <v>Night</v>
      </c>
      <c r="AD973">
        <v>1</v>
      </c>
      <c r="AE973" t="s">
        <v>84</v>
      </c>
      <c r="AF973">
        <v>2</v>
      </c>
      <c r="AG973">
        <v>1</v>
      </c>
      <c r="AH973" t="s">
        <v>67</v>
      </c>
      <c r="AI973">
        <v>67800</v>
      </c>
      <c r="AJ973">
        <v>13560</v>
      </c>
      <c r="AK973">
        <v>6780</v>
      </c>
      <c r="AL973">
        <v>47460</v>
      </c>
      <c r="AM973" t="s">
        <v>72</v>
      </c>
      <c r="AN973" t="s">
        <v>198</v>
      </c>
      <c r="AO973">
        <v>2015</v>
      </c>
      <c r="AP973">
        <v>1995</v>
      </c>
      <c r="AQ973">
        <f t="shared" si="47"/>
        <v>20</v>
      </c>
      <c r="AR973" t="s">
        <v>87</v>
      </c>
    </row>
    <row r="974" spans="1:44" x14ac:dyDescent="0.25">
      <c r="A974">
        <v>232</v>
      </c>
      <c r="B974" t="str">
        <f t="shared" si="45"/>
        <v>10+ years</v>
      </c>
      <c r="C974">
        <v>44</v>
      </c>
      <c r="D974" t="str" cm="1">
        <f t="array" ref="D974">_xlfn.IFS(C974&lt;26, "19-25", C974&lt;33, "26-32", C974&lt;40, "33-39", C974&lt;47, "40-46",C974&lt;54, "47-53", TRUE, "54+")</f>
        <v>40-46</v>
      </c>
      <c r="E974">
        <v>221854</v>
      </c>
      <c r="F974" s="1">
        <v>34610</v>
      </c>
      <c r="G974" t="s">
        <v>44</v>
      </c>
      <c r="H974" t="s">
        <v>45</v>
      </c>
      <c r="I974">
        <v>2000</v>
      </c>
      <c r="J974">
        <v>1181.6400000000001</v>
      </c>
      <c r="K974">
        <v>0</v>
      </c>
      <c r="L974">
        <v>454552</v>
      </c>
      <c r="M974" t="s">
        <v>46</v>
      </c>
      <c r="N974" t="s">
        <v>146</v>
      </c>
      <c r="O974" t="s">
        <v>116</v>
      </c>
      <c r="P974" t="s">
        <v>269</v>
      </c>
      <c r="Q974" t="s">
        <v>124</v>
      </c>
      <c r="R974">
        <v>25800</v>
      </c>
      <c r="S974">
        <v>0</v>
      </c>
      <c r="T974" s="1">
        <v>42043</v>
      </c>
      <c r="U974" t="s">
        <v>51</v>
      </c>
      <c r="V974" t="s">
        <v>81</v>
      </c>
      <c r="W974" t="s">
        <v>53</v>
      </c>
      <c r="X974" t="s">
        <v>104</v>
      </c>
      <c r="Y974" t="s">
        <v>82</v>
      </c>
      <c r="Z974" t="s">
        <v>132</v>
      </c>
      <c r="AA974" t="s">
        <v>1156</v>
      </c>
      <c r="AB974">
        <v>22</v>
      </c>
      <c r="AC974" t="str">
        <f t="shared" si="46"/>
        <v>Evening</v>
      </c>
      <c r="AD974">
        <v>1</v>
      </c>
      <c r="AE974" t="s">
        <v>67</v>
      </c>
      <c r="AF974">
        <v>1</v>
      </c>
      <c r="AG974">
        <v>1</v>
      </c>
      <c r="AH974" t="s">
        <v>58</v>
      </c>
      <c r="AI974">
        <v>55400</v>
      </c>
      <c r="AJ974">
        <v>5540</v>
      </c>
      <c r="AK974">
        <v>11080</v>
      </c>
      <c r="AL974">
        <v>38780</v>
      </c>
      <c r="AM974" t="s">
        <v>202</v>
      </c>
      <c r="AN974" t="s">
        <v>380</v>
      </c>
      <c r="AO974">
        <v>2015</v>
      </c>
      <c r="AP974">
        <v>2002</v>
      </c>
      <c r="AQ974">
        <f t="shared" si="47"/>
        <v>13</v>
      </c>
      <c r="AR974" t="s">
        <v>61</v>
      </c>
    </row>
    <row r="975" spans="1:44" x14ac:dyDescent="0.25">
      <c r="A975">
        <v>230</v>
      </c>
      <c r="B975" t="str">
        <f t="shared" si="45"/>
        <v>10+ years</v>
      </c>
      <c r="C975">
        <v>37</v>
      </c>
      <c r="D975" t="str" cm="1">
        <f t="array" ref="D975">_xlfn.IFS(C975&lt;26, "19-25", C975&lt;33, "26-32", C975&lt;40, "33-39", C975&lt;47, "40-46",C975&lt;54, "47-53", TRUE, "54+")</f>
        <v>33-39</v>
      </c>
      <c r="E975">
        <v>776950</v>
      </c>
      <c r="F975" s="1">
        <v>38453</v>
      </c>
      <c r="G975" t="s">
        <v>88</v>
      </c>
      <c r="H975" t="s">
        <v>96</v>
      </c>
      <c r="I975">
        <v>1000</v>
      </c>
      <c r="J975">
        <v>1060.74</v>
      </c>
      <c r="K975">
        <v>0</v>
      </c>
      <c r="L975">
        <v>471585</v>
      </c>
      <c r="M975" t="s">
        <v>46</v>
      </c>
      <c r="N975" t="s">
        <v>76</v>
      </c>
      <c r="O975" t="s">
        <v>102</v>
      </c>
      <c r="P975" t="s">
        <v>64</v>
      </c>
      <c r="Q975" t="s">
        <v>79</v>
      </c>
      <c r="R975">
        <v>0</v>
      </c>
      <c r="S975">
        <v>-51500</v>
      </c>
      <c r="T975" s="1">
        <v>42013</v>
      </c>
      <c r="U975" t="s">
        <v>51</v>
      </c>
      <c r="V975" t="s">
        <v>81</v>
      </c>
      <c r="W975" t="s">
        <v>53</v>
      </c>
      <c r="X975" t="s">
        <v>141</v>
      </c>
      <c r="Y975" t="s">
        <v>55</v>
      </c>
      <c r="Z975" t="s">
        <v>56</v>
      </c>
      <c r="AA975" t="s">
        <v>1157</v>
      </c>
      <c r="AB975">
        <v>15</v>
      </c>
      <c r="AC975" t="str">
        <f t="shared" si="46"/>
        <v>Afternoon</v>
      </c>
      <c r="AD975">
        <v>1</v>
      </c>
      <c r="AE975" t="s">
        <v>58</v>
      </c>
      <c r="AF975">
        <v>2</v>
      </c>
      <c r="AG975">
        <v>3</v>
      </c>
      <c r="AH975" t="s">
        <v>67</v>
      </c>
      <c r="AI975">
        <v>49100</v>
      </c>
      <c r="AJ975">
        <v>9820</v>
      </c>
      <c r="AK975">
        <v>4910</v>
      </c>
      <c r="AL975">
        <v>34370</v>
      </c>
      <c r="AM975" t="s">
        <v>158</v>
      </c>
      <c r="AN975" t="s">
        <v>168</v>
      </c>
      <c r="AO975">
        <v>2015</v>
      </c>
      <c r="AP975">
        <v>1996</v>
      </c>
      <c r="AQ975">
        <f t="shared" si="47"/>
        <v>19</v>
      </c>
      <c r="AR975" t="s">
        <v>61</v>
      </c>
    </row>
    <row r="976" spans="1:44" x14ac:dyDescent="0.25">
      <c r="A976">
        <v>234</v>
      </c>
      <c r="B976" t="str">
        <f t="shared" si="45"/>
        <v>10+ years</v>
      </c>
      <c r="C976">
        <v>41</v>
      </c>
      <c r="D976" t="str" cm="1">
        <f t="array" ref="D976">_xlfn.IFS(C976&lt;26, "19-25", C976&lt;33, "26-32", C976&lt;40, "33-39", C976&lt;47, "40-46",C976&lt;54, "47-53", TRUE, "54+")</f>
        <v>40-46</v>
      </c>
      <c r="E976">
        <v>291006</v>
      </c>
      <c r="F976" s="1">
        <v>33009</v>
      </c>
      <c r="G976" t="s">
        <v>62</v>
      </c>
      <c r="H976" t="s">
        <v>74</v>
      </c>
      <c r="I976">
        <v>500</v>
      </c>
      <c r="J976">
        <v>951.56</v>
      </c>
      <c r="K976">
        <v>0</v>
      </c>
      <c r="L976">
        <v>455426</v>
      </c>
      <c r="M976" t="s">
        <v>75</v>
      </c>
      <c r="N976" t="s">
        <v>166</v>
      </c>
      <c r="O976" t="s">
        <v>150</v>
      </c>
      <c r="P976" t="s">
        <v>186</v>
      </c>
      <c r="Q976" t="s">
        <v>124</v>
      </c>
      <c r="R976">
        <v>59400</v>
      </c>
      <c r="S976">
        <v>-78600</v>
      </c>
      <c r="T976" s="1">
        <v>42043</v>
      </c>
      <c r="U976" t="s">
        <v>80</v>
      </c>
      <c r="V976" t="s">
        <v>52</v>
      </c>
      <c r="W976" t="s">
        <v>53</v>
      </c>
      <c r="X976" t="s">
        <v>54</v>
      </c>
      <c r="Y976" t="s">
        <v>55</v>
      </c>
      <c r="Z976" t="s">
        <v>70</v>
      </c>
      <c r="AA976" t="s">
        <v>1158</v>
      </c>
      <c r="AB976">
        <v>3</v>
      </c>
      <c r="AC976" t="str">
        <f t="shared" si="46"/>
        <v>Night</v>
      </c>
      <c r="AD976">
        <v>3</v>
      </c>
      <c r="AE976" t="s">
        <v>84</v>
      </c>
      <c r="AF976">
        <v>2</v>
      </c>
      <c r="AG976">
        <v>1</v>
      </c>
      <c r="AH976" t="s">
        <v>67</v>
      </c>
      <c r="AI976">
        <v>98280</v>
      </c>
      <c r="AJ976">
        <v>15120</v>
      </c>
      <c r="AK976">
        <v>7560</v>
      </c>
      <c r="AL976">
        <v>75600</v>
      </c>
      <c r="AM976" t="s">
        <v>94</v>
      </c>
      <c r="AN976" t="s">
        <v>95</v>
      </c>
      <c r="AO976">
        <v>2015</v>
      </c>
      <c r="AP976">
        <v>2007</v>
      </c>
      <c r="AQ976">
        <f t="shared" si="47"/>
        <v>8</v>
      </c>
      <c r="AR976" t="s">
        <v>61</v>
      </c>
    </row>
    <row r="977" spans="1:44" x14ac:dyDescent="0.25">
      <c r="A977">
        <v>240</v>
      </c>
      <c r="B977" t="str">
        <f t="shared" si="45"/>
        <v>10+ years</v>
      </c>
      <c r="C977">
        <v>40</v>
      </c>
      <c r="D977" t="str" cm="1">
        <f t="array" ref="D977">_xlfn.IFS(C977&lt;26, "19-25", C977&lt;33, "26-32", C977&lt;40, "33-39", C977&lt;47, "40-46",C977&lt;54, "47-53", TRUE, "54+")</f>
        <v>40-46</v>
      </c>
      <c r="E977">
        <v>845751</v>
      </c>
      <c r="F977" s="1">
        <v>38241</v>
      </c>
      <c r="G977" t="s">
        <v>62</v>
      </c>
      <c r="H977" t="s">
        <v>74</v>
      </c>
      <c r="I977">
        <v>500</v>
      </c>
      <c r="J977">
        <v>1533.71</v>
      </c>
      <c r="K977">
        <v>9000000</v>
      </c>
      <c r="L977">
        <v>469856</v>
      </c>
      <c r="M977" t="s">
        <v>75</v>
      </c>
      <c r="N977" t="s">
        <v>166</v>
      </c>
      <c r="O977" t="s">
        <v>140</v>
      </c>
      <c r="P977" t="s">
        <v>178</v>
      </c>
      <c r="Q977" t="s">
        <v>79</v>
      </c>
      <c r="R977">
        <v>0</v>
      </c>
      <c r="S977">
        <v>-70900</v>
      </c>
      <c r="T977" s="1">
        <v>42014</v>
      </c>
      <c r="U977" t="s">
        <v>80</v>
      </c>
      <c r="V977" t="s">
        <v>81</v>
      </c>
      <c r="W977" t="s">
        <v>112</v>
      </c>
      <c r="X977" t="s">
        <v>104</v>
      </c>
      <c r="Y977" t="s">
        <v>69</v>
      </c>
      <c r="Z977" t="s">
        <v>132</v>
      </c>
      <c r="AA977" t="s">
        <v>1159</v>
      </c>
      <c r="AB977">
        <v>18</v>
      </c>
      <c r="AC977" t="str">
        <f t="shared" si="46"/>
        <v>Evening</v>
      </c>
      <c r="AD977">
        <v>2</v>
      </c>
      <c r="AE977" t="s">
        <v>58</v>
      </c>
      <c r="AF977">
        <v>0</v>
      </c>
      <c r="AG977">
        <v>2</v>
      </c>
      <c r="AH977" t="s">
        <v>67</v>
      </c>
      <c r="AI977">
        <v>66550</v>
      </c>
      <c r="AJ977">
        <v>6050</v>
      </c>
      <c r="AK977">
        <v>12100</v>
      </c>
      <c r="AL977">
        <v>48400</v>
      </c>
      <c r="AM977" t="s">
        <v>134</v>
      </c>
      <c r="AN977" t="s">
        <v>177</v>
      </c>
      <c r="AO977">
        <v>2015</v>
      </c>
      <c r="AP977">
        <v>2008</v>
      </c>
      <c r="AQ977">
        <f t="shared" si="47"/>
        <v>7</v>
      </c>
      <c r="AR977" t="s">
        <v>87</v>
      </c>
    </row>
    <row r="978" spans="1:44" x14ac:dyDescent="0.25">
      <c r="A978">
        <v>143</v>
      </c>
      <c r="B978" t="str">
        <f t="shared" si="45"/>
        <v>10+ years</v>
      </c>
      <c r="C978">
        <v>33</v>
      </c>
      <c r="D978" t="str" cm="1">
        <f t="array" ref="D978">_xlfn.IFS(C978&lt;26, "19-25", C978&lt;33, "26-32", C978&lt;40, "33-39", C978&lt;47, "40-46",C978&lt;54, "47-53", TRUE, "54+")</f>
        <v>33-39</v>
      </c>
      <c r="E978">
        <v>889764</v>
      </c>
      <c r="F978" s="1">
        <v>34303</v>
      </c>
      <c r="G978" t="s">
        <v>44</v>
      </c>
      <c r="H978" t="s">
        <v>96</v>
      </c>
      <c r="I978">
        <v>1000</v>
      </c>
      <c r="J978">
        <v>1200.0899999999999</v>
      </c>
      <c r="K978">
        <v>0</v>
      </c>
      <c r="L978">
        <v>454191</v>
      </c>
      <c r="M978" t="s">
        <v>75</v>
      </c>
      <c r="N978" t="s">
        <v>97</v>
      </c>
      <c r="O978" t="s">
        <v>48</v>
      </c>
      <c r="P978" t="s">
        <v>78</v>
      </c>
      <c r="Q978" t="s">
        <v>90</v>
      </c>
      <c r="R978">
        <v>38400</v>
      </c>
      <c r="S978">
        <v>-5700</v>
      </c>
      <c r="T978" s="1">
        <v>42030</v>
      </c>
      <c r="U978" t="s">
        <v>80</v>
      </c>
      <c r="V978" t="s">
        <v>52</v>
      </c>
      <c r="W978" t="s">
        <v>53</v>
      </c>
      <c r="X978" t="s">
        <v>104</v>
      </c>
      <c r="Y978" t="s">
        <v>118</v>
      </c>
      <c r="Z978" t="s">
        <v>92</v>
      </c>
      <c r="AA978" t="s">
        <v>1160</v>
      </c>
      <c r="AB978">
        <v>17</v>
      </c>
      <c r="AC978" t="str">
        <f t="shared" si="46"/>
        <v>Afternoon</v>
      </c>
      <c r="AD978">
        <v>3</v>
      </c>
      <c r="AE978" t="s">
        <v>67</v>
      </c>
      <c r="AF978">
        <v>2</v>
      </c>
      <c r="AG978">
        <v>2</v>
      </c>
      <c r="AH978" t="s">
        <v>67</v>
      </c>
      <c r="AI978">
        <v>70400</v>
      </c>
      <c r="AJ978">
        <v>14080</v>
      </c>
      <c r="AK978">
        <v>7040</v>
      </c>
      <c r="AL978">
        <v>49280</v>
      </c>
      <c r="AM978" t="s">
        <v>100</v>
      </c>
      <c r="AN978" t="s">
        <v>101</v>
      </c>
      <c r="AO978">
        <v>2015</v>
      </c>
      <c r="AP978">
        <v>2002</v>
      </c>
      <c r="AQ978">
        <f t="shared" si="47"/>
        <v>13</v>
      </c>
      <c r="AR978" t="s">
        <v>87</v>
      </c>
    </row>
    <row r="979" spans="1:44" x14ac:dyDescent="0.25">
      <c r="A979">
        <v>266</v>
      </c>
      <c r="B979" t="str">
        <f t="shared" si="45"/>
        <v>10+ years</v>
      </c>
      <c r="C979">
        <v>42</v>
      </c>
      <c r="D979" t="str" cm="1">
        <f t="array" ref="D979">_xlfn.IFS(C979&lt;26, "19-25", C979&lt;33, "26-32", C979&lt;40, "33-39", C979&lt;47, "40-46",C979&lt;54, "47-53", TRUE, "54+")</f>
        <v>40-46</v>
      </c>
      <c r="E979">
        <v>929306</v>
      </c>
      <c r="F979" s="1">
        <v>37686</v>
      </c>
      <c r="G979" t="s">
        <v>62</v>
      </c>
      <c r="H979" t="s">
        <v>74</v>
      </c>
      <c r="I979">
        <v>500</v>
      </c>
      <c r="J979">
        <v>1093.83</v>
      </c>
      <c r="K979">
        <v>4000000</v>
      </c>
      <c r="L979">
        <v>468454</v>
      </c>
      <c r="M979" t="s">
        <v>46</v>
      </c>
      <c r="N979" t="s">
        <v>97</v>
      </c>
      <c r="O979" t="s">
        <v>190</v>
      </c>
      <c r="P979" t="s">
        <v>78</v>
      </c>
      <c r="Q979" t="s">
        <v>65</v>
      </c>
      <c r="R979">
        <v>0</v>
      </c>
      <c r="S979">
        <v>-49600</v>
      </c>
      <c r="T979" s="1">
        <v>42056</v>
      </c>
      <c r="U979" t="s">
        <v>80</v>
      </c>
      <c r="V979" t="s">
        <v>52</v>
      </c>
      <c r="W979" t="s">
        <v>53</v>
      </c>
      <c r="X979" t="s">
        <v>141</v>
      </c>
      <c r="Y979" t="s">
        <v>118</v>
      </c>
      <c r="Z979" t="s">
        <v>107</v>
      </c>
      <c r="AA979" t="s">
        <v>1161</v>
      </c>
      <c r="AB979">
        <v>18</v>
      </c>
      <c r="AC979" t="str">
        <f t="shared" si="46"/>
        <v>Evening</v>
      </c>
      <c r="AD979">
        <v>3</v>
      </c>
      <c r="AE979" t="s">
        <v>67</v>
      </c>
      <c r="AF979">
        <v>1</v>
      </c>
      <c r="AG979">
        <v>1</v>
      </c>
      <c r="AH979" t="s">
        <v>84</v>
      </c>
      <c r="AI979">
        <v>53280</v>
      </c>
      <c r="AJ979">
        <v>4440</v>
      </c>
      <c r="AK979">
        <v>8880</v>
      </c>
      <c r="AL979">
        <v>39960</v>
      </c>
      <c r="AM979" t="s">
        <v>158</v>
      </c>
      <c r="AN979" t="s">
        <v>168</v>
      </c>
      <c r="AO979">
        <v>2015</v>
      </c>
      <c r="AP979">
        <v>2015</v>
      </c>
      <c r="AQ979">
        <f t="shared" si="47"/>
        <v>0</v>
      </c>
      <c r="AR979" t="s">
        <v>61</v>
      </c>
    </row>
    <row r="980" spans="1:44" x14ac:dyDescent="0.25">
      <c r="A980">
        <v>89</v>
      </c>
      <c r="B980" t="str">
        <f t="shared" si="45"/>
        <v>5-10 years</v>
      </c>
      <c r="C980">
        <v>32</v>
      </c>
      <c r="D980" t="str" cm="1">
        <f t="array" ref="D980">_xlfn.IFS(C980&lt;26, "19-25", C980&lt;33, "26-32", C980&lt;40, "33-39", C980&lt;47, "40-46",C980&lt;54, "47-53", TRUE, "54+")</f>
        <v>26-32</v>
      </c>
      <c r="E980">
        <v>515457</v>
      </c>
      <c r="F980" s="1">
        <v>35417</v>
      </c>
      <c r="G980" t="s">
        <v>62</v>
      </c>
      <c r="H980" t="s">
        <v>45</v>
      </c>
      <c r="I980">
        <v>1000</v>
      </c>
      <c r="J980">
        <v>988.93</v>
      </c>
      <c r="K980">
        <v>0</v>
      </c>
      <c r="L980">
        <v>614187</v>
      </c>
      <c r="M980" t="s">
        <v>75</v>
      </c>
      <c r="N980" t="s">
        <v>136</v>
      </c>
      <c r="O980" t="s">
        <v>48</v>
      </c>
      <c r="P980" t="s">
        <v>117</v>
      </c>
      <c r="Q980" t="s">
        <v>90</v>
      </c>
      <c r="R980">
        <v>27600</v>
      </c>
      <c r="S980">
        <v>0</v>
      </c>
      <c r="T980" s="1">
        <v>42027</v>
      </c>
      <c r="U980" t="s">
        <v>51</v>
      </c>
      <c r="V980" t="s">
        <v>91</v>
      </c>
      <c r="W980" t="s">
        <v>112</v>
      </c>
      <c r="X980" t="s">
        <v>125</v>
      </c>
      <c r="Y980" t="s">
        <v>82</v>
      </c>
      <c r="Z980" t="s">
        <v>56</v>
      </c>
      <c r="AA980" t="s">
        <v>1162</v>
      </c>
      <c r="AB980">
        <v>11</v>
      </c>
      <c r="AC980" t="str">
        <f t="shared" si="46"/>
        <v>Morning</v>
      </c>
      <c r="AD980">
        <v>1</v>
      </c>
      <c r="AE980" t="s">
        <v>67</v>
      </c>
      <c r="AF980">
        <v>2</v>
      </c>
      <c r="AG980">
        <v>3</v>
      </c>
      <c r="AH980" t="s">
        <v>58</v>
      </c>
      <c r="AI980">
        <v>84590</v>
      </c>
      <c r="AJ980">
        <v>15380</v>
      </c>
      <c r="AK980">
        <v>15380</v>
      </c>
      <c r="AL980">
        <v>53830</v>
      </c>
      <c r="AM980" t="s">
        <v>85</v>
      </c>
      <c r="AN980" t="s">
        <v>149</v>
      </c>
      <c r="AO980">
        <v>2015</v>
      </c>
      <c r="AP980">
        <v>1999</v>
      </c>
      <c r="AQ980">
        <f t="shared" si="47"/>
        <v>16</v>
      </c>
      <c r="AR980" t="s">
        <v>87</v>
      </c>
    </row>
    <row r="981" spans="1:44" x14ac:dyDescent="0.25">
      <c r="A981">
        <v>229</v>
      </c>
      <c r="B981" t="str">
        <f t="shared" si="45"/>
        <v>10+ years</v>
      </c>
      <c r="C981">
        <v>37</v>
      </c>
      <c r="D981" t="str" cm="1">
        <f t="array" ref="D981">_xlfn.IFS(C981&lt;26, "19-25", C981&lt;33, "26-32", C981&lt;40, "33-39", C981&lt;47, "40-46",C981&lt;54, "47-53", TRUE, "54+")</f>
        <v>33-39</v>
      </c>
      <c r="E981">
        <v>556270</v>
      </c>
      <c r="F981" s="1">
        <v>34751</v>
      </c>
      <c r="G981" t="s">
        <v>62</v>
      </c>
      <c r="H981" t="s">
        <v>96</v>
      </c>
      <c r="I981">
        <v>1000</v>
      </c>
      <c r="J981">
        <v>1331.94</v>
      </c>
      <c r="K981">
        <v>0</v>
      </c>
      <c r="L981">
        <v>433974</v>
      </c>
      <c r="M981" t="s">
        <v>75</v>
      </c>
      <c r="N981" t="s">
        <v>129</v>
      </c>
      <c r="O981" t="s">
        <v>194</v>
      </c>
      <c r="P981" t="s">
        <v>111</v>
      </c>
      <c r="Q981" t="s">
        <v>147</v>
      </c>
      <c r="R981">
        <v>0</v>
      </c>
      <c r="S981">
        <v>-55400</v>
      </c>
      <c r="T981" s="1">
        <v>42040</v>
      </c>
      <c r="U981" t="s">
        <v>51</v>
      </c>
      <c r="V981" t="s">
        <v>81</v>
      </c>
      <c r="W981" t="s">
        <v>112</v>
      </c>
      <c r="X981" t="s">
        <v>125</v>
      </c>
      <c r="Y981" t="s">
        <v>82</v>
      </c>
      <c r="Z981" t="s">
        <v>56</v>
      </c>
      <c r="AA981" t="s">
        <v>1163</v>
      </c>
      <c r="AB981">
        <v>17</v>
      </c>
      <c r="AC981" t="str">
        <f t="shared" si="46"/>
        <v>Afternoon</v>
      </c>
      <c r="AD981">
        <v>1</v>
      </c>
      <c r="AE981" t="s">
        <v>84</v>
      </c>
      <c r="AF981">
        <v>0</v>
      </c>
      <c r="AG981">
        <v>2</v>
      </c>
      <c r="AH981" t="s">
        <v>58</v>
      </c>
      <c r="AI981">
        <v>54560</v>
      </c>
      <c r="AJ981">
        <v>9920</v>
      </c>
      <c r="AK981">
        <v>9920</v>
      </c>
      <c r="AL981">
        <v>34720</v>
      </c>
      <c r="AM981" t="s">
        <v>59</v>
      </c>
      <c r="AN981">
        <v>95</v>
      </c>
      <c r="AO981">
        <v>2015</v>
      </c>
      <c r="AP981">
        <v>2004</v>
      </c>
      <c r="AQ981">
        <f t="shared" si="47"/>
        <v>11</v>
      </c>
      <c r="AR981" t="s">
        <v>87</v>
      </c>
    </row>
    <row r="982" spans="1:44" x14ac:dyDescent="0.25">
      <c r="A982">
        <v>245</v>
      </c>
      <c r="B982" t="str">
        <f t="shared" si="45"/>
        <v>10+ years</v>
      </c>
      <c r="C982">
        <v>40</v>
      </c>
      <c r="D982" t="str" cm="1">
        <f t="array" ref="D982">_xlfn.IFS(C982&lt;26, "19-25", C982&lt;33, "26-32", C982&lt;40, "33-39", C982&lt;47, "40-46",C982&lt;54, "47-53", TRUE, "54+")</f>
        <v>40-46</v>
      </c>
      <c r="E982">
        <v>908935</v>
      </c>
      <c r="F982" s="1">
        <v>40158</v>
      </c>
      <c r="G982" t="s">
        <v>88</v>
      </c>
      <c r="H982" t="s">
        <v>96</v>
      </c>
      <c r="I982">
        <v>1000</v>
      </c>
      <c r="J982">
        <v>1361.45</v>
      </c>
      <c r="K982">
        <v>0</v>
      </c>
      <c r="L982">
        <v>604833</v>
      </c>
      <c r="M982" t="s">
        <v>46</v>
      </c>
      <c r="N982" t="s">
        <v>76</v>
      </c>
      <c r="O982" t="s">
        <v>164</v>
      </c>
      <c r="P982" t="s">
        <v>123</v>
      </c>
      <c r="Q982" t="s">
        <v>90</v>
      </c>
      <c r="R982">
        <v>39300</v>
      </c>
      <c r="S982">
        <v>0</v>
      </c>
      <c r="T982" s="1">
        <v>42050</v>
      </c>
      <c r="U982" t="s">
        <v>51</v>
      </c>
      <c r="V982" t="s">
        <v>81</v>
      </c>
      <c r="W982" t="s">
        <v>68</v>
      </c>
      <c r="X982" t="s">
        <v>141</v>
      </c>
      <c r="Y982" t="s">
        <v>44</v>
      </c>
      <c r="Z982" t="s">
        <v>132</v>
      </c>
      <c r="AA982" t="s">
        <v>1164</v>
      </c>
      <c r="AB982">
        <v>12</v>
      </c>
      <c r="AC982" t="str">
        <f t="shared" si="46"/>
        <v>Afternoon</v>
      </c>
      <c r="AD982">
        <v>1</v>
      </c>
      <c r="AE982" t="s">
        <v>58</v>
      </c>
      <c r="AF982">
        <v>0</v>
      </c>
      <c r="AG982">
        <v>2</v>
      </c>
      <c r="AH982" t="s">
        <v>58</v>
      </c>
      <c r="AI982">
        <v>82170</v>
      </c>
      <c r="AJ982">
        <v>7470</v>
      </c>
      <c r="AK982">
        <v>7470</v>
      </c>
      <c r="AL982">
        <v>67230</v>
      </c>
      <c r="AM982" t="s">
        <v>158</v>
      </c>
      <c r="AN982" t="s">
        <v>172</v>
      </c>
      <c r="AO982">
        <v>2015</v>
      </c>
      <c r="AP982">
        <v>1999</v>
      </c>
      <c r="AQ982">
        <f t="shared" si="47"/>
        <v>16</v>
      </c>
      <c r="AR982" t="s">
        <v>87</v>
      </c>
    </row>
    <row r="983" spans="1:44" x14ac:dyDescent="0.25">
      <c r="A983">
        <v>50</v>
      </c>
      <c r="B983" t="str">
        <f t="shared" si="45"/>
        <v>2-5 years</v>
      </c>
      <c r="C983">
        <v>44</v>
      </c>
      <c r="D983" t="str" cm="1">
        <f t="array" ref="D983">_xlfn.IFS(C983&lt;26, "19-25", C983&lt;33, "26-32", C983&lt;40, "33-39", C983&lt;47, "40-46",C983&lt;54, "47-53", TRUE, "54+")</f>
        <v>40-46</v>
      </c>
      <c r="E983">
        <v>525862</v>
      </c>
      <c r="F983" s="1">
        <v>36817</v>
      </c>
      <c r="G983" t="s">
        <v>44</v>
      </c>
      <c r="H983" t="s">
        <v>45</v>
      </c>
      <c r="I983">
        <v>2000</v>
      </c>
      <c r="J983">
        <v>1188.51</v>
      </c>
      <c r="K983">
        <v>0</v>
      </c>
      <c r="L983">
        <v>447469</v>
      </c>
      <c r="M983" t="s">
        <v>46</v>
      </c>
      <c r="N983" t="s">
        <v>146</v>
      </c>
      <c r="O983" t="s">
        <v>164</v>
      </c>
      <c r="P983" t="s">
        <v>103</v>
      </c>
      <c r="Q983" t="s">
        <v>90</v>
      </c>
      <c r="R983">
        <v>0</v>
      </c>
      <c r="S983">
        <v>-65800</v>
      </c>
      <c r="T983" s="1">
        <v>42012</v>
      </c>
      <c r="U983" t="s">
        <v>80</v>
      </c>
      <c r="V983" t="s">
        <v>91</v>
      </c>
      <c r="W983" t="s">
        <v>112</v>
      </c>
      <c r="X983" t="s">
        <v>54</v>
      </c>
      <c r="Y983" t="s">
        <v>82</v>
      </c>
      <c r="Z983" t="s">
        <v>132</v>
      </c>
      <c r="AA983" t="s">
        <v>1165</v>
      </c>
      <c r="AB983">
        <v>15</v>
      </c>
      <c r="AC983" t="str">
        <f t="shared" si="46"/>
        <v>Afternoon</v>
      </c>
      <c r="AD983">
        <v>3</v>
      </c>
      <c r="AE983" t="s">
        <v>67</v>
      </c>
      <c r="AF983">
        <v>1</v>
      </c>
      <c r="AG983">
        <v>2</v>
      </c>
      <c r="AH983" t="s">
        <v>84</v>
      </c>
      <c r="AI983">
        <v>61100</v>
      </c>
      <c r="AJ983">
        <v>6110</v>
      </c>
      <c r="AK983">
        <v>12220</v>
      </c>
      <c r="AL983">
        <v>42770</v>
      </c>
      <c r="AM983" t="s">
        <v>85</v>
      </c>
      <c r="AN983" t="s">
        <v>149</v>
      </c>
      <c r="AO983">
        <v>2015</v>
      </c>
      <c r="AP983">
        <v>2008</v>
      </c>
      <c r="AQ983">
        <f t="shared" si="47"/>
        <v>7</v>
      </c>
      <c r="AR983" t="s">
        <v>87</v>
      </c>
    </row>
    <row r="984" spans="1:44" x14ac:dyDescent="0.25">
      <c r="A984">
        <v>230</v>
      </c>
      <c r="B984" t="str">
        <f t="shared" si="45"/>
        <v>10+ years</v>
      </c>
      <c r="C984">
        <v>43</v>
      </c>
      <c r="D984" t="str" cm="1">
        <f t="array" ref="D984">_xlfn.IFS(C984&lt;26, "19-25", C984&lt;33, "26-32", C984&lt;40, "33-39", C984&lt;47, "40-46",C984&lt;54, "47-53", TRUE, "54+")</f>
        <v>40-46</v>
      </c>
      <c r="E984">
        <v>490514</v>
      </c>
      <c r="F984" s="1">
        <v>39122</v>
      </c>
      <c r="G984" t="s">
        <v>62</v>
      </c>
      <c r="H984" t="s">
        <v>96</v>
      </c>
      <c r="I984">
        <v>2000</v>
      </c>
      <c r="J984">
        <v>1101.83</v>
      </c>
      <c r="K984">
        <v>0</v>
      </c>
      <c r="L984">
        <v>451529</v>
      </c>
      <c r="M984" t="s">
        <v>46</v>
      </c>
      <c r="N984" t="s">
        <v>136</v>
      </c>
      <c r="O984" t="s">
        <v>130</v>
      </c>
      <c r="P984" t="s">
        <v>247</v>
      </c>
      <c r="Q984" t="s">
        <v>65</v>
      </c>
      <c r="R984">
        <v>28900</v>
      </c>
      <c r="S984">
        <v>0</v>
      </c>
      <c r="T984" s="1">
        <v>42005</v>
      </c>
      <c r="U984" t="s">
        <v>80</v>
      </c>
      <c r="V984" t="s">
        <v>91</v>
      </c>
      <c r="W984" t="s">
        <v>68</v>
      </c>
      <c r="X984" t="s">
        <v>54</v>
      </c>
      <c r="Y984" t="s">
        <v>82</v>
      </c>
      <c r="Z984" t="s">
        <v>92</v>
      </c>
      <c r="AA984" t="s">
        <v>1166</v>
      </c>
      <c r="AB984">
        <v>0</v>
      </c>
      <c r="AC984" t="str">
        <f t="shared" si="46"/>
        <v>Night</v>
      </c>
      <c r="AD984">
        <v>3</v>
      </c>
      <c r="AE984" t="s">
        <v>67</v>
      </c>
      <c r="AF984">
        <v>0</v>
      </c>
      <c r="AG984">
        <v>3</v>
      </c>
      <c r="AH984" t="s">
        <v>58</v>
      </c>
      <c r="AI984">
        <v>51900</v>
      </c>
      <c r="AJ984">
        <v>5190</v>
      </c>
      <c r="AK984">
        <v>10380</v>
      </c>
      <c r="AL984">
        <v>36330</v>
      </c>
      <c r="AM984" t="s">
        <v>192</v>
      </c>
      <c r="AN984" t="s">
        <v>206</v>
      </c>
      <c r="AO984">
        <v>2015</v>
      </c>
      <c r="AP984">
        <v>2011</v>
      </c>
      <c r="AQ984">
        <f t="shared" si="47"/>
        <v>4</v>
      </c>
      <c r="AR984" t="s">
        <v>61</v>
      </c>
    </row>
    <row r="985" spans="1:44" x14ac:dyDescent="0.25">
      <c r="A985">
        <v>17</v>
      </c>
      <c r="B985" t="str">
        <f t="shared" si="45"/>
        <v>0-2 years</v>
      </c>
      <c r="C985">
        <v>39</v>
      </c>
      <c r="D985" t="str" cm="1">
        <f t="array" ref="D985">_xlfn.IFS(C985&lt;26, "19-25", C985&lt;33, "26-32", C985&lt;40, "33-39", C985&lt;47, "40-46",C985&lt;54, "47-53", TRUE, "54+")</f>
        <v>33-39</v>
      </c>
      <c r="E985">
        <v>774895</v>
      </c>
      <c r="F985" s="1">
        <v>39018</v>
      </c>
      <c r="G985" t="s">
        <v>88</v>
      </c>
      <c r="H985" t="s">
        <v>45</v>
      </c>
      <c r="I985">
        <v>1000</v>
      </c>
      <c r="J985">
        <v>840.95</v>
      </c>
      <c r="K985">
        <v>0</v>
      </c>
      <c r="L985">
        <v>431202</v>
      </c>
      <c r="M985" t="s">
        <v>75</v>
      </c>
      <c r="N985" t="s">
        <v>166</v>
      </c>
      <c r="O985" t="s">
        <v>190</v>
      </c>
      <c r="P985" t="s">
        <v>154</v>
      </c>
      <c r="Q985" t="s">
        <v>90</v>
      </c>
      <c r="R985">
        <v>32500</v>
      </c>
      <c r="S985">
        <v>-80800</v>
      </c>
      <c r="T985" s="1">
        <v>42061</v>
      </c>
      <c r="U985" t="s">
        <v>143</v>
      </c>
      <c r="V985" t="s">
        <v>67</v>
      </c>
      <c r="W985" t="s">
        <v>217</v>
      </c>
      <c r="X985" t="s">
        <v>54</v>
      </c>
      <c r="Y985" t="s">
        <v>55</v>
      </c>
      <c r="Z985" t="s">
        <v>92</v>
      </c>
      <c r="AA985" t="s">
        <v>1167</v>
      </c>
      <c r="AB985">
        <v>9</v>
      </c>
      <c r="AC985" t="str">
        <f t="shared" si="46"/>
        <v>Morning</v>
      </c>
      <c r="AD985">
        <v>1</v>
      </c>
      <c r="AE985" t="s">
        <v>67</v>
      </c>
      <c r="AF985">
        <v>2</v>
      </c>
      <c r="AG985">
        <v>1</v>
      </c>
      <c r="AH985" t="s">
        <v>67</v>
      </c>
      <c r="AI985">
        <v>3440</v>
      </c>
      <c r="AJ985">
        <v>430</v>
      </c>
      <c r="AK985">
        <v>430</v>
      </c>
      <c r="AL985">
        <v>2580</v>
      </c>
      <c r="AM985" t="s">
        <v>158</v>
      </c>
      <c r="AN985" t="s">
        <v>159</v>
      </c>
      <c r="AO985">
        <v>2015</v>
      </c>
      <c r="AP985">
        <v>2002</v>
      </c>
      <c r="AQ985">
        <f t="shared" si="47"/>
        <v>13</v>
      </c>
      <c r="AR985" t="s">
        <v>87</v>
      </c>
    </row>
    <row r="986" spans="1:44" x14ac:dyDescent="0.25">
      <c r="A986">
        <v>163</v>
      </c>
      <c r="B986" t="str">
        <f t="shared" si="45"/>
        <v>10+ years</v>
      </c>
      <c r="C986">
        <v>36</v>
      </c>
      <c r="D986" t="str" cm="1">
        <f t="array" ref="D986">_xlfn.IFS(C986&lt;26, "19-25", C986&lt;33, "26-32", C986&lt;40, "33-39", C986&lt;47, "40-46",C986&lt;54, "47-53", TRUE, "54+")</f>
        <v>33-39</v>
      </c>
      <c r="E986">
        <v>974522</v>
      </c>
      <c r="F986" s="1">
        <v>36552</v>
      </c>
      <c r="G986" t="s">
        <v>62</v>
      </c>
      <c r="H986" t="s">
        <v>45</v>
      </c>
      <c r="I986">
        <v>1000</v>
      </c>
      <c r="J986">
        <v>1503.21</v>
      </c>
      <c r="K986">
        <v>0</v>
      </c>
      <c r="L986">
        <v>448190</v>
      </c>
      <c r="M986" t="s">
        <v>46</v>
      </c>
      <c r="N986" t="s">
        <v>47</v>
      </c>
      <c r="O986" t="s">
        <v>116</v>
      </c>
      <c r="P986" t="s">
        <v>247</v>
      </c>
      <c r="Q986" t="s">
        <v>50</v>
      </c>
      <c r="R986">
        <v>55700</v>
      </c>
      <c r="S986">
        <v>-49900</v>
      </c>
      <c r="T986" s="1">
        <v>42063</v>
      </c>
      <c r="U986" t="s">
        <v>51</v>
      </c>
      <c r="V986" t="s">
        <v>52</v>
      </c>
      <c r="W986" t="s">
        <v>112</v>
      </c>
      <c r="X986" t="s">
        <v>141</v>
      </c>
      <c r="Y986" t="s">
        <v>118</v>
      </c>
      <c r="Z986" t="s">
        <v>107</v>
      </c>
      <c r="AA986" t="s">
        <v>1168</v>
      </c>
      <c r="AB986">
        <v>1</v>
      </c>
      <c r="AC986" t="str">
        <f t="shared" si="46"/>
        <v>Night</v>
      </c>
      <c r="AD986">
        <v>1</v>
      </c>
      <c r="AE986" t="s">
        <v>58</v>
      </c>
      <c r="AF986">
        <v>2</v>
      </c>
      <c r="AG986">
        <v>1</v>
      </c>
      <c r="AH986" t="s">
        <v>84</v>
      </c>
      <c r="AI986">
        <v>51390</v>
      </c>
      <c r="AJ986">
        <v>5710</v>
      </c>
      <c r="AK986">
        <v>11420</v>
      </c>
      <c r="AL986">
        <v>34260</v>
      </c>
      <c r="AM986" t="s">
        <v>120</v>
      </c>
      <c r="AN986" t="s">
        <v>188</v>
      </c>
      <c r="AO986">
        <v>2015</v>
      </c>
      <c r="AP986">
        <v>2013</v>
      </c>
      <c r="AQ986">
        <f t="shared" si="47"/>
        <v>2</v>
      </c>
      <c r="AR986" t="s">
        <v>87</v>
      </c>
    </row>
    <row r="987" spans="1:44" x14ac:dyDescent="0.25">
      <c r="A987">
        <v>29</v>
      </c>
      <c r="B987" t="str">
        <f t="shared" si="45"/>
        <v>2-5 years</v>
      </c>
      <c r="C987">
        <v>32</v>
      </c>
      <c r="D987" t="str" cm="1">
        <f t="array" ref="D987">_xlfn.IFS(C987&lt;26, "19-25", C987&lt;33, "26-32", C987&lt;40, "33-39", C987&lt;47, "40-46",C987&lt;54, "47-53", TRUE, "54+")</f>
        <v>26-32</v>
      </c>
      <c r="E987">
        <v>669809</v>
      </c>
      <c r="F987" s="1">
        <v>37351</v>
      </c>
      <c r="G987" t="s">
        <v>44</v>
      </c>
      <c r="H987" t="s">
        <v>74</v>
      </c>
      <c r="I987">
        <v>1000</v>
      </c>
      <c r="J987">
        <v>1722.5</v>
      </c>
      <c r="K987">
        <v>0</v>
      </c>
      <c r="L987">
        <v>453713</v>
      </c>
      <c r="M987" t="s">
        <v>46</v>
      </c>
      <c r="N987" t="s">
        <v>136</v>
      </c>
      <c r="O987" t="s">
        <v>116</v>
      </c>
      <c r="P987" t="s">
        <v>111</v>
      </c>
      <c r="Q987" t="s">
        <v>124</v>
      </c>
      <c r="R987">
        <v>0</v>
      </c>
      <c r="S987">
        <v>-21500</v>
      </c>
      <c r="T987" s="1">
        <v>42017</v>
      </c>
      <c r="U987" t="s">
        <v>51</v>
      </c>
      <c r="V987" t="s">
        <v>52</v>
      </c>
      <c r="W987" t="s">
        <v>53</v>
      </c>
      <c r="X987" t="s">
        <v>125</v>
      </c>
      <c r="Y987" t="s">
        <v>118</v>
      </c>
      <c r="Z987" t="s">
        <v>56</v>
      </c>
      <c r="AA987" t="s">
        <v>1169</v>
      </c>
      <c r="AB987">
        <v>22</v>
      </c>
      <c r="AC987" t="str">
        <f t="shared" si="46"/>
        <v>Evening</v>
      </c>
      <c r="AD987">
        <v>1</v>
      </c>
      <c r="AE987" t="s">
        <v>67</v>
      </c>
      <c r="AF987">
        <v>0</v>
      </c>
      <c r="AG987">
        <v>2</v>
      </c>
      <c r="AH987" t="s">
        <v>67</v>
      </c>
      <c r="AI987">
        <v>76900</v>
      </c>
      <c r="AJ987">
        <v>7690</v>
      </c>
      <c r="AK987">
        <v>7690</v>
      </c>
      <c r="AL987">
        <v>61520</v>
      </c>
      <c r="AM987" t="s">
        <v>202</v>
      </c>
      <c r="AN987" t="s">
        <v>203</v>
      </c>
      <c r="AO987">
        <v>2015</v>
      </c>
      <c r="AP987">
        <v>1995</v>
      </c>
      <c r="AQ987">
        <f t="shared" si="47"/>
        <v>20</v>
      </c>
      <c r="AR987" t="s">
        <v>87</v>
      </c>
    </row>
    <row r="988" spans="1:44" x14ac:dyDescent="0.25">
      <c r="A988">
        <v>232</v>
      </c>
      <c r="B988" t="str">
        <f t="shared" si="45"/>
        <v>10+ years</v>
      </c>
      <c r="C988">
        <v>42</v>
      </c>
      <c r="D988" t="str" cm="1">
        <f t="array" ref="D988">_xlfn.IFS(C988&lt;26, "19-25", C988&lt;33, "26-32", C988&lt;40, "33-39", C988&lt;47, "40-46",C988&lt;54, "47-53", TRUE, "54+")</f>
        <v>40-46</v>
      </c>
      <c r="E988">
        <v>182953</v>
      </c>
      <c r="F988" s="1">
        <v>41394</v>
      </c>
      <c r="G988" t="s">
        <v>62</v>
      </c>
      <c r="H988" t="s">
        <v>74</v>
      </c>
      <c r="I988">
        <v>500</v>
      </c>
      <c r="J988">
        <v>944.03</v>
      </c>
      <c r="K988">
        <v>0</v>
      </c>
      <c r="L988">
        <v>440153</v>
      </c>
      <c r="M988" t="s">
        <v>46</v>
      </c>
      <c r="N988" t="s">
        <v>146</v>
      </c>
      <c r="O988" t="s">
        <v>164</v>
      </c>
      <c r="P988" t="s">
        <v>175</v>
      </c>
      <c r="Q988" t="s">
        <v>147</v>
      </c>
      <c r="R988">
        <v>0</v>
      </c>
      <c r="S988">
        <v>-58400</v>
      </c>
      <c r="T988" s="1">
        <v>42054</v>
      </c>
      <c r="U988" t="s">
        <v>51</v>
      </c>
      <c r="V988" t="s">
        <v>81</v>
      </c>
      <c r="W988" t="s">
        <v>68</v>
      </c>
      <c r="X988" t="s">
        <v>125</v>
      </c>
      <c r="Y988" t="s">
        <v>118</v>
      </c>
      <c r="Z988" t="s">
        <v>70</v>
      </c>
      <c r="AA988" t="s">
        <v>1170</v>
      </c>
      <c r="AB988">
        <v>11</v>
      </c>
      <c r="AC988" t="str">
        <f t="shared" si="46"/>
        <v>Morning</v>
      </c>
      <c r="AD988">
        <v>1</v>
      </c>
      <c r="AE988" t="s">
        <v>58</v>
      </c>
      <c r="AF988">
        <v>2</v>
      </c>
      <c r="AG988">
        <v>3</v>
      </c>
      <c r="AH988" t="s">
        <v>67</v>
      </c>
      <c r="AI988">
        <v>77000</v>
      </c>
      <c r="AJ988">
        <v>15400</v>
      </c>
      <c r="AK988">
        <v>7700</v>
      </c>
      <c r="AL988">
        <v>53900</v>
      </c>
      <c r="AM988" t="s">
        <v>120</v>
      </c>
      <c r="AN988" t="s">
        <v>145</v>
      </c>
      <c r="AO988">
        <v>2015</v>
      </c>
      <c r="AP988">
        <v>2015</v>
      </c>
      <c r="AQ988">
        <f t="shared" si="47"/>
        <v>0</v>
      </c>
      <c r="AR988" t="s">
        <v>61</v>
      </c>
    </row>
    <row r="989" spans="1:44" x14ac:dyDescent="0.25">
      <c r="A989">
        <v>235</v>
      </c>
      <c r="B989" t="str">
        <f t="shared" si="45"/>
        <v>10+ years</v>
      </c>
      <c r="C989">
        <v>39</v>
      </c>
      <c r="D989" t="str" cm="1">
        <f t="array" ref="D989">_xlfn.IFS(C989&lt;26, "19-25", C989&lt;33, "26-32", C989&lt;40, "33-39", C989&lt;47, "40-46",C989&lt;54, "47-53", TRUE, "54+")</f>
        <v>33-39</v>
      </c>
      <c r="E989">
        <v>836349</v>
      </c>
      <c r="F989" s="1">
        <v>41395</v>
      </c>
      <c r="G989" t="s">
        <v>88</v>
      </c>
      <c r="H989" t="s">
        <v>96</v>
      </c>
      <c r="I989">
        <v>2000</v>
      </c>
      <c r="J989">
        <v>1453.61</v>
      </c>
      <c r="K989">
        <v>4000000</v>
      </c>
      <c r="L989">
        <v>619570</v>
      </c>
      <c r="M989" t="s">
        <v>46</v>
      </c>
      <c r="N989" t="s">
        <v>166</v>
      </c>
      <c r="O989" t="s">
        <v>48</v>
      </c>
      <c r="P989" t="s">
        <v>160</v>
      </c>
      <c r="Q989" t="s">
        <v>65</v>
      </c>
      <c r="R989">
        <v>0</v>
      </c>
      <c r="S989">
        <v>0</v>
      </c>
      <c r="T989" s="1">
        <v>42017</v>
      </c>
      <c r="U989" t="s">
        <v>51</v>
      </c>
      <c r="V989" t="s">
        <v>52</v>
      </c>
      <c r="W989" t="s">
        <v>53</v>
      </c>
      <c r="X989" t="s">
        <v>125</v>
      </c>
      <c r="Y989" t="s">
        <v>126</v>
      </c>
      <c r="Z989" t="s">
        <v>127</v>
      </c>
      <c r="AA989" t="s">
        <v>1171</v>
      </c>
      <c r="AB989">
        <v>10</v>
      </c>
      <c r="AC989" t="str">
        <f t="shared" si="46"/>
        <v>Morning</v>
      </c>
      <c r="AD989">
        <v>1</v>
      </c>
      <c r="AE989" t="s">
        <v>67</v>
      </c>
      <c r="AF989">
        <v>0</v>
      </c>
      <c r="AG989">
        <v>3</v>
      </c>
      <c r="AH989" t="s">
        <v>67</v>
      </c>
      <c r="AI989">
        <v>60320</v>
      </c>
      <c r="AJ989">
        <v>9280</v>
      </c>
      <c r="AK989">
        <v>9280</v>
      </c>
      <c r="AL989">
        <v>41760</v>
      </c>
      <c r="AM989" t="s">
        <v>94</v>
      </c>
      <c r="AN989" t="s">
        <v>95</v>
      </c>
      <c r="AO989">
        <v>2015</v>
      </c>
      <c r="AP989">
        <v>2012</v>
      </c>
      <c r="AQ989">
        <f t="shared" si="47"/>
        <v>3</v>
      </c>
      <c r="AR989" t="s">
        <v>61</v>
      </c>
    </row>
    <row r="990" spans="1:44" x14ac:dyDescent="0.25">
      <c r="A990">
        <v>295</v>
      </c>
      <c r="B990" t="str">
        <f t="shared" si="45"/>
        <v>10+ years</v>
      </c>
      <c r="C990">
        <v>46</v>
      </c>
      <c r="D990" t="str" cm="1">
        <f t="array" ref="D990">_xlfn.IFS(C990&lt;26, "19-25", C990&lt;33, "26-32", C990&lt;40, "33-39", C990&lt;47, "40-46",C990&lt;54, "47-53", TRUE, "54+")</f>
        <v>40-46</v>
      </c>
      <c r="E990">
        <v>591269</v>
      </c>
      <c r="F990" s="1">
        <v>36169</v>
      </c>
      <c r="G990" t="s">
        <v>62</v>
      </c>
      <c r="H990" t="s">
        <v>74</v>
      </c>
      <c r="I990">
        <v>500</v>
      </c>
      <c r="J990">
        <v>1672.88</v>
      </c>
      <c r="K990">
        <v>0</v>
      </c>
      <c r="L990">
        <v>478947</v>
      </c>
      <c r="M990" t="s">
        <v>75</v>
      </c>
      <c r="N990" t="s">
        <v>136</v>
      </c>
      <c r="O990" t="s">
        <v>89</v>
      </c>
      <c r="P990" t="s">
        <v>131</v>
      </c>
      <c r="Q990" t="s">
        <v>124</v>
      </c>
      <c r="R990">
        <v>0</v>
      </c>
      <c r="S990">
        <v>0</v>
      </c>
      <c r="T990" s="1">
        <v>42052</v>
      </c>
      <c r="U990" t="s">
        <v>51</v>
      </c>
      <c r="V990" t="s">
        <v>81</v>
      </c>
      <c r="W990" t="s">
        <v>68</v>
      </c>
      <c r="X990" t="s">
        <v>104</v>
      </c>
      <c r="Y990" t="s">
        <v>82</v>
      </c>
      <c r="Z990" t="s">
        <v>56</v>
      </c>
      <c r="AA990" t="s">
        <v>1172</v>
      </c>
      <c r="AB990">
        <v>5</v>
      </c>
      <c r="AC990" t="str">
        <f t="shared" si="46"/>
        <v>Night</v>
      </c>
      <c r="AD990">
        <v>1</v>
      </c>
      <c r="AE990" t="s">
        <v>58</v>
      </c>
      <c r="AF990">
        <v>1</v>
      </c>
      <c r="AG990">
        <v>1</v>
      </c>
      <c r="AH990" t="s">
        <v>84</v>
      </c>
      <c r="AI990">
        <v>60700</v>
      </c>
      <c r="AJ990">
        <v>12140</v>
      </c>
      <c r="AK990">
        <v>6070</v>
      </c>
      <c r="AL990">
        <v>42490</v>
      </c>
      <c r="AM990" t="s">
        <v>214</v>
      </c>
      <c r="AN990" t="s">
        <v>215</v>
      </c>
      <c r="AO990">
        <v>2015</v>
      </c>
      <c r="AP990">
        <v>1997</v>
      </c>
      <c r="AQ990">
        <f t="shared" si="47"/>
        <v>18</v>
      </c>
      <c r="AR990" t="s">
        <v>87</v>
      </c>
    </row>
    <row r="991" spans="1:44" x14ac:dyDescent="0.25">
      <c r="A991">
        <v>22</v>
      </c>
      <c r="B991" t="str">
        <f t="shared" si="45"/>
        <v>0-2 years</v>
      </c>
      <c r="C991">
        <v>21</v>
      </c>
      <c r="D991" t="str" cm="1">
        <f t="array" ref="D991">_xlfn.IFS(C991&lt;26, "19-25", C991&lt;33, "26-32", C991&lt;40, "33-39", C991&lt;47, "40-46",C991&lt;54, "47-53", TRUE, "54+")</f>
        <v>19-25</v>
      </c>
      <c r="E991">
        <v>550127</v>
      </c>
      <c r="F991" s="1">
        <v>39267</v>
      </c>
      <c r="G991" t="s">
        <v>62</v>
      </c>
      <c r="H991" t="s">
        <v>45</v>
      </c>
      <c r="I991">
        <v>1000</v>
      </c>
      <c r="J991">
        <v>1248.05</v>
      </c>
      <c r="K991">
        <v>0</v>
      </c>
      <c r="L991">
        <v>443550</v>
      </c>
      <c r="M991" t="s">
        <v>75</v>
      </c>
      <c r="N991" t="s">
        <v>136</v>
      </c>
      <c r="O991" t="s">
        <v>130</v>
      </c>
      <c r="P991" t="s">
        <v>151</v>
      </c>
      <c r="Q991" t="s">
        <v>50</v>
      </c>
      <c r="R991">
        <v>37500</v>
      </c>
      <c r="S991">
        <v>-54000</v>
      </c>
      <c r="T991" s="1">
        <v>42050</v>
      </c>
      <c r="U991" t="s">
        <v>80</v>
      </c>
      <c r="V991" t="s">
        <v>81</v>
      </c>
      <c r="W991" t="s">
        <v>112</v>
      </c>
      <c r="X991" t="s">
        <v>54</v>
      </c>
      <c r="Y991" t="s">
        <v>55</v>
      </c>
      <c r="Z991" t="s">
        <v>92</v>
      </c>
      <c r="AA991" t="s">
        <v>1173</v>
      </c>
      <c r="AB991">
        <v>3</v>
      </c>
      <c r="AC991" t="str">
        <f t="shared" si="46"/>
        <v>Night</v>
      </c>
      <c r="AD991">
        <v>3</v>
      </c>
      <c r="AE991" t="s">
        <v>58</v>
      </c>
      <c r="AF991">
        <v>1</v>
      </c>
      <c r="AG991">
        <v>2</v>
      </c>
      <c r="AH991" t="s">
        <v>67</v>
      </c>
      <c r="AI991">
        <v>53280</v>
      </c>
      <c r="AJ991">
        <v>5920</v>
      </c>
      <c r="AK991">
        <v>0</v>
      </c>
      <c r="AL991">
        <v>47360</v>
      </c>
      <c r="AM991" t="s">
        <v>94</v>
      </c>
      <c r="AN991" t="s">
        <v>250</v>
      </c>
      <c r="AO991">
        <v>2015</v>
      </c>
      <c r="AP991">
        <v>2015</v>
      </c>
      <c r="AQ991">
        <f t="shared" si="47"/>
        <v>0</v>
      </c>
      <c r="AR991" t="s">
        <v>87</v>
      </c>
    </row>
    <row r="992" spans="1:44" x14ac:dyDescent="0.25">
      <c r="A992">
        <v>286</v>
      </c>
      <c r="B992" t="str">
        <f t="shared" si="45"/>
        <v>10+ years</v>
      </c>
      <c r="C992">
        <v>43</v>
      </c>
      <c r="D992" t="str" cm="1">
        <f t="array" ref="D992">_xlfn.IFS(C992&lt;26, "19-25", C992&lt;33, "26-32", C992&lt;40, "33-39", C992&lt;47, "40-46",C992&lt;54, "47-53", TRUE, "54+")</f>
        <v>40-46</v>
      </c>
      <c r="E992">
        <v>663190</v>
      </c>
      <c r="F992" s="1">
        <v>34370</v>
      </c>
      <c r="G992" t="s">
        <v>88</v>
      </c>
      <c r="H992" t="s">
        <v>74</v>
      </c>
      <c r="I992">
        <v>500</v>
      </c>
      <c r="J992">
        <v>1564.43</v>
      </c>
      <c r="K992">
        <v>3000000</v>
      </c>
      <c r="L992">
        <v>477644</v>
      </c>
      <c r="M992" t="s">
        <v>75</v>
      </c>
      <c r="N992" t="s">
        <v>47</v>
      </c>
      <c r="O992" t="s">
        <v>106</v>
      </c>
      <c r="P992" t="s">
        <v>151</v>
      </c>
      <c r="Q992" t="s">
        <v>90</v>
      </c>
      <c r="R992">
        <v>77500</v>
      </c>
      <c r="S992">
        <v>-32800</v>
      </c>
      <c r="T992" s="1">
        <v>42035</v>
      </c>
      <c r="U992" t="s">
        <v>51</v>
      </c>
      <c r="V992" t="s">
        <v>81</v>
      </c>
      <c r="W992" t="s">
        <v>68</v>
      </c>
      <c r="X992" t="s">
        <v>104</v>
      </c>
      <c r="Y992" t="s">
        <v>82</v>
      </c>
      <c r="Z992" t="s">
        <v>161</v>
      </c>
      <c r="AA992" t="s">
        <v>1174</v>
      </c>
      <c r="AB992">
        <v>18</v>
      </c>
      <c r="AC992" t="str">
        <f t="shared" si="46"/>
        <v>Evening</v>
      </c>
      <c r="AD992">
        <v>1</v>
      </c>
      <c r="AE992" t="s">
        <v>67</v>
      </c>
      <c r="AF992">
        <v>2</v>
      </c>
      <c r="AG992">
        <v>2</v>
      </c>
      <c r="AH992" t="s">
        <v>58</v>
      </c>
      <c r="AI992">
        <v>34290</v>
      </c>
      <c r="AJ992">
        <v>3810</v>
      </c>
      <c r="AK992">
        <v>3810</v>
      </c>
      <c r="AL992">
        <v>26670</v>
      </c>
      <c r="AM992" t="s">
        <v>202</v>
      </c>
      <c r="AN992" t="s">
        <v>380</v>
      </c>
      <c r="AO992">
        <v>2015</v>
      </c>
      <c r="AP992">
        <v>2013</v>
      </c>
      <c r="AQ992">
        <f t="shared" si="47"/>
        <v>2</v>
      </c>
      <c r="AR992" t="s">
        <v>87</v>
      </c>
    </row>
    <row r="993" spans="1:44" x14ac:dyDescent="0.25">
      <c r="A993">
        <v>257</v>
      </c>
      <c r="B993" t="str">
        <f t="shared" si="45"/>
        <v>10+ years</v>
      </c>
      <c r="C993">
        <v>44</v>
      </c>
      <c r="D993" t="str" cm="1">
        <f t="array" ref="D993">_xlfn.IFS(C993&lt;26, "19-25", C993&lt;33, "26-32", C993&lt;40, "33-39", C993&lt;47, "40-46",C993&lt;54, "47-53", TRUE, "54+")</f>
        <v>40-46</v>
      </c>
      <c r="E993">
        <v>109392</v>
      </c>
      <c r="F993" s="1">
        <v>38910</v>
      </c>
      <c r="G993" t="s">
        <v>44</v>
      </c>
      <c r="H993" t="s">
        <v>74</v>
      </c>
      <c r="I993">
        <v>1000</v>
      </c>
      <c r="J993">
        <v>1280.8800000000001</v>
      </c>
      <c r="K993">
        <v>0</v>
      </c>
      <c r="L993">
        <v>433981</v>
      </c>
      <c r="M993" t="s">
        <v>46</v>
      </c>
      <c r="N993" t="s">
        <v>47</v>
      </c>
      <c r="O993" t="s">
        <v>116</v>
      </c>
      <c r="P993" t="s">
        <v>184</v>
      </c>
      <c r="Q993" t="s">
        <v>65</v>
      </c>
      <c r="R993">
        <v>59400</v>
      </c>
      <c r="S993">
        <v>-32200</v>
      </c>
      <c r="T993" s="1">
        <v>42041</v>
      </c>
      <c r="U993" t="s">
        <v>51</v>
      </c>
      <c r="V993" t="s">
        <v>81</v>
      </c>
      <c r="W993" t="s">
        <v>112</v>
      </c>
      <c r="X993" t="s">
        <v>125</v>
      </c>
      <c r="Y993" t="s">
        <v>118</v>
      </c>
      <c r="Z993" t="s">
        <v>70</v>
      </c>
      <c r="AA993" t="s">
        <v>1175</v>
      </c>
      <c r="AB993">
        <v>21</v>
      </c>
      <c r="AC993" t="str">
        <f t="shared" si="46"/>
        <v>Evening</v>
      </c>
      <c r="AD993">
        <v>1</v>
      </c>
      <c r="AE993" t="s">
        <v>84</v>
      </c>
      <c r="AF993">
        <v>0</v>
      </c>
      <c r="AG993">
        <v>1</v>
      </c>
      <c r="AH993" t="s">
        <v>84</v>
      </c>
      <c r="AI993">
        <v>46980</v>
      </c>
      <c r="AJ993">
        <v>0</v>
      </c>
      <c r="AK993">
        <v>5220</v>
      </c>
      <c r="AL993">
        <v>41760</v>
      </c>
      <c r="AM993" t="s">
        <v>100</v>
      </c>
      <c r="AN993" t="s">
        <v>163</v>
      </c>
      <c r="AO993">
        <v>2015</v>
      </c>
      <c r="AP993">
        <v>2002</v>
      </c>
      <c r="AQ993">
        <f t="shared" si="47"/>
        <v>13</v>
      </c>
      <c r="AR993" t="s">
        <v>87</v>
      </c>
    </row>
    <row r="994" spans="1:44" x14ac:dyDescent="0.25">
      <c r="A994">
        <v>94</v>
      </c>
      <c r="B994" t="str">
        <f t="shared" si="45"/>
        <v>5-10 years</v>
      </c>
      <c r="C994">
        <v>26</v>
      </c>
      <c r="D994" t="str" cm="1">
        <f t="array" ref="D994">_xlfn.IFS(C994&lt;26, "19-25", C994&lt;33, "26-32", C994&lt;40, "33-39", C994&lt;47, "40-46",C994&lt;54, "47-53", TRUE, "54+")</f>
        <v>26-32</v>
      </c>
      <c r="E994">
        <v>215278</v>
      </c>
      <c r="F994" s="1">
        <v>39379</v>
      </c>
      <c r="G994" t="s">
        <v>62</v>
      </c>
      <c r="H994" t="s">
        <v>74</v>
      </c>
      <c r="I994">
        <v>500</v>
      </c>
      <c r="J994">
        <v>722.66</v>
      </c>
      <c r="K994">
        <v>0</v>
      </c>
      <c r="L994">
        <v>433696</v>
      </c>
      <c r="M994" t="s">
        <v>46</v>
      </c>
      <c r="N994" t="s">
        <v>47</v>
      </c>
      <c r="O994" t="s">
        <v>130</v>
      </c>
      <c r="P994" t="s">
        <v>123</v>
      </c>
      <c r="Q994" t="s">
        <v>50</v>
      </c>
      <c r="R994">
        <v>50300</v>
      </c>
      <c r="S994">
        <v>0</v>
      </c>
      <c r="T994" s="1">
        <v>42027</v>
      </c>
      <c r="U994" t="s">
        <v>80</v>
      </c>
      <c r="V994" t="s">
        <v>91</v>
      </c>
      <c r="W994" t="s">
        <v>53</v>
      </c>
      <c r="X994" t="s">
        <v>104</v>
      </c>
      <c r="Y994" t="s">
        <v>44</v>
      </c>
      <c r="Z994" t="s">
        <v>107</v>
      </c>
      <c r="AA994" t="s">
        <v>1176</v>
      </c>
      <c r="AB994">
        <v>6</v>
      </c>
      <c r="AC994" t="str">
        <f t="shared" si="46"/>
        <v>Morning</v>
      </c>
      <c r="AD994">
        <v>3</v>
      </c>
      <c r="AE994" t="s">
        <v>58</v>
      </c>
      <c r="AF994">
        <v>1</v>
      </c>
      <c r="AG994">
        <v>2</v>
      </c>
      <c r="AH994" t="s">
        <v>58</v>
      </c>
      <c r="AI994">
        <v>36700</v>
      </c>
      <c r="AJ994">
        <v>3670</v>
      </c>
      <c r="AK994">
        <v>7340</v>
      </c>
      <c r="AL994">
        <v>25690</v>
      </c>
      <c r="AM994" t="s">
        <v>109</v>
      </c>
      <c r="AN994" t="s">
        <v>110</v>
      </c>
      <c r="AO994">
        <v>2015</v>
      </c>
      <c r="AP994">
        <v>2010</v>
      </c>
      <c r="AQ994">
        <f t="shared" si="47"/>
        <v>5</v>
      </c>
      <c r="AR994" t="s">
        <v>87</v>
      </c>
    </row>
    <row r="995" spans="1:44" x14ac:dyDescent="0.25">
      <c r="A995">
        <v>124</v>
      </c>
      <c r="B995" t="str">
        <f t="shared" si="45"/>
        <v>10+ years</v>
      </c>
      <c r="C995">
        <v>28</v>
      </c>
      <c r="D995" t="str" cm="1">
        <f t="array" ref="D995">_xlfn.IFS(C995&lt;26, "19-25", C995&lt;33, "26-32", C995&lt;40, "33-39", C995&lt;47, "40-46",C995&lt;54, "47-53", TRUE, "54+")</f>
        <v>26-32</v>
      </c>
      <c r="E995">
        <v>674570</v>
      </c>
      <c r="F995" s="1">
        <v>37233</v>
      </c>
      <c r="G995" t="s">
        <v>44</v>
      </c>
      <c r="H995" t="s">
        <v>45</v>
      </c>
      <c r="I995">
        <v>1000</v>
      </c>
      <c r="J995">
        <v>1235.1400000000001</v>
      </c>
      <c r="K995">
        <v>0</v>
      </c>
      <c r="L995">
        <v>443567</v>
      </c>
      <c r="M995" t="s">
        <v>46</v>
      </c>
      <c r="N995" t="s">
        <v>47</v>
      </c>
      <c r="O995" t="s">
        <v>130</v>
      </c>
      <c r="P995" t="s">
        <v>123</v>
      </c>
      <c r="Q995" t="s">
        <v>50</v>
      </c>
      <c r="R995">
        <v>0</v>
      </c>
      <c r="S995">
        <v>-32100</v>
      </c>
      <c r="T995" s="1">
        <v>42052</v>
      </c>
      <c r="U995" t="s">
        <v>80</v>
      </c>
      <c r="V995" t="s">
        <v>52</v>
      </c>
      <c r="W995" t="s">
        <v>112</v>
      </c>
      <c r="X995" t="s">
        <v>125</v>
      </c>
      <c r="Y995" t="s">
        <v>44</v>
      </c>
      <c r="Z995" t="s">
        <v>127</v>
      </c>
      <c r="AA995" t="s">
        <v>1177</v>
      </c>
      <c r="AB995">
        <v>20</v>
      </c>
      <c r="AC995" t="str">
        <f t="shared" si="46"/>
        <v>Evening</v>
      </c>
      <c r="AD995">
        <v>3</v>
      </c>
      <c r="AE995" t="s">
        <v>67</v>
      </c>
      <c r="AF995">
        <v>0</v>
      </c>
      <c r="AG995">
        <v>1</v>
      </c>
      <c r="AH995" t="s">
        <v>67</v>
      </c>
      <c r="AI995">
        <v>60200</v>
      </c>
      <c r="AJ995">
        <v>6020</v>
      </c>
      <c r="AK995">
        <v>6020</v>
      </c>
      <c r="AL995">
        <v>48160</v>
      </c>
      <c r="AM995" t="s">
        <v>219</v>
      </c>
      <c r="AN995" t="s">
        <v>220</v>
      </c>
      <c r="AO995">
        <v>2015</v>
      </c>
      <c r="AP995">
        <v>2012</v>
      </c>
      <c r="AQ995">
        <f t="shared" si="47"/>
        <v>3</v>
      </c>
      <c r="AR995" t="s">
        <v>87</v>
      </c>
    </row>
    <row r="996" spans="1:44" x14ac:dyDescent="0.25">
      <c r="A996">
        <v>141</v>
      </c>
      <c r="B996" t="str">
        <f t="shared" si="45"/>
        <v>10+ years</v>
      </c>
      <c r="C996">
        <v>30</v>
      </c>
      <c r="D996" t="str" cm="1">
        <f t="array" ref="D996">_xlfn.IFS(C996&lt;26, "19-25", C996&lt;33, "26-32", C996&lt;40, "33-39", C996&lt;47, "40-46",C996&lt;54, "47-53", TRUE, "54+")</f>
        <v>26-32</v>
      </c>
      <c r="E996">
        <v>681486</v>
      </c>
      <c r="F996" s="1">
        <v>39165</v>
      </c>
      <c r="G996" t="s">
        <v>62</v>
      </c>
      <c r="H996" t="s">
        <v>96</v>
      </c>
      <c r="I996">
        <v>1000</v>
      </c>
      <c r="J996">
        <v>1347.04</v>
      </c>
      <c r="K996">
        <v>0</v>
      </c>
      <c r="L996">
        <v>430665</v>
      </c>
      <c r="M996" t="s">
        <v>46</v>
      </c>
      <c r="N996" t="s">
        <v>136</v>
      </c>
      <c r="O996" t="s">
        <v>77</v>
      </c>
      <c r="P996" t="s">
        <v>103</v>
      </c>
      <c r="Q996" t="s">
        <v>79</v>
      </c>
      <c r="R996">
        <v>0</v>
      </c>
      <c r="S996">
        <v>-82100</v>
      </c>
      <c r="T996" s="1">
        <v>42026</v>
      </c>
      <c r="U996" t="s">
        <v>143</v>
      </c>
      <c r="V996" t="s">
        <v>67</v>
      </c>
      <c r="W996" t="s">
        <v>68</v>
      </c>
      <c r="X996" t="s">
        <v>98</v>
      </c>
      <c r="Y996" t="s">
        <v>55</v>
      </c>
      <c r="Z996" t="s">
        <v>132</v>
      </c>
      <c r="AA996" t="s">
        <v>1178</v>
      </c>
      <c r="AB996">
        <v>6</v>
      </c>
      <c r="AC996" t="str">
        <f t="shared" si="46"/>
        <v>Morning</v>
      </c>
      <c r="AD996">
        <v>1</v>
      </c>
      <c r="AE996" t="s">
        <v>67</v>
      </c>
      <c r="AF996">
        <v>1</v>
      </c>
      <c r="AG996">
        <v>2</v>
      </c>
      <c r="AH996" t="s">
        <v>58</v>
      </c>
      <c r="AI996">
        <v>6480</v>
      </c>
      <c r="AJ996">
        <v>540</v>
      </c>
      <c r="AK996">
        <v>1080</v>
      </c>
      <c r="AL996">
        <v>4860</v>
      </c>
      <c r="AM996" t="s">
        <v>214</v>
      </c>
      <c r="AN996" t="s">
        <v>215</v>
      </c>
      <c r="AO996">
        <v>2015</v>
      </c>
      <c r="AP996">
        <v>1996</v>
      </c>
      <c r="AQ996">
        <f t="shared" si="47"/>
        <v>19</v>
      </c>
      <c r="AR996" t="s">
        <v>87</v>
      </c>
    </row>
    <row r="997" spans="1:44" x14ac:dyDescent="0.25">
      <c r="A997">
        <v>3</v>
      </c>
      <c r="B997" t="str">
        <f t="shared" si="45"/>
        <v>0-2 years</v>
      </c>
      <c r="C997">
        <v>38</v>
      </c>
      <c r="D997" t="str" cm="1">
        <f t="array" ref="D997">_xlfn.IFS(C997&lt;26, "19-25", C997&lt;33, "26-32", C997&lt;40, "33-39", C997&lt;47, "40-46",C997&lt;54, "47-53", TRUE, "54+")</f>
        <v>33-39</v>
      </c>
      <c r="E997">
        <v>941851</v>
      </c>
      <c r="F997" s="1">
        <v>33435</v>
      </c>
      <c r="G997" t="s">
        <v>44</v>
      </c>
      <c r="H997" t="s">
        <v>96</v>
      </c>
      <c r="I997">
        <v>1000</v>
      </c>
      <c r="J997">
        <v>1310.8</v>
      </c>
      <c r="K997">
        <v>0</v>
      </c>
      <c r="L997">
        <v>431289</v>
      </c>
      <c r="M997" t="s">
        <v>75</v>
      </c>
      <c r="N997" t="s">
        <v>129</v>
      </c>
      <c r="O997" t="s">
        <v>48</v>
      </c>
      <c r="P997" t="s">
        <v>170</v>
      </c>
      <c r="Q997" t="s">
        <v>90</v>
      </c>
      <c r="R997">
        <v>0</v>
      </c>
      <c r="S997">
        <v>0</v>
      </c>
      <c r="T997" s="1">
        <v>42057</v>
      </c>
      <c r="U997" t="s">
        <v>51</v>
      </c>
      <c r="V997" t="s">
        <v>91</v>
      </c>
      <c r="W997" t="s">
        <v>68</v>
      </c>
      <c r="X997" t="s">
        <v>104</v>
      </c>
      <c r="Y997" t="s">
        <v>126</v>
      </c>
      <c r="Z997" t="s">
        <v>161</v>
      </c>
      <c r="AA997" t="s">
        <v>1179</v>
      </c>
      <c r="AB997">
        <v>20</v>
      </c>
      <c r="AC997" t="str">
        <f t="shared" si="46"/>
        <v>Evening</v>
      </c>
      <c r="AD997">
        <v>1</v>
      </c>
      <c r="AE997" t="s">
        <v>58</v>
      </c>
      <c r="AF997">
        <v>0</v>
      </c>
      <c r="AG997">
        <v>1</v>
      </c>
      <c r="AH997" t="s">
        <v>67</v>
      </c>
      <c r="AI997">
        <v>87200</v>
      </c>
      <c r="AJ997">
        <v>17440</v>
      </c>
      <c r="AK997">
        <v>8720</v>
      </c>
      <c r="AL997">
        <v>61040</v>
      </c>
      <c r="AM997" t="s">
        <v>214</v>
      </c>
      <c r="AN997" t="s">
        <v>236</v>
      </c>
      <c r="AO997">
        <v>2015</v>
      </c>
      <c r="AP997">
        <v>2006</v>
      </c>
      <c r="AQ997">
        <f t="shared" si="47"/>
        <v>9</v>
      </c>
      <c r="AR997" t="s">
        <v>87</v>
      </c>
    </row>
    <row r="998" spans="1:44" x14ac:dyDescent="0.25">
      <c r="A998">
        <v>285</v>
      </c>
      <c r="B998" t="str">
        <f t="shared" si="45"/>
        <v>10+ years</v>
      </c>
      <c r="C998">
        <v>41</v>
      </c>
      <c r="D998" t="str" cm="1">
        <f t="array" ref="D998">_xlfn.IFS(C998&lt;26, "19-25", C998&lt;33, "26-32", C998&lt;40, "33-39", C998&lt;47, "40-46",C998&lt;54, "47-53", TRUE, "54+")</f>
        <v>40-46</v>
      </c>
      <c r="E998">
        <v>186934</v>
      </c>
      <c r="F998" s="1">
        <v>41644</v>
      </c>
      <c r="G998" t="s">
        <v>88</v>
      </c>
      <c r="H998" t="s">
        <v>74</v>
      </c>
      <c r="I998">
        <v>1000</v>
      </c>
      <c r="J998">
        <v>1436.79</v>
      </c>
      <c r="K998">
        <v>0</v>
      </c>
      <c r="L998">
        <v>608177</v>
      </c>
      <c r="M998" t="s">
        <v>75</v>
      </c>
      <c r="N998" t="s">
        <v>76</v>
      </c>
      <c r="O998" t="s">
        <v>106</v>
      </c>
      <c r="P998" t="s">
        <v>49</v>
      </c>
      <c r="Q998" t="s">
        <v>124</v>
      </c>
      <c r="R998">
        <v>70900</v>
      </c>
      <c r="S998">
        <v>0</v>
      </c>
      <c r="T998" s="1">
        <v>42028</v>
      </c>
      <c r="U998" t="s">
        <v>51</v>
      </c>
      <c r="V998" t="s">
        <v>81</v>
      </c>
      <c r="W998" t="s">
        <v>53</v>
      </c>
      <c r="X998" t="s">
        <v>104</v>
      </c>
      <c r="Y998" t="s">
        <v>55</v>
      </c>
      <c r="Z998" t="s">
        <v>132</v>
      </c>
      <c r="AA998" t="s">
        <v>1180</v>
      </c>
      <c r="AB998">
        <v>23</v>
      </c>
      <c r="AC998" t="str">
        <f t="shared" si="46"/>
        <v>Evening</v>
      </c>
      <c r="AD998">
        <v>1</v>
      </c>
      <c r="AE998" t="s">
        <v>58</v>
      </c>
      <c r="AF998">
        <v>2</v>
      </c>
      <c r="AG998">
        <v>3</v>
      </c>
      <c r="AH998" t="s">
        <v>67</v>
      </c>
      <c r="AI998">
        <v>108480</v>
      </c>
      <c r="AJ998">
        <v>18080</v>
      </c>
      <c r="AK998">
        <v>18080</v>
      </c>
      <c r="AL998">
        <v>72320</v>
      </c>
      <c r="AM998" t="s">
        <v>219</v>
      </c>
      <c r="AN998" t="s">
        <v>220</v>
      </c>
      <c r="AO998">
        <v>2015</v>
      </c>
      <c r="AP998">
        <v>2015</v>
      </c>
      <c r="AQ998">
        <f t="shared" si="47"/>
        <v>0</v>
      </c>
      <c r="AR998" t="s">
        <v>87</v>
      </c>
    </row>
    <row r="999" spans="1:44" x14ac:dyDescent="0.25">
      <c r="A999">
        <v>130</v>
      </c>
      <c r="B999" t="str">
        <f t="shared" si="45"/>
        <v>10+ years</v>
      </c>
      <c r="C999">
        <v>34</v>
      </c>
      <c r="D999" t="str" cm="1">
        <f t="array" ref="D999">_xlfn.IFS(C999&lt;26, "19-25", C999&lt;33, "26-32", C999&lt;40, "33-39", C999&lt;47, "40-46",C999&lt;54, "47-53", TRUE, "54+")</f>
        <v>33-39</v>
      </c>
      <c r="E999">
        <v>918516</v>
      </c>
      <c r="F999" s="1">
        <v>37669</v>
      </c>
      <c r="G999" t="s">
        <v>44</v>
      </c>
      <c r="H999" t="s">
        <v>45</v>
      </c>
      <c r="I999">
        <v>500</v>
      </c>
      <c r="J999">
        <v>1383.49</v>
      </c>
      <c r="K999">
        <v>3000000</v>
      </c>
      <c r="L999">
        <v>442797</v>
      </c>
      <c r="M999" t="s">
        <v>75</v>
      </c>
      <c r="N999" t="s">
        <v>129</v>
      </c>
      <c r="O999" t="s">
        <v>89</v>
      </c>
      <c r="P999" t="s">
        <v>103</v>
      </c>
      <c r="Q999" t="s">
        <v>65</v>
      </c>
      <c r="R999">
        <v>35100</v>
      </c>
      <c r="S999">
        <v>0</v>
      </c>
      <c r="T999" s="1">
        <v>42027</v>
      </c>
      <c r="U999" t="s">
        <v>80</v>
      </c>
      <c r="V999" t="s">
        <v>52</v>
      </c>
      <c r="W999" t="s">
        <v>68</v>
      </c>
      <c r="X999" t="s">
        <v>54</v>
      </c>
      <c r="Y999" t="s">
        <v>126</v>
      </c>
      <c r="Z999" t="s">
        <v>92</v>
      </c>
      <c r="AA999" t="s">
        <v>1181</v>
      </c>
      <c r="AB999">
        <v>4</v>
      </c>
      <c r="AC999" t="str">
        <f t="shared" si="46"/>
        <v>Night</v>
      </c>
      <c r="AD999">
        <v>3</v>
      </c>
      <c r="AE999" t="s">
        <v>67</v>
      </c>
      <c r="AF999">
        <v>2</v>
      </c>
      <c r="AG999">
        <v>3</v>
      </c>
      <c r="AH999" t="s">
        <v>58</v>
      </c>
      <c r="AI999">
        <v>67500</v>
      </c>
      <c r="AJ999">
        <v>7500</v>
      </c>
      <c r="AK999">
        <v>7500</v>
      </c>
      <c r="AL999">
        <v>52500</v>
      </c>
      <c r="AM999" t="s">
        <v>158</v>
      </c>
      <c r="AN999" t="s">
        <v>168</v>
      </c>
      <c r="AO999">
        <v>2015</v>
      </c>
      <c r="AP999">
        <v>1996</v>
      </c>
      <c r="AQ999">
        <f t="shared" si="47"/>
        <v>19</v>
      </c>
      <c r="AR999" t="s">
        <v>87</v>
      </c>
    </row>
    <row r="1000" spans="1:44" x14ac:dyDescent="0.25">
      <c r="A1000">
        <v>458</v>
      </c>
      <c r="B1000" t="str">
        <f t="shared" si="45"/>
        <v>10+ years</v>
      </c>
      <c r="C1000">
        <v>62</v>
      </c>
      <c r="D1000" t="str" cm="1">
        <f t="array" ref="D1000">_xlfn.IFS(C1000&lt;26, "19-25", C1000&lt;33, "26-32", C1000&lt;40, "33-39", C1000&lt;47, "40-46",C1000&lt;54, "47-53", TRUE, "54+")</f>
        <v>54+</v>
      </c>
      <c r="E1000">
        <v>533940</v>
      </c>
      <c r="F1000" s="1">
        <v>40865</v>
      </c>
      <c r="G1000" t="s">
        <v>88</v>
      </c>
      <c r="H1000" t="s">
        <v>96</v>
      </c>
      <c r="I1000">
        <v>2000</v>
      </c>
      <c r="J1000">
        <v>1356.92</v>
      </c>
      <c r="K1000">
        <v>5000000</v>
      </c>
      <c r="L1000">
        <v>441714</v>
      </c>
      <c r="M1000" t="s">
        <v>46</v>
      </c>
      <c r="N1000" t="s">
        <v>97</v>
      </c>
      <c r="O1000" t="s">
        <v>164</v>
      </c>
      <c r="P1000" t="s">
        <v>111</v>
      </c>
      <c r="Q1000" t="s">
        <v>124</v>
      </c>
      <c r="R1000">
        <v>0</v>
      </c>
      <c r="S1000">
        <v>0</v>
      </c>
      <c r="T1000" s="1">
        <v>42061</v>
      </c>
      <c r="U1000" t="s">
        <v>51</v>
      </c>
      <c r="V1000" t="s">
        <v>81</v>
      </c>
      <c r="W1000" t="s">
        <v>53</v>
      </c>
      <c r="X1000" t="s">
        <v>125</v>
      </c>
      <c r="Y1000" t="s">
        <v>82</v>
      </c>
      <c r="Z1000" t="s">
        <v>92</v>
      </c>
      <c r="AA1000" t="s">
        <v>1182</v>
      </c>
      <c r="AB1000">
        <v>2</v>
      </c>
      <c r="AC1000" t="str">
        <f t="shared" si="46"/>
        <v>Night</v>
      </c>
      <c r="AD1000">
        <v>1</v>
      </c>
      <c r="AE1000" t="s">
        <v>67</v>
      </c>
      <c r="AF1000">
        <v>0</v>
      </c>
      <c r="AG1000">
        <v>1</v>
      </c>
      <c r="AH1000" t="s">
        <v>58</v>
      </c>
      <c r="AI1000">
        <v>46980</v>
      </c>
      <c r="AJ1000">
        <v>5220</v>
      </c>
      <c r="AK1000">
        <v>5220</v>
      </c>
      <c r="AL1000">
        <v>36540</v>
      </c>
      <c r="AM1000" t="s">
        <v>114</v>
      </c>
      <c r="AN1000" t="s">
        <v>115</v>
      </c>
      <c r="AO1000">
        <v>2015</v>
      </c>
      <c r="AP1000">
        <v>1998</v>
      </c>
      <c r="AQ1000">
        <f t="shared" si="47"/>
        <v>17</v>
      </c>
      <c r="AR1000" t="s">
        <v>87</v>
      </c>
    </row>
    <row r="1001" spans="1:44" x14ac:dyDescent="0.25">
      <c r="A1001">
        <v>456</v>
      </c>
      <c r="B1001" t="str">
        <f t="shared" si="45"/>
        <v>10+ years</v>
      </c>
      <c r="C1001">
        <v>60</v>
      </c>
      <c r="D1001" t="str" cm="1">
        <f t="array" ref="D1001">_xlfn.IFS(C1001&lt;26, "19-25", C1001&lt;33, "26-32", C1001&lt;40, "33-39", C1001&lt;47, "40-46",C1001&lt;54, "47-53", TRUE, "54+")</f>
        <v>54+</v>
      </c>
      <c r="E1001">
        <v>556080</v>
      </c>
      <c r="F1001" s="1">
        <v>35380</v>
      </c>
      <c r="G1001" t="s">
        <v>44</v>
      </c>
      <c r="H1001" t="s">
        <v>45</v>
      </c>
      <c r="I1001">
        <v>1000</v>
      </c>
      <c r="J1001">
        <v>766.19</v>
      </c>
      <c r="K1001">
        <v>0</v>
      </c>
      <c r="L1001">
        <v>612260</v>
      </c>
      <c r="M1001" t="s">
        <v>75</v>
      </c>
      <c r="N1001" t="s">
        <v>97</v>
      </c>
      <c r="O1001" t="s">
        <v>77</v>
      </c>
      <c r="P1001" t="s">
        <v>175</v>
      </c>
      <c r="Q1001" t="s">
        <v>50</v>
      </c>
      <c r="R1001">
        <v>0</v>
      </c>
      <c r="S1001">
        <v>0</v>
      </c>
      <c r="T1001" s="1">
        <v>42061</v>
      </c>
      <c r="U1001" t="s">
        <v>143</v>
      </c>
      <c r="V1001" t="s">
        <v>67</v>
      </c>
      <c r="W1001" t="s">
        <v>68</v>
      </c>
      <c r="X1001" t="s">
        <v>54</v>
      </c>
      <c r="Y1001" t="s">
        <v>118</v>
      </c>
      <c r="Z1001" t="s">
        <v>56</v>
      </c>
      <c r="AA1001" t="s">
        <v>1183</v>
      </c>
      <c r="AB1001">
        <v>6</v>
      </c>
      <c r="AC1001" t="str">
        <f t="shared" si="46"/>
        <v>Morning</v>
      </c>
      <c r="AD1001">
        <v>1</v>
      </c>
      <c r="AE1001" t="s">
        <v>67</v>
      </c>
      <c r="AF1001">
        <v>0</v>
      </c>
      <c r="AG1001">
        <v>3</v>
      </c>
      <c r="AH1001" t="s">
        <v>67</v>
      </c>
      <c r="AI1001">
        <v>5060</v>
      </c>
      <c r="AJ1001">
        <v>460</v>
      </c>
      <c r="AK1001">
        <v>920</v>
      </c>
      <c r="AL1001">
        <v>3680</v>
      </c>
      <c r="AM1001" t="s">
        <v>72</v>
      </c>
      <c r="AN1001" t="s">
        <v>73</v>
      </c>
      <c r="AO1001">
        <v>2015</v>
      </c>
      <c r="AP1001">
        <v>2007</v>
      </c>
      <c r="AQ1001">
        <f t="shared" si="47"/>
        <v>8</v>
      </c>
      <c r="AR1001" t="s">
        <v>87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Insurance Claim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2026-09-24T05:59:59Z</dcterms:created>
  <dcterms:modified xsi:type="dcterms:W3CDTF">2026-09-24T06:02:49Z</dcterms:modified>
</cp:coreProperties>
</file>